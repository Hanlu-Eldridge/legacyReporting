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XiaHanlu\workspace\legacyReporting\reporting\report_template\"/>
    </mc:Choice>
  </mc:AlternateContent>
  <xr:revisionPtr revIDLastSave="0" documentId="13_ncr:1_{358E9E10-530C-4975-834A-0289213895E6}" xr6:coauthVersionLast="47" xr6:coauthVersionMax="47" xr10:uidLastSave="{00000000-0000-0000-0000-000000000000}"/>
  <bookViews>
    <workbookView xWindow="-120" yWindow="-120" windowWidth="29040" windowHeight="15720" activeTab="1" xr2:uid="{00000000-000D-0000-FFFF-FFFF00000000}"/>
  </bookViews>
  <sheets>
    <sheet name="Disclaimer " sheetId="6" r:id="rId1"/>
    <sheet name="Report" sheetId="1" r:id="rId2"/>
    <sheet name="ValidationLists" sheetId="2" r:id="rId3"/>
    <sheet name="Transactions" sheetId="3" r:id="rId4"/>
    <sheet name="Positions" sheetId="4" r:id="rId5"/>
    <sheet name="Sec_Master" sheetId="5" r:id="rId6"/>
  </sheets>
  <definedNames>
    <definedName name="_xlnm.Print_Area" localSheetId="0">'Disclaimer '!$A$1:$O$35</definedName>
    <definedName name="_xlnm.Print_Area" localSheetId="1">Report!$A$1:$S$750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7" i="1" l="1"/>
  <c r="I37" i="1" s="1"/>
  <c r="L37" i="1"/>
  <c r="J37" i="1" s="1"/>
  <c r="K36" i="1"/>
  <c r="I36" i="1" s="1"/>
  <c r="L36" i="1"/>
  <c r="J36" i="1" s="1"/>
  <c r="C13" i="1"/>
  <c r="C15" i="1" a="1"/>
  <c r="C15" i="1" s="1"/>
  <c r="C12" i="1" a="1"/>
  <c r="C12" i="1" s="1"/>
  <c r="H56" i="1" a="1"/>
  <c r="H56" i="1" s="1"/>
  <c r="G56" i="1" a="1"/>
  <c r="G56" i="1" s="1"/>
  <c r="C18" i="1" a="1"/>
  <c r="C18" i="1" s="1"/>
  <c r="C17" i="1" a="1"/>
  <c r="C17" i="1" s="1"/>
  <c r="C16" i="1" a="1"/>
  <c r="C16" i="1" s="1"/>
  <c r="H60" i="1" l="1" a="1"/>
  <c r="H60" i="1" s="1"/>
  <c r="H63" i="1" a="1"/>
  <c r="H63" i="1" s="1"/>
  <c r="H66" i="1" a="1"/>
  <c r="H66" i="1" s="1"/>
  <c r="H61" i="1" a="1"/>
  <c r="H61" i="1" s="1"/>
  <c r="H58" i="1" a="1"/>
  <c r="H58" i="1" s="1"/>
  <c r="H64" i="1" a="1"/>
  <c r="H64" i="1" s="1"/>
  <c r="H59" i="1" a="1"/>
  <c r="H59" i="1" s="1"/>
  <c r="H69" i="1" a="1"/>
  <c r="H69" i="1" s="1"/>
  <c r="H70" i="1" a="1"/>
  <c r="H70" i="1" s="1"/>
  <c r="H62" i="1" a="1"/>
  <c r="H62" i="1" s="1"/>
  <c r="H67" i="1" a="1"/>
  <c r="H67" i="1" s="1"/>
  <c r="H57" i="1" a="1"/>
  <c r="H57" i="1" s="1"/>
  <c r="H65" i="1" a="1"/>
  <c r="H65" i="1" s="1"/>
  <c r="H68" i="1" a="1"/>
  <c r="H68" i="1" s="1"/>
  <c r="H71" i="1" a="1"/>
  <c r="H71" i="1" s="1"/>
  <c r="G60" i="1" a="1"/>
  <c r="G60" i="1" s="1"/>
  <c r="G63" i="1" a="1"/>
  <c r="G63" i="1" s="1"/>
  <c r="G66" i="1" a="1"/>
  <c r="G66" i="1" s="1"/>
  <c r="G61" i="1" a="1"/>
  <c r="G61" i="1" s="1"/>
  <c r="G58" i="1" a="1"/>
  <c r="G58" i="1" s="1"/>
  <c r="G64" i="1" a="1"/>
  <c r="G64" i="1" s="1"/>
  <c r="G59" i="1" a="1"/>
  <c r="G59" i="1" s="1"/>
  <c r="G69" i="1" a="1"/>
  <c r="G69" i="1" s="1"/>
  <c r="G70" i="1" a="1"/>
  <c r="G70" i="1" s="1"/>
  <c r="G62" i="1" a="1"/>
  <c r="G62" i="1" s="1"/>
  <c r="G67" i="1" a="1"/>
  <c r="G67" i="1" s="1"/>
  <c r="G57" i="1" a="1"/>
  <c r="G57" i="1" s="1"/>
  <c r="G65" i="1" a="1"/>
  <c r="G65" i="1" s="1"/>
  <c r="G68" i="1" a="1"/>
  <c r="G68" i="1" s="1"/>
  <c r="G71" i="1" a="1"/>
  <c r="G71" i="1" s="1"/>
  <c r="D70" i="1" l="1"/>
  <c r="D66" i="1"/>
  <c r="D57" i="1"/>
  <c r="D56" i="1"/>
  <c r="D67" i="1"/>
  <c r="D71" i="1"/>
  <c r="D58" i="1"/>
  <c r="D68" i="1"/>
  <c r="D59" i="1"/>
  <c r="D63" i="1"/>
  <c r="D65" i="1"/>
  <c r="D64" i="1"/>
  <c r="D60" i="1"/>
  <c r="D61" i="1"/>
  <c r="D69" i="1"/>
  <c r="D62" i="1"/>
  <c r="C70" i="1"/>
  <c r="C66" i="1"/>
  <c r="C57" i="1"/>
  <c r="C56" i="1"/>
  <c r="C67" i="1"/>
  <c r="C71" i="1"/>
  <c r="C58" i="1"/>
  <c r="C68" i="1"/>
  <c r="C59" i="1"/>
  <c r="C63" i="1"/>
  <c r="C65" i="1"/>
  <c r="C64" i="1"/>
  <c r="C60" i="1"/>
  <c r="C61" i="1"/>
  <c r="C69" i="1"/>
  <c r="C62" i="1"/>
  <c r="I56" i="1"/>
  <c r="I67" i="1"/>
  <c r="I71" i="1"/>
  <c r="I58" i="1"/>
  <c r="I68" i="1"/>
  <c r="I59" i="1"/>
  <c r="I63" i="1"/>
  <c r="I65" i="1"/>
  <c r="I64" i="1"/>
  <c r="I60" i="1"/>
  <c r="I61" i="1"/>
  <c r="I69" i="1"/>
  <c r="I62" i="1"/>
  <c r="C20" i="1" l="1"/>
  <c r="F49" i="1"/>
  <c r="E49" i="1"/>
  <c r="F48" i="1"/>
  <c r="D48" i="1"/>
  <c r="F42" i="1"/>
  <c r="E42" i="1"/>
  <c r="I57" i="1"/>
  <c r="I66" i="1"/>
  <c r="I70" i="1"/>
  <c r="E48" i="1" l="1"/>
  <c r="F47" i="1"/>
  <c r="C49" i="1"/>
  <c r="D49" i="1"/>
  <c r="E47" i="1"/>
  <c r="D47" i="1"/>
  <c r="C47" i="1"/>
  <c r="E43" i="1"/>
  <c r="D44" i="1"/>
  <c r="G48" i="1"/>
  <c r="E46" i="1"/>
  <c r="F46" i="1"/>
  <c r="E45" i="1"/>
  <c r="F43" i="1"/>
  <c r="G49" i="1"/>
  <c r="C54" i="1"/>
  <c r="C10" i="1" s="1"/>
  <c r="F44" i="1"/>
  <c r="F45" i="1"/>
  <c r="C44" i="1"/>
  <c r="C42" i="1"/>
  <c r="D42" i="1"/>
  <c r="E44" i="1"/>
  <c r="I54" i="1"/>
  <c r="D54" i="1"/>
  <c r="C11" i="1" s="1"/>
  <c r="G42" i="1"/>
  <c r="C48" i="1"/>
  <c r="G54" i="1"/>
  <c r="C19" i="1" s="1"/>
  <c r="H54" i="1"/>
  <c r="C21" i="1" s="1"/>
  <c r="C45" i="1"/>
  <c r="D45" i="1"/>
  <c r="D46" i="1"/>
  <c r="C46" i="1"/>
  <c r="C43" i="1"/>
  <c r="D43" i="1"/>
  <c r="G47" i="1" l="1"/>
  <c r="R27" i="1"/>
  <c r="L27" i="1"/>
  <c r="R28" i="1"/>
  <c r="P28" i="1" s="1"/>
  <c r="R30" i="1"/>
  <c r="P30" i="1" s="1"/>
  <c r="R32" i="1"/>
  <c r="P32" i="1" s="1"/>
  <c r="R29" i="1"/>
  <c r="P29" i="1" s="1"/>
  <c r="R31" i="1"/>
  <c r="P31" i="1" s="1"/>
  <c r="Q27" i="1"/>
  <c r="Q32" i="1"/>
  <c r="O32" i="1" s="1"/>
  <c r="Q31" i="1"/>
  <c r="O31" i="1" s="1"/>
  <c r="Q28" i="1"/>
  <c r="O28" i="1" s="1"/>
  <c r="Q29" i="1"/>
  <c r="O29" i="1" s="1"/>
  <c r="Q30" i="1"/>
  <c r="O30" i="1" s="1"/>
  <c r="K27" i="1"/>
  <c r="K35" i="1"/>
  <c r="I35" i="1" s="1"/>
  <c r="E31" i="1"/>
  <c r="C31" i="1" s="1"/>
  <c r="K31" i="1"/>
  <c r="I31" i="1" s="1"/>
  <c r="E32" i="1"/>
  <c r="C32" i="1" s="1"/>
  <c r="K34" i="1"/>
  <c r="I34" i="1" s="1"/>
  <c r="K33" i="1"/>
  <c r="I33" i="1" s="1"/>
  <c r="E30" i="1"/>
  <c r="C30" i="1" s="1"/>
  <c r="K32" i="1"/>
  <c r="I32" i="1" s="1"/>
  <c r="E29" i="1"/>
  <c r="C29" i="1" s="1"/>
  <c r="E28" i="1"/>
  <c r="C28" i="1" s="1"/>
  <c r="K30" i="1"/>
  <c r="I30" i="1" s="1"/>
  <c r="E27" i="1"/>
  <c r="C27" i="1" s="1"/>
  <c r="K29" i="1"/>
  <c r="I29" i="1" s="1"/>
  <c r="K28" i="1"/>
  <c r="I28" i="1" s="1"/>
  <c r="L35" i="1"/>
  <c r="J35" i="1" s="1"/>
  <c r="F31" i="1"/>
  <c r="D31" i="1" s="1"/>
  <c r="F30" i="1"/>
  <c r="D30" i="1" s="1"/>
  <c r="F32" i="1"/>
  <c r="D32" i="1" s="1"/>
  <c r="L34" i="1"/>
  <c r="J34" i="1" s="1"/>
  <c r="L33" i="1"/>
  <c r="J33" i="1" s="1"/>
  <c r="L32" i="1"/>
  <c r="J32" i="1" s="1"/>
  <c r="F29" i="1"/>
  <c r="D29" i="1" s="1"/>
  <c r="L31" i="1"/>
  <c r="J31" i="1" s="1"/>
  <c r="F28" i="1"/>
  <c r="D28" i="1" s="1"/>
  <c r="L30" i="1"/>
  <c r="J30" i="1" s="1"/>
  <c r="L29" i="1"/>
  <c r="J29" i="1" s="1"/>
  <c r="F27" i="1"/>
  <c r="D27" i="1" s="1"/>
  <c r="L28" i="1"/>
  <c r="J28" i="1" s="1"/>
  <c r="O16" i="1"/>
  <c r="M16" i="1" s="1"/>
  <c r="O14" i="1"/>
  <c r="M14" i="1" s="1"/>
  <c r="O13" i="1"/>
  <c r="M13" i="1" s="1"/>
  <c r="O11" i="1"/>
  <c r="M11" i="1" s="1"/>
  <c r="O15" i="1"/>
  <c r="M15" i="1" s="1"/>
  <c r="O12" i="1"/>
  <c r="M12" i="1" s="1"/>
  <c r="O10" i="1"/>
  <c r="M10" i="1" s="1"/>
  <c r="N16" i="1"/>
  <c r="L16" i="1" s="1"/>
  <c r="N14" i="1"/>
  <c r="L14" i="1" s="1"/>
  <c r="N10" i="1"/>
  <c r="L10" i="1" s="1"/>
  <c r="N15" i="1"/>
  <c r="L15" i="1" s="1"/>
  <c r="N12" i="1"/>
  <c r="L12" i="1" s="1"/>
  <c r="N13" i="1"/>
  <c r="L13" i="1" s="1"/>
  <c r="N11" i="1"/>
  <c r="L11" i="1" s="1"/>
  <c r="I15" i="1"/>
  <c r="G15" i="1" s="1"/>
  <c r="I11" i="1"/>
  <c r="G11" i="1" s="1"/>
  <c r="I17" i="1"/>
  <c r="G17" i="1" s="1"/>
  <c r="I14" i="1"/>
  <c r="G14" i="1" s="1"/>
  <c r="I12" i="1"/>
  <c r="G12" i="1" s="1"/>
  <c r="I16" i="1"/>
  <c r="G16" i="1" s="1"/>
  <c r="I13" i="1"/>
  <c r="G13" i="1" s="1"/>
  <c r="I10" i="1"/>
  <c r="G10" i="1" s="1"/>
  <c r="H16" i="1"/>
  <c r="F16" i="1" s="1"/>
  <c r="H10" i="1"/>
  <c r="F10" i="1" s="1"/>
  <c r="H15" i="1"/>
  <c r="F15" i="1" s="1"/>
  <c r="H17" i="1"/>
  <c r="F17" i="1" s="1"/>
  <c r="H14" i="1"/>
  <c r="F14" i="1" s="1"/>
  <c r="H11" i="1"/>
  <c r="F11" i="1" s="1"/>
  <c r="H12" i="1"/>
  <c r="F12" i="1" s="1"/>
  <c r="H13" i="1"/>
  <c r="F13" i="1" s="1"/>
  <c r="E58" i="1"/>
  <c r="E62" i="1"/>
  <c r="E56" i="1"/>
  <c r="E63" i="1"/>
  <c r="E64" i="1"/>
  <c r="E69" i="1"/>
  <c r="E65" i="1"/>
  <c r="E68" i="1"/>
  <c r="E67" i="1"/>
  <c r="E61" i="1"/>
  <c r="E59" i="1"/>
  <c r="E71" i="1"/>
  <c r="E60" i="1"/>
  <c r="F62" i="1"/>
  <c r="F59" i="1"/>
  <c r="F58" i="1"/>
  <c r="F68" i="1"/>
  <c r="F67" i="1"/>
  <c r="F69" i="1"/>
  <c r="F61" i="1"/>
  <c r="F64" i="1"/>
  <c r="F60" i="1"/>
  <c r="F63" i="1"/>
  <c r="F71" i="1"/>
  <c r="F56" i="1"/>
  <c r="F65" i="1"/>
  <c r="G44" i="1"/>
  <c r="G45" i="1"/>
  <c r="G43" i="1"/>
  <c r="G46" i="1"/>
  <c r="E50" i="1"/>
  <c r="D50" i="1" s="1"/>
  <c r="F70" i="1"/>
  <c r="F57" i="1"/>
  <c r="F66" i="1"/>
  <c r="F50" i="1"/>
  <c r="E70" i="1"/>
  <c r="E66" i="1"/>
  <c r="E57" i="1"/>
  <c r="K38" i="1" l="1"/>
  <c r="L38" i="1"/>
  <c r="J27" i="1"/>
  <c r="J38" i="1" s="1"/>
  <c r="Q33" i="1"/>
  <c r="R33" i="1"/>
  <c r="I27" i="1"/>
  <c r="I38" i="1" s="1"/>
  <c r="O27" i="1"/>
  <c r="O33" i="1" s="1"/>
  <c r="P27" i="1"/>
  <c r="P33" i="1" s="1"/>
  <c r="C33" i="1"/>
  <c r="E33" i="1"/>
  <c r="F33" i="1"/>
  <c r="O17" i="1"/>
  <c r="N17" i="1"/>
  <c r="L17" i="1"/>
  <c r="F18" i="1"/>
  <c r="H18" i="1"/>
  <c r="G18" i="1"/>
  <c r="I18" i="1"/>
  <c r="C14" i="1"/>
  <c r="C50" i="1"/>
  <c r="G50" i="1"/>
  <c r="F54" i="1"/>
  <c r="E54" i="1"/>
  <c r="D33" i="1" l="1"/>
  <c r="M1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<sst xmlns="http://schemas.openxmlformats.org/spreadsheetml/2006/main" count="13815" uniqueCount="1652">
  <si>
    <t>SBL CLO ABS Report</t>
  </si>
  <si>
    <t>Prepared As of:</t>
  </si>
  <si>
    <t>View As Portfolio:</t>
  </si>
  <si>
    <t>Choose the desired portfolio in the drop down</t>
  </si>
  <si>
    <t>All Portfolios</t>
  </si>
  <si>
    <t>Summary Page</t>
  </si>
  <si>
    <t>Executive Summary</t>
  </si>
  <si>
    <t>Tranche Rating</t>
  </si>
  <si>
    <t>Weighted Average Life</t>
  </si>
  <si>
    <t>CLO Debt Coupon</t>
  </si>
  <si>
    <t>Portfolio % CF</t>
  </si>
  <si>
    <t>Portfolio % MV</t>
  </si>
  <si>
    <t>WAL</t>
  </si>
  <si>
    <t>Coupon</t>
  </si>
  <si>
    <t>Face Value</t>
  </si>
  <si>
    <t>AAA</t>
  </si>
  <si>
    <t>0&lt;2</t>
  </si>
  <si>
    <t>0&lt;3</t>
  </si>
  <si>
    <t>Market Value</t>
  </si>
  <si>
    <t>AA</t>
  </si>
  <si>
    <t>2&lt;4</t>
  </si>
  <si>
    <t>3&lt;4</t>
  </si>
  <si>
    <t>WA Coupon</t>
  </si>
  <si>
    <t>A</t>
  </si>
  <si>
    <t>4&lt;6</t>
  </si>
  <si>
    <t>4&lt;5</t>
  </si>
  <si>
    <t>WA Purchase Price</t>
  </si>
  <si>
    <t>BBB</t>
  </si>
  <si>
    <t>6&lt;8</t>
  </si>
  <si>
    <t>5&lt;6</t>
  </si>
  <si>
    <t xml:space="preserve">WA Market Price </t>
  </si>
  <si>
    <t>BB</t>
  </si>
  <si>
    <t>8&lt;10</t>
  </si>
  <si>
    <t>6&lt;7</t>
  </si>
  <si>
    <t>WA Life</t>
  </si>
  <si>
    <t>B</t>
  </si>
  <si>
    <t>10+</t>
  </si>
  <si>
    <t>7+</t>
  </si>
  <si>
    <t>Number of Issuers</t>
  </si>
  <si>
    <t>CCC</t>
  </si>
  <si>
    <t>unknown</t>
  </si>
  <si>
    <t>Total</t>
  </si>
  <si>
    <t>Number of Managers</t>
  </si>
  <si>
    <t>NR</t>
  </si>
  <si>
    <t>Number of Cusips</t>
  </si>
  <si>
    <t>Holdings Summary</t>
  </si>
  <si>
    <t>WA WAL</t>
  </si>
  <si>
    <t>Current Face</t>
  </si>
  <si>
    <t>Market Price</t>
  </si>
  <si>
    <t>CLO/ABS Debt - AAA</t>
  </si>
  <si>
    <t>CLO/ABS Debt - AA</t>
  </si>
  <si>
    <t>CLO/ABS Debt - A</t>
  </si>
  <si>
    <t>CLO/ABS Debt - BBB</t>
  </si>
  <si>
    <t>CLO/ABS Debt - BB</t>
  </si>
  <si>
    <t>CLO/ABS Debt - B</t>
  </si>
  <si>
    <t>CLO/ABS Debt - CCC</t>
  </si>
  <si>
    <t>CLO/ABS Debt - NR</t>
  </si>
  <si>
    <t>Top Exposure by Manager</t>
  </si>
  <si>
    <t>Summary of Manager Total</t>
  </si>
  <si>
    <t>Current Face %</t>
  </si>
  <si>
    <t>Market Value %</t>
  </si>
  <si>
    <t>No. of Issuers</t>
  </si>
  <si>
    <t>No. of Cusips</t>
  </si>
  <si>
    <t>No. of Positions</t>
  </si>
  <si>
    <t>AGL CLO Credit Management</t>
  </si>
  <si>
    <t>AXA Investment Managers</t>
  </si>
  <si>
    <t>Anchorage Collateral Management</t>
  </si>
  <si>
    <t>CVC Credit Partners</t>
  </si>
  <si>
    <t>Ares CLO Management</t>
  </si>
  <si>
    <t>Arini Loan Management US</t>
  </si>
  <si>
    <t>Crescent Capital Group</t>
  </si>
  <si>
    <t>Blackstone Private Credit Fund</t>
  </si>
  <si>
    <t>Bain Capital Credit U.S. CLO Manager II</t>
  </si>
  <si>
    <t>Ballyrock Investment Advisors</t>
  </si>
  <si>
    <t>Ballyrock Ltd</t>
  </si>
  <si>
    <t>Birch Grove Capital</t>
  </si>
  <si>
    <t>CBAM CLO Management</t>
  </si>
  <si>
    <t>CBAM Partners</t>
  </si>
  <si>
    <t>Issuer</t>
  </si>
  <si>
    <t>Security Description</t>
  </si>
  <si>
    <t>Cusip</t>
  </si>
  <si>
    <t>Settle Date</t>
  </si>
  <si>
    <t>Carlyle CLO Management</t>
  </si>
  <si>
    <t>Golub Capital Partners CLO Ltd</t>
  </si>
  <si>
    <t>38174YAE5</t>
  </si>
  <si>
    <t>PGIM</t>
  </si>
  <si>
    <t>Elmwood Asset Management</t>
  </si>
  <si>
    <t>Elmwood RR CLO</t>
  </si>
  <si>
    <t>Falcon Aerospace Ltd</t>
  </si>
  <si>
    <t>NYL Investors</t>
  </si>
  <si>
    <t>Garnet Credit Management</t>
  </si>
  <si>
    <t>Trade Date</t>
  </si>
  <si>
    <t>Sale Price</t>
  </si>
  <si>
    <t>Maturity Date</t>
  </si>
  <si>
    <t>GLM II</t>
  </si>
  <si>
    <t>04942CAL0</t>
  </si>
  <si>
    <t>GLM III</t>
  </si>
  <si>
    <t>GC Investment Management</t>
  </si>
  <si>
    <t>OPAL BSL</t>
  </si>
  <si>
    <t>Guggenheim Corporate Funding</t>
  </si>
  <si>
    <t>Investcorp Credit Management US</t>
  </si>
  <si>
    <t>Blackstone CLO Management</t>
  </si>
  <si>
    <t>HPS Investment Partners</t>
  </si>
  <si>
    <t>Purchase Price</t>
  </si>
  <si>
    <t>ICG Debt Advisors</t>
  </si>
  <si>
    <t>AGL 2023-24A CR 31-Mar-2038</t>
  </si>
  <si>
    <t>00119AAS4</t>
  </si>
  <si>
    <t>03-31-2038</t>
  </si>
  <si>
    <t>Invesco CLO Equity Fund 3</t>
  </si>
  <si>
    <t>KKR Financial Advisors II</t>
  </si>
  <si>
    <t>Blackstone Liquid Credit Strategies</t>
  </si>
  <si>
    <t>UBS Asset Management (Americas)</t>
  </si>
  <si>
    <t>Credit Suisse Asset Management</t>
  </si>
  <si>
    <t>Blackrock Financial Management</t>
  </si>
  <si>
    <t>Maranon Capital</t>
  </si>
  <si>
    <t>Issue Date</t>
  </si>
  <si>
    <t>Spread</t>
  </si>
  <si>
    <t>Factor</t>
  </si>
  <si>
    <t>NRSRO</t>
  </si>
  <si>
    <t>NRSRO Rating</t>
  </si>
  <si>
    <t>Par Sub</t>
  </si>
  <si>
    <t>Implied DM</t>
  </si>
  <si>
    <t>Next Payment Date</t>
  </si>
  <si>
    <t>Non-Call Date</t>
  </si>
  <si>
    <t>Maranon Management</t>
  </si>
  <si>
    <t>MidOcean Credit RR Manager</t>
  </si>
  <si>
    <t>Neuberger Berman Loan Advisers</t>
  </si>
  <si>
    <t>Oak Hill Advisors</t>
  </si>
  <si>
    <t>Oak Street Investment Grade Ne</t>
  </si>
  <si>
    <t>Oaktree Capital Management</t>
  </si>
  <si>
    <t>Octagon Credit Investors</t>
  </si>
  <si>
    <t>Palmer Square Capital Management</t>
  </si>
  <si>
    <t>DoubleLine Capital</t>
  </si>
  <si>
    <t>KKR 12 CR2 15-Oct-2030</t>
  </si>
  <si>
    <t>Moody's</t>
  </si>
  <si>
    <t>Aa2</t>
  </si>
  <si>
    <t>Park Blue CLO Ltd</t>
  </si>
  <si>
    <t>LNGPT 2017-1A B 17-Jan-2030</t>
  </si>
  <si>
    <t>01-17-2030</t>
  </si>
  <si>
    <t>Aa1</t>
  </si>
  <si>
    <t>Redding Ridge Asset Management</t>
  </si>
  <si>
    <t>Vertical Bridge Holdings LLC</t>
  </si>
  <si>
    <t>VBTOW 2020-2A A 15-Sep-2050</t>
  </si>
  <si>
    <t>DBRS</t>
  </si>
  <si>
    <t>AAL</t>
  </si>
  <si>
    <t>08-15-2025</t>
  </si>
  <si>
    <t>Napier Park Global Capital (US)</t>
  </si>
  <si>
    <t>SESAC Finance, LLC</t>
  </si>
  <si>
    <t>Sierra Receivables Funding Co</t>
  </si>
  <si>
    <t>Silver Point Select C CLO Manager</t>
  </si>
  <si>
    <t>Sixth Street CLO Management</t>
  </si>
  <si>
    <t>Symphony Asset Management</t>
  </si>
  <si>
    <t>Angelo, Gordon &amp; Co</t>
  </si>
  <si>
    <t>APC Asset Development II</t>
  </si>
  <si>
    <t>AGL CLO Ltd</t>
  </si>
  <si>
    <t>Fitch</t>
  </si>
  <si>
    <t>Turbine Engine Securitization</t>
  </si>
  <si>
    <t>Aimco CDO</t>
  </si>
  <si>
    <t>AIMCO 2019-10A CRR 22-Jul-2037</t>
  </si>
  <si>
    <t>SP</t>
  </si>
  <si>
    <t>BlackRock Capital Investment Advisors</t>
  </si>
  <si>
    <t>Warwick Capital CLO Management</t>
  </si>
  <si>
    <t>Blue Owl Liquid Credit Advisors</t>
  </si>
  <si>
    <t>Willis Engine Securitization T</t>
  </si>
  <si>
    <t>First Eagle Alternative Credit</t>
  </si>
  <si>
    <t>Allstate Investment Management Co</t>
  </si>
  <si>
    <t>Anchorage Capital Group</t>
  </si>
  <si>
    <t>CVC Credit Partners U.S. CLO Management</t>
  </si>
  <si>
    <t>AGL 2022-19A D1R 21-Jul-2038</t>
  </si>
  <si>
    <t>BBB-</t>
  </si>
  <si>
    <t>Ares U.S. CLO Management</t>
  </si>
  <si>
    <t>Bain Capital Credit U.S. CLO Manager</t>
  </si>
  <si>
    <t>Bardin Hill Performing Credit Management</t>
  </si>
  <si>
    <t>Barings</t>
  </si>
  <si>
    <t>Brigade Capital Management</t>
  </si>
  <si>
    <t>BSP CLO Management</t>
  </si>
  <si>
    <t>Benefit Street Partners</t>
  </si>
  <si>
    <t>Sound Point Capital Management</t>
  </si>
  <si>
    <t>AGL 2020-6A ER2 20-Apr-2038</t>
  </si>
  <si>
    <t>BB-</t>
  </si>
  <si>
    <t>CFI Partners</t>
  </si>
  <si>
    <t>CIFC Asset Management</t>
  </si>
  <si>
    <t>Canyon CLO Advisors</t>
  </si>
  <si>
    <t>Canyon Capital Advisors</t>
  </si>
  <si>
    <t>Cerberus Business Finance</t>
  </si>
  <si>
    <t>Pretium Credit Management</t>
  </si>
  <si>
    <t>Diameter CLO Advisors</t>
  </si>
  <si>
    <t>325 Fillmore</t>
  </si>
  <si>
    <t>Blackrock Baker CLO 2021-1, Ltd</t>
  </si>
  <si>
    <t>BLKMM 2021-8A E 15-Jan-2034</t>
  </si>
  <si>
    <t>01-15-2034</t>
  </si>
  <si>
    <t>B-</t>
  </si>
  <si>
    <t>Empower Capital Management</t>
  </si>
  <si>
    <t>CBAM Ltd</t>
  </si>
  <si>
    <t>CBAM 2018-7A E 20-Jul-2031</t>
  </si>
  <si>
    <t>B1</t>
  </si>
  <si>
    <t>FC BSL VI Management</t>
  </si>
  <si>
    <t>THL Credit Lake Shore MM CLO L</t>
  </si>
  <si>
    <t>THLLS 2019-1A ER 15-Apr-2033</t>
  </si>
  <si>
    <t>Aquarian Credit Partners</t>
  </si>
  <si>
    <t>Generate Advisors</t>
  </si>
  <si>
    <t>Hayfin Capital Management</t>
  </si>
  <si>
    <t>HPS Investment Partners CLO (UK)</t>
  </si>
  <si>
    <t>Investcorp Credit Management</t>
  </si>
  <si>
    <t>CF Hippolyta Issuer LLC</t>
  </si>
  <si>
    <t>DataBank Issuer LLC</t>
  </si>
  <si>
    <t>GCM GROSVENOR DIV LLC</t>
  </si>
  <si>
    <t>Wind River CLO Ltd</t>
  </si>
  <si>
    <t>WINDR 2015-1A FR 20-Oct-2030</t>
  </si>
  <si>
    <t>Caa2</t>
  </si>
  <si>
    <t>Vertical Bridge CC, LLC</t>
  </si>
  <si>
    <t>Apogem Capital</t>
  </si>
  <si>
    <t>Marble Point CLO Management</t>
  </si>
  <si>
    <t>Apex Credit Partners</t>
  </si>
  <si>
    <t>MidOcean Credit Fund Management</t>
  </si>
  <si>
    <t>Neuberger Berman Investment Advisers</t>
  </si>
  <si>
    <t>Neuberger Berman Loan Advisers II</t>
  </si>
  <si>
    <t>Onex Credit Partners</t>
  </si>
  <si>
    <t>Flatiron CLO Ltd</t>
  </si>
  <si>
    <t>FLAT 2021-1A D1R 19-Oct-2037</t>
  </si>
  <si>
    <t>WR</t>
  </si>
  <si>
    <t>Oaktree CLO Management Company</t>
  </si>
  <si>
    <t>Antares Liquid Credit Strategies</t>
  </si>
  <si>
    <t>Centerbridge Credit Funding Advisors</t>
  </si>
  <si>
    <t>Irradiant Partners</t>
  </si>
  <si>
    <t>Napier Park Global Capital</t>
  </si>
  <si>
    <t>Regatta Loan Management</t>
  </si>
  <si>
    <t>Rockford Tower Capital Management</t>
  </si>
  <si>
    <t>Silver Point RR Manager</t>
  </si>
  <si>
    <t>Silver Point CLO Management</t>
  </si>
  <si>
    <t>Sound Point CLO C-MOA</t>
  </si>
  <si>
    <t>Symphony Alternative Asset Management</t>
  </si>
  <si>
    <t>APC Asset Development I</t>
  </si>
  <si>
    <t>Aristotle Pacific Capital</t>
  </si>
  <si>
    <t>GLM</t>
  </si>
  <si>
    <t>Palmer Square Europe Capital Management</t>
  </si>
  <si>
    <t>Voya Alternative Asset Management</t>
  </si>
  <si>
    <t>Carlyle CLO Management Europe</t>
  </si>
  <si>
    <t>OCIC SLF</t>
  </si>
  <si>
    <t>Blue Owl Credit Income Senior Loan Fund</t>
  </si>
  <si>
    <t>Bain Capital Credit</t>
  </si>
  <si>
    <t>Clover Credit Management</t>
  </si>
  <si>
    <t>TICP CLO VII Management</t>
  </si>
  <si>
    <t>Type</t>
  </si>
  <si>
    <t>Call</t>
  </si>
  <si>
    <t>38174YAG0</t>
  </si>
  <si>
    <t>SESAC 2019-1 A2 25-Jul-2049</t>
  </si>
  <si>
    <t>78396YAA1</t>
  </si>
  <si>
    <t>07-31-2025</t>
  </si>
  <si>
    <t>826525AC1</t>
  </si>
  <si>
    <t>Paydown</t>
  </si>
  <si>
    <t>AGL CLO Ltd.</t>
  </si>
  <si>
    <t>00119AAG0</t>
  </si>
  <si>
    <t>00119AAJ4</t>
  </si>
  <si>
    <t>00120NAG9</t>
  </si>
  <si>
    <t>AGL CLO 19 Ltd</t>
  </si>
  <si>
    <t>AGL 2022-19A D 21-Jul-2035</t>
  </si>
  <si>
    <t>001210AJ2</t>
  </si>
  <si>
    <t>07-11-2025</t>
  </si>
  <si>
    <t>Allegro CLO Ltd</t>
  </si>
  <si>
    <t>ALLEG 2021-1A D 20-Jul-2034</t>
  </si>
  <si>
    <t>01750WAJ8</t>
  </si>
  <si>
    <t>07-21-2025</t>
  </si>
  <si>
    <t>Apidos CLO Ltd</t>
  </si>
  <si>
    <t>03770JAA8</t>
  </si>
  <si>
    <t>APID 2023-45A D 26-Apr-2036</t>
  </si>
  <si>
    <t>03770MAG8</t>
  </si>
  <si>
    <t>07-02-2025</t>
  </si>
  <si>
    <t>BCRED BSL Static CLO Ltd</t>
  </si>
  <si>
    <t>05553MAE1</t>
  </si>
  <si>
    <t>05553MAG6</t>
  </si>
  <si>
    <t>Bain Capital Credit CLO, Limit</t>
  </si>
  <si>
    <t>BCC 2023-2A D 18-Jul-2036</t>
  </si>
  <si>
    <t>05684GAJ5</t>
  </si>
  <si>
    <t>07-18-2025</t>
  </si>
  <si>
    <t>CBAMR Ltd</t>
  </si>
  <si>
    <t>12481NAE2</t>
  </si>
  <si>
    <t>12481NAF9</t>
  </si>
  <si>
    <t>12481PAA5</t>
  </si>
  <si>
    <t>CBAM 2020-12A DR 20-Jul-2034</t>
  </si>
  <si>
    <t>12509VAN2</t>
  </si>
  <si>
    <t>07-20-2025</t>
  </si>
  <si>
    <t>CBAM 2019-11RA D 20-Jan-2035</t>
  </si>
  <si>
    <t>12510TAE4</t>
  </si>
  <si>
    <t>CBAM 2020-13A C 20-Jan-2034</t>
  </si>
  <si>
    <t>12511AAG9</t>
  </si>
  <si>
    <t>Carlyle Global Market Strategi</t>
  </si>
  <si>
    <t>14315BAG1</t>
  </si>
  <si>
    <t>CGMS 2021-3SA C 15-Apr-2034</t>
  </si>
  <si>
    <t>14315DAG7</t>
  </si>
  <si>
    <t>07-15-2025</t>
  </si>
  <si>
    <t>CGMS 2014-3RA C 27-Jul-2031</t>
  </si>
  <si>
    <t>14315LAJ3</t>
  </si>
  <si>
    <t>Dryden Senior Loan Fund</t>
  </si>
  <si>
    <t>DRSLF 2017-53A C 15-Jan-2031</t>
  </si>
  <si>
    <t>26243EAC5</t>
  </si>
  <si>
    <t>07-08-2025</t>
  </si>
  <si>
    <t>26253QAG6</t>
  </si>
  <si>
    <t>Elmwood CLO 15 Ltd</t>
  </si>
  <si>
    <t>ELM15 2022-2A E 22-Apr-2035</t>
  </si>
  <si>
    <t>29003KAA9</t>
  </si>
  <si>
    <t>07-10-2025</t>
  </si>
  <si>
    <t>FLCON 2017-1 A 15-Feb-2042</t>
  </si>
  <si>
    <t>30605YAB7</t>
  </si>
  <si>
    <t>33883DAE4</t>
  </si>
  <si>
    <t>33883DAG9</t>
  </si>
  <si>
    <t>GoldenTree Loan Management US</t>
  </si>
  <si>
    <t>38139FAG5</t>
  </si>
  <si>
    <t>38139FAJ9</t>
  </si>
  <si>
    <t>Guggenheim CLO Ltd</t>
  </si>
  <si>
    <t>GUGG 2021-4A D 15-Jan-2034</t>
  </si>
  <si>
    <t>40169CAJ5</t>
  </si>
  <si>
    <t>HPS Loan Management Ltd</t>
  </si>
  <si>
    <t>HLM 2023-18A C 20-Jul-2036</t>
  </si>
  <si>
    <t>442911AG8</t>
  </si>
  <si>
    <t>HLM 2023-18A D 20-Jul-2036</t>
  </si>
  <si>
    <t>442911AJ2</t>
  </si>
  <si>
    <t>ICG Rhinebeck CLO 2021-4 Ltd</t>
  </si>
  <si>
    <t>ICG 2021-4A D 26-Oct-2034</t>
  </si>
  <si>
    <t>449272AN3</t>
  </si>
  <si>
    <t>07-26-2025</t>
  </si>
  <si>
    <t>ICG 2021-4A E 26-Oct-2034</t>
  </si>
  <si>
    <t>449272AQ6</t>
  </si>
  <si>
    <t>ICG US CLO Ltd</t>
  </si>
  <si>
    <t>ICG 2023-1A D 18-Jul-2036</t>
  </si>
  <si>
    <t>449278AG5</t>
  </si>
  <si>
    <t>Invesco U.S. CLO 2025-2, Ltd.</t>
  </si>
  <si>
    <t>INVCO 2023-3A C 15-Jul-2036</t>
  </si>
  <si>
    <t>46091RAE3</t>
  </si>
  <si>
    <t>INVCO 2023-3A D 15-Jul-2036</t>
  </si>
  <si>
    <t>46091RAG8</t>
  </si>
  <si>
    <t>46147KAD4</t>
  </si>
  <si>
    <t>Long Point Park CLO Ltd</t>
  </si>
  <si>
    <t>542798AG8</t>
  </si>
  <si>
    <t>07-17-2025</t>
  </si>
  <si>
    <t>Madison Park Funding Ltd</t>
  </si>
  <si>
    <t>55817GAG6</t>
  </si>
  <si>
    <t>MDPK 2021-38A E 17-Jul-2034</t>
  </si>
  <si>
    <t>55821MAA0</t>
  </si>
  <si>
    <t>Magnetite CLO Ltd</t>
  </si>
  <si>
    <t>559922AG4</t>
  </si>
  <si>
    <t>Maranon Loan Funding Ltd</t>
  </si>
  <si>
    <t>MRNON 2020-1A C 15-Jan-2034</t>
  </si>
  <si>
    <t>56577GAJ8</t>
  </si>
  <si>
    <t>MRNON 2021-2RA DR 15-Jul-2033</t>
  </si>
  <si>
    <t>56577JAG8</t>
  </si>
  <si>
    <t>MRNON 2021-1RA DR 15-Jul-2034</t>
  </si>
  <si>
    <t>56577LAN8</t>
  </si>
  <si>
    <t>MidOcean Credit CLO</t>
  </si>
  <si>
    <t>MIDO 2023-12A DR 18-Apr-2036</t>
  </si>
  <si>
    <t>59803TAY7</t>
  </si>
  <si>
    <t>Neuberger Berman CLO Ltd</t>
  </si>
  <si>
    <t>NEUB 2020-36A ER2 20-Apr-2033</t>
  </si>
  <si>
    <t>64133JAQ7</t>
  </si>
  <si>
    <t>NEUB 2020-36A DR 20-Apr-2033</t>
  </si>
  <si>
    <t>64133KAQ4</t>
  </si>
  <si>
    <t>Oak Hill Credit</t>
  </si>
  <si>
    <t>67116TAM8</t>
  </si>
  <si>
    <t>OAKIG 2020-1A A5 20-Nov-2050</t>
  </si>
  <si>
    <t>67181DAE1</t>
  </si>
  <si>
    <t>OAKIG 2021-1A A3 20-Jan-2051</t>
  </si>
  <si>
    <t>67190AAC0</t>
  </si>
  <si>
    <t>OAKIG 2021-1A A4 20-Jan-2051</t>
  </si>
  <si>
    <t>67190AAD8</t>
  </si>
  <si>
    <t>Oaktree CLO Ltd</t>
  </si>
  <si>
    <t>OAKCL 2022-1A C 15-May-2033</t>
  </si>
  <si>
    <t>67402LAJ5</t>
  </si>
  <si>
    <t>Octagon 67 Ltd</t>
  </si>
  <si>
    <t>67571LAJ0</t>
  </si>
  <si>
    <t>67577YAA5</t>
  </si>
  <si>
    <t>Octagon Investment Partners XV</t>
  </si>
  <si>
    <t>67590EBN3</t>
  </si>
  <si>
    <t>OAKC 2021-10A D2 18-Jan-2036</t>
  </si>
  <si>
    <t>67707LAE8</t>
  </si>
  <si>
    <t>Palmer Square CLO Ltd</t>
  </si>
  <si>
    <t>69703AAG7</t>
  </si>
  <si>
    <t>69703AAJ1</t>
  </si>
  <si>
    <t>Rad CLO Ltd</t>
  </si>
  <si>
    <t>750104AJ0</t>
  </si>
  <si>
    <t>Regatta XXV Funding Ltd.</t>
  </si>
  <si>
    <t>REG25 2023-1A C 15-Jul-2036</t>
  </si>
  <si>
    <t>758978AE0</t>
  </si>
  <si>
    <t>REG25 2023-1A D 15-Jul-2036</t>
  </si>
  <si>
    <t>758978AG5</t>
  </si>
  <si>
    <t>07-25-2025</t>
  </si>
  <si>
    <t>Tallman Park CLO, Ltd.</t>
  </si>
  <si>
    <t>TALPK 2021-1A D 20-Apr-2034</t>
  </si>
  <si>
    <t>874777AG0</t>
  </si>
  <si>
    <t>TURBN 2013-1A A 13-Dec-2048</t>
  </si>
  <si>
    <t>89989FAA2</t>
  </si>
  <si>
    <t>Blackrock CLO</t>
  </si>
  <si>
    <t>91734KAL1</t>
  </si>
  <si>
    <t>Wellfleet CLO Ltd</t>
  </si>
  <si>
    <t>WELF 2021-3A D 15-Jan-2035</t>
  </si>
  <si>
    <t>94951JAG5</t>
  </si>
  <si>
    <t>WESTF 2020-A A 15-Mar-2045</t>
  </si>
  <si>
    <t>97064FAA3</t>
  </si>
  <si>
    <t>WESTF 2020-A B 15-Mar-2045</t>
  </si>
  <si>
    <t>97064FAB1</t>
  </si>
  <si>
    <t>97316RAG0</t>
  </si>
  <si>
    <t>97316RAJ4</t>
  </si>
  <si>
    <t>Atlas Senior Loan Fund LTD</t>
  </si>
  <si>
    <t>Elmwood CLO III Ltd</t>
  </si>
  <si>
    <t>29002HBE8</t>
  </si>
  <si>
    <t>Symphony CLO Ltd</t>
  </si>
  <si>
    <t>87154EBA7</t>
  </si>
  <si>
    <t>AGL 2023-24A D1R 31-Mar-2038</t>
  </si>
  <si>
    <t>00119AAU9</t>
  </si>
  <si>
    <t>AGL 2023-25A D1R 21-Jul-2038</t>
  </si>
  <si>
    <t>00120NAU8</t>
  </si>
  <si>
    <t>001210AY9</t>
  </si>
  <si>
    <t>Anchorage Capital CLO LTD</t>
  </si>
  <si>
    <t>ANCHC 2015-6A DR4 22-Jul-2038</t>
  </si>
  <si>
    <t>03328QCC3</t>
  </si>
  <si>
    <t>07-28-2025</t>
  </si>
  <si>
    <t>08-11-2025</t>
  </si>
  <si>
    <t>07-22-2038</t>
  </si>
  <si>
    <t>APID 2023-43A ER 25-Jul-2038</t>
  </si>
  <si>
    <t>03770JAG5</t>
  </si>
  <si>
    <t>07-25-2038</t>
  </si>
  <si>
    <t>APID 2023-45A D1R 26-Jul-2038</t>
  </si>
  <si>
    <t>03770MAU7</t>
  </si>
  <si>
    <t>ARES CLO Ltd</t>
  </si>
  <si>
    <t>ARES 2022-63A D1R 15-Oct-2038</t>
  </si>
  <si>
    <t>039937BA4</t>
  </si>
  <si>
    <t>08-07-2025</t>
  </si>
  <si>
    <t>10-15-2038</t>
  </si>
  <si>
    <t>Arini US CLO Limited</t>
  </si>
  <si>
    <t>ARIN 2A D 31-Mar-2038</t>
  </si>
  <si>
    <t>04039BAG7</t>
  </si>
  <si>
    <t>07-16-2025</t>
  </si>
  <si>
    <t>08-20-2025</t>
  </si>
  <si>
    <t>BALLY 2023-24A C1R 15-Jul-2038</t>
  </si>
  <si>
    <t>05875AAQ1</t>
  </si>
  <si>
    <t>07-15-2038</t>
  </si>
  <si>
    <t>BALLY 2025-29A C1 25-Jul-2038</t>
  </si>
  <si>
    <t>05876GAJ3</t>
  </si>
  <si>
    <t>BALLY 2025-30A C1 25-Oct-2038</t>
  </si>
  <si>
    <t>05876UAE3</t>
  </si>
  <si>
    <t>07-24-2025</t>
  </si>
  <si>
    <t>09-04-2025</t>
  </si>
  <si>
    <t>10-25-2038</t>
  </si>
  <si>
    <t>Birch Grove CLO Ltd.</t>
  </si>
  <si>
    <t>BGCLO 2023-6A D1R 20-Jul-2038</t>
  </si>
  <si>
    <t>09077FAU9</t>
  </si>
  <si>
    <t>07-20-2038</t>
  </si>
  <si>
    <t>CBAMR 2017-4A D1R 31-Mar-2038</t>
  </si>
  <si>
    <t>12516EAL5</t>
  </si>
  <si>
    <t>CBAMR 2017-4A ER 31-Mar-2038</t>
  </si>
  <si>
    <t>12516JAA8</t>
  </si>
  <si>
    <t>DRSLF 2021-87A D1R 20-Aug-2038</t>
  </si>
  <si>
    <t>26246GAW3</t>
  </si>
  <si>
    <t>08-08-2025</t>
  </si>
  <si>
    <t>08-20-2038</t>
  </si>
  <si>
    <t>DRSLF 2023-105A DR 15-Apr-2038</t>
  </si>
  <si>
    <t>26253QAS0</t>
  </si>
  <si>
    <t>Elmwood CLO 43 Ltd</t>
  </si>
  <si>
    <t>ELM43 2025-6A D 20-Jul-2038</t>
  </si>
  <si>
    <t>29004KAJ9</t>
  </si>
  <si>
    <t>FLAT 2023-1A CR 17-Apr-2036</t>
  </si>
  <si>
    <t>33883DAU8</t>
  </si>
  <si>
    <t>Garnet CLO Ltd</t>
  </si>
  <si>
    <t>GARNET 2025-1A C 20-Jul-2037</t>
  </si>
  <si>
    <t>36626AAD7</t>
  </si>
  <si>
    <t>GLM 2023-17A DR 20-Jan-2039</t>
  </si>
  <si>
    <t>38139FAW0</t>
  </si>
  <si>
    <t>GLM 2025-26A D 20-Jul-2038</t>
  </si>
  <si>
    <t>38139QAL0</t>
  </si>
  <si>
    <t>07-09-2025</t>
  </si>
  <si>
    <t>Golub Capital Partners CLO, LT</t>
  </si>
  <si>
    <t>GCBSL 2023-68A CR 25-Jul-2038</t>
  </si>
  <si>
    <t>38181PAG0</t>
  </si>
  <si>
    <t>Harvest US CLO Ltd</t>
  </si>
  <si>
    <t>HARUS 2025-2A D1 17-Jul-2038</t>
  </si>
  <si>
    <t>41757PAJ2</t>
  </si>
  <si>
    <t>07-17-2038</t>
  </si>
  <si>
    <t>Higley Park Clo Ltd</t>
  </si>
  <si>
    <t>HIGPK 2025-1A D1 24-Jul-2038</t>
  </si>
  <si>
    <t>43128QAL3</t>
  </si>
  <si>
    <t>08-21-2025</t>
  </si>
  <si>
    <t>07-24-2038</t>
  </si>
  <si>
    <t>HLM 2023-18A CR 20-Jul-2039</t>
  </si>
  <si>
    <t>442911AS2</t>
  </si>
  <si>
    <t>07-01-2025</t>
  </si>
  <si>
    <t>07-20-2039</t>
  </si>
  <si>
    <t>HLM 2023-18A D1R 20-Jul-2039</t>
  </si>
  <si>
    <t>442911AU7</t>
  </si>
  <si>
    <t>HLM 2023-18A ER 20-Jul-2039</t>
  </si>
  <si>
    <t>442921AJ1</t>
  </si>
  <si>
    <t>KKR Financial CLO Ltd</t>
  </si>
  <si>
    <t>KKR 2025-57A D 15-Jul-2038</t>
  </si>
  <si>
    <t>481954AG0</t>
  </si>
  <si>
    <t>KKR 2023-52A D1R 16-Jul-2038</t>
  </si>
  <si>
    <t>48255XAW8</t>
  </si>
  <si>
    <t>KKR 2025-61A D1 15-Jul-2037</t>
  </si>
  <si>
    <t>48257CAJ1</t>
  </si>
  <si>
    <t>MDPK 2023-63A CR 21-Jul-2038</t>
  </si>
  <si>
    <t>55817GAU5</t>
  </si>
  <si>
    <t>MDPK 2023-63A D1R 21-Jul-2038</t>
  </si>
  <si>
    <t>55817GAW1</t>
  </si>
  <si>
    <t>OCT67 2023-1A DR 25-Jul-2038</t>
  </si>
  <si>
    <t>67571LAW1</t>
  </si>
  <si>
    <t>PLMRS 2021-3A D1R 15-Oct-2038</t>
  </si>
  <si>
    <t>69688FAW0</t>
  </si>
  <si>
    <t>08-14-2025</t>
  </si>
  <si>
    <t>PLMRS 2023-2A DR 20-Jul-2038</t>
  </si>
  <si>
    <t>69703AAU6</t>
  </si>
  <si>
    <t>PLMRS 2025-3A D1 20-Jul-2038</t>
  </si>
  <si>
    <t>69704GAJ7</t>
  </si>
  <si>
    <t>Parallel Ltd</t>
  </si>
  <si>
    <t>PARL 2023-1A CR 20-Jul-2036</t>
  </si>
  <si>
    <t>69915NAQ1</t>
  </si>
  <si>
    <t>07-20-2036</t>
  </si>
  <si>
    <t>PKBLU 2025-9A D1 20-Oct-2038</t>
  </si>
  <si>
    <t>70019UAJ4</t>
  </si>
  <si>
    <t>10-20-2038</t>
  </si>
  <si>
    <t>Regatta 32 Funding Ltd.</t>
  </si>
  <si>
    <t>REG32 2025-4A E 25-Jul-2038</t>
  </si>
  <si>
    <t>75884FAA7</t>
  </si>
  <si>
    <t>REG25 2023-1A CR 15-Jul-2038</t>
  </si>
  <si>
    <t>758978AS9</t>
  </si>
  <si>
    <t>REG25 2023-1A D1R 15-Jul-2038</t>
  </si>
  <si>
    <t>758978AU4</t>
  </si>
  <si>
    <t>Silver Point CLO, Ltd</t>
  </si>
  <si>
    <t>SPCLO 2025-10A D1 15-Jul-2038</t>
  </si>
  <si>
    <t>827920AJ8</t>
  </si>
  <si>
    <t>SPCLO 2025-9A D1 31-Mar-2038</t>
  </si>
  <si>
    <t>82809VAJ1</t>
  </si>
  <si>
    <t>Sixth Street CLO LTD.</t>
  </si>
  <si>
    <t>SIXST 2025-30A D 17-Jul-2038</t>
  </si>
  <si>
    <t>83013LAG9</t>
  </si>
  <si>
    <t>08-13-2025</t>
  </si>
  <si>
    <t>TPGCLO 2025-1A D1 15-Jul-2038</t>
  </si>
  <si>
    <t>87268JAJ1</t>
  </si>
  <si>
    <t>08-26-2025</t>
  </si>
  <si>
    <t>TALPK 2021-1A D1R 20-Jul-2038</t>
  </si>
  <si>
    <t>874777AU9</t>
  </si>
  <si>
    <t>Trestles CLO LTD</t>
  </si>
  <si>
    <t>TREST 2025-8A D1 11-Jun-2035</t>
  </si>
  <si>
    <t>89533DAL4</t>
  </si>
  <si>
    <t>Warwick Capital CLO Ltd</t>
  </si>
  <si>
    <t>WWICK 2025-6A D1 20-Jul-2038</t>
  </si>
  <si>
    <t>93656EAJ0</t>
  </si>
  <si>
    <t>12482JAE0</t>
  </si>
  <si>
    <t>CBAM 2018-7A B2 20-Jul-2031</t>
  </si>
  <si>
    <t>Aaa</t>
  </si>
  <si>
    <t>12482JAG5</t>
  </si>
  <si>
    <t>CBAM 2018-7A C 20-Jul-2031</t>
  </si>
  <si>
    <t>12481QAJ4</t>
  </si>
  <si>
    <t>CBAMR 2018-5A C 17-Apr-2031</t>
  </si>
  <si>
    <t>34955YAG4</t>
  </si>
  <si>
    <t>Fortress Credit BSL Ltd</t>
  </si>
  <si>
    <t>FCBSL 2018-1A CR 23-Jul-2031</t>
  </si>
  <si>
    <t>48250RBJ4</t>
  </si>
  <si>
    <t>KKR CLO Trust</t>
  </si>
  <si>
    <t>92535VAF9</t>
  </si>
  <si>
    <t>88432FBE8</t>
  </si>
  <si>
    <t>WINDR 2015-1A C2 20-Oct-2030</t>
  </si>
  <si>
    <t>00901AAW7</t>
  </si>
  <si>
    <t>00901UAE3</t>
  </si>
  <si>
    <t>AIMCO 2024-22A C 19-Apr-2037</t>
  </si>
  <si>
    <t>03328WBJ6</t>
  </si>
  <si>
    <t>ANCHC 2016 8X</t>
  </si>
  <si>
    <t>ANCHC 2016-9A CR3 15-Jul-2037</t>
  </si>
  <si>
    <t>58403XAC2</t>
  </si>
  <si>
    <t>Apex Credit CLO LLC</t>
  </si>
  <si>
    <t>APEXC 2020-2A B 17-Apr-2033</t>
  </si>
  <si>
    <t>58406CAG6</t>
  </si>
  <si>
    <t>APEXC 2021-2A B 20-Oct-2034</t>
  </si>
  <si>
    <t>A2</t>
  </si>
  <si>
    <t>03762YBK2</t>
  </si>
  <si>
    <t>Apidos CLO</t>
  </si>
  <si>
    <t>APID 2016-25A CR3 20-Jan-2037</t>
  </si>
  <si>
    <t>A+</t>
  </si>
  <si>
    <t>03771JAG4</t>
  </si>
  <si>
    <t>APID 2024-51A C 20-Jan-2038</t>
  </si>
  <si>
    <t>039939AW3</t>
  </si>
  <si>
    <t>ARES CLO</t>
  </si>
  <si>
    <t>ARES 2022-67A CR 25-Jan-2038</t>
  </si>
  <si>
    <t>04020FAE4</t>
  </si>
  <si>
    <t>ARES 2023-ALF4A C 15-Oct-2036</t>
  </si>
  <si>
    <t>039948AG9</t>
  </si>
  <si>
    <t>ARES 2024-75A C 15-Jan-2037</t>
  </si>
  <si>
    <t>04021MAG3</t>
  </si>
  <si>
    <t>ARES 2024-ALF8 C 24-Jan-2038</t>
  </si>
  <si>
    <t>55821CAE4</t>
  </si>
  <si>
    <t>MDPK 2011-7A SUB</t>
  </si>
  <si>
    <t>ATRM 9A CR2 28-May-2030</t>
  </si>
  <si>
    <t>28623FAC8</t>
  </si>
  <si>
    <t>ArrowMark Colorado Holdings LL</t>
  </si>
  <si>
    <t>AWPT 2013-1A BR2 15-Aug-2032</t>
  </si>
  <si>
    <t>06763FAD2</t>
  </si>
  <si>
    <t>BABSN 2018 3X</t>
  </si>
  <si>
    <t>BABSN 2023-2A C 20-Jul-2036</t>
  </si>
  <si>
    <t>067936AG9</t>
  </si>
  <si>
    <t>BABSN 2024-2A C 15-Jul-2039</t>
  </si>
  <si>
    <t>09261MAY2</t>
  </si>
  <si>
    <t>Blackrock CLO Ltd</t>
  </si>
  <si>
    <t>BLKMM 2021-6A CR 20-Apr-2037</t>
  </si>
  <si>
    <t>09290EAL3</t>
  </si>
  <si>
    <t>BLKMM 2022-1A CR 15-Jan-2038</t>
  </si>
  <si>
    <t>09262WAE3</t>
  </si>
  <si>
    <t>BlackRock DLF IX-L CLO, LP</t>
  </si>
  <si>
    <t>BLKMM 2023-2A C 20-Oct-2033</t>
  </si>
  <si>
    <t>08182YAE8</t>
  </si>
  <si>
    <t>Benefit Street Partners CLO Ltd</t>
  </si>
  <si>
    <t>BSP 2024-35A C 25-Apr-2037</t>
  </si>
  <si>
    <t>081922AG1</t>
  </si>
  <si>
    <t>BSP 2024-36A C 25-Jan-2038</t>
  </si>
  <si>
    <t>081930AG4</t>
  </si>
  <si>
    <t>BSP 2025-39A C 15-Apr-2038</t>
  </si>
  <si>
    <t>14316YAS4</t>
  </si>
  <si>
    <t>Carlyle Global Market Strategies</t>
  </si>
  <si>
    <t>CGMS 2021-10A CR 20-Jan-2038</t>
  </si>
  <si>
    <t>14316MAQ4</t>
  </si>
  <si>
    <t>CGMS 2021-1A BR 15-Jan-2040</t>
  </si>
  <si>
    <t>12572VAE4</t>
  </si>
  <si>
    <t>CIFC Funding 2018-IV Ltd</t>
  </si>
  <si>
    <t>CIFC 2025-1A C 23-Apr-2038</t>
  </si>
  <si>
    <t>23802WAA9</t>
  </si>
  <si>
    <t>DataBank Issuer</t>
  </si>
  <si>
    <t>COLO 2021-1A A2 27-Feb-2051</t>
  </si>
  <si>
    <t>KBRA</t>
  </si>
  <si>
    <t>A-</t>
  </si>
  <si>
    <t>14074EAJ0</t>
  </si>
  <si>
    <t>Captree Park CLO Ltd</t>
  </si>
  <si>
    <t>CPTPK 2024-1A C 20-Jul-2037</t>
  </si>
  <si>
    <t>22846MAE3</t>
  </si>
  <si>
    <t>Crown Point CLO Ltd</t>
  </si>
  <si>
    <t>CRNPT 2018-7A C 20-Oct-2031</t>
  </si>
  <si>
    <t>25254AAG2</t>
  </si>
  <si>
    <t>Bardot CLO</t>
  </si>
  <si>
    <t>DCLO 2025-9A C 20-Apr-2038</t>
  </si>
  <si>
    <t>26253EBD9</t>
  </si>
  <si>
    <t>DRSLF 2022-113A CR2 15-Oct-2037</t>
  </si>
  <si>
    <t>289913AJ4</t>
  </si>
  <si>
    <t>Elmwood CLO</t>
  </si>
  <si>
    <t>ELM29 2024-5A CR 20-Apr-2037</t>
  </si>
  <si>
    <t>29002HBC2</t>
  </si>
  <si>
    <t>ELMW3 2019-3A CRR 18-Jul-2037</t>
  </si>
  <si>
    <t>29246AAU4</t>
  </si>
  <si>
    <t>Empower CLO Ltd</t>
  </si>
  <si>
    <t>EMPWR 2022-1A CR 20-Oct-2037</t>
  </si>
  <si>
    <t>02-15-2042</t>
  </si>
  <si>
    <t>36362MAG2</t>
  </si>
  <si>
    <t>Gallatin CLO Ltd</t>
  </si>
  <si>
    <t>GALL 2023-1A C1 14-Oct-2035</t>
  </si>
  <si>
    <t>381733AN4</t>
  </si>
  <si>
    <t>GCBSL 2022-60A CR 25-Oct-2034</t>
  </si>
  <si>
    <t>38179QAE7</t>
  </si>
  <si>
    <t>GCBSL 2023-68A C 25-Jul-2036</t>
  </si>
  <si>
    <t>36831FAA3</t>
  </si>
  <si>
    <t>GCM Grosvenor Diversified Alternatives Issuer LLC</t>
  </si>
  <si>
    <t>GCMGRO 4.25% 15 NOV 2041 144A</t>
  </si>
  <si>
    <t>38139EAJ2</t>
  </si>
  <si>
    <t>GOLDENTREE LOAN OPPORTUNITIES</t>
  </si>
  <si>
    <t>GLM 2024-22A C 20-Oct-2037</t>
  </si>
  <si>
    <t>42086NAL2</t>
  </si>
  <si>
    <t>KINGSLAND LTD</t>
  </si>
  <si>
    <t>HAYFN 2019-2A CR 20-Oct-2034</t>
  </si>
  <si>
    <t>Highbridge Loan Management Ltd</t>
  </si>
  <si>
    <t>46148AAG8</t>
  </si>
  <si>
    <t>Invesco CLO Ltd</t>
  </si>
  <si>
    <t>INVCO 2024-2A C 15-Jul-2037</t>
  </si>
  <si>
    <t>48206KAU0</t>
  </si>
  <si>
    <t>Juniper Valley Park CLO Ltd</t>
  </si>
  <si>
    <t>JNPPK 2023-1A CR 20-Jul-2036</t>
  </si>
  <si>
    <t>510758AG0</t>
  </si>
  <si>
    <t>LSHR 2021-1A CR 15-Jan-2037</t>
  </si>
  <si>
    <t>55821AAU2</t>
  </si>
  <si>
    <t>MDPK 2018-28A CR 15-Jan-2038</t>
  </si>
  <si>
    <t>55819FAW1</t>
  </si>
  <si>
    <t>MDPK 2022-55A CR 18-Jul-2037</t>
  </si>
  <si>
    <t>557910AU0</t>
  </si>
  <si>
    <t>MDPK 2022-60A CR 25-Oct-2037</t>
  </si>
  <si>
    <t>55822XAG2</t>
  </si>
  <si>
    <t>MDPK 2024-68A C 20-Jan-2038</t>
  </si>
  <si>
    <t>56577JAE3</t>
  </si>
  <si>
    <t>MRNON 2021-2RA CR 15-Jul-2033</t>
  </si>
  <si>
    <t>07-15-2033</t>
  </si>
  <si>
    <t>56577NAW4</t>
  </si>
  <si>
    <t>MRNON 2021-3A CR 15-Oct-2036</t>
  </si>
  <si>
    <t>67707BAP5</t>
  </si>
  <si>
    <t>OHA Credit Partners Ltd</t>
  </si>
  <si>
    <t>OAKC 2017-15A CR 20-Apr-2037</t>
  </si>
  <si>
    <t>67100SAN6</t>
  </si>
  <si>
    <t>OHA Credit Funding</t>
  </si>
  <si>
    <t>OAKC 2024-19A C 20-Jul-2037</t>
  </si>
  <si>
    <t>67402JAU5</t>
  </si>
  <si>
    <t>OAKCL 2021-1A C1R 15-Jan-2038</t>
  </si>
  <si>
    <t>67403HAE4</t>
  </si>
  <si>
    <t>OAKCL 2024-28A C 15-Jan-2038</t>
  </si>
  <si>
    <t>67120KAJ8</t>
  </si>
  <si>
    <t>OCP CLO Ltd</t>
  </si>
  <si>
    <t>OCP 2024-38A C 21-Jan-2038</t>
  </si>
  <si>
    <t>70019HAG9</t>
  </si>
  <si>
    <t>PKBLU 2025-7A C 25-Apr-2038</t>
  </si>
  <si>
    <t>69703LAG3</t>
  </si>
  <si>
    <t>PLMRS 2024-2A C 20-Jul-2037</t>
  </si>
  <si>
    <t>69703YAG5</t>
  </si>
  <si>
    <t>PLMRS 2025-1A C 20-Apr-2038</t>
  </si>
  <si>
    <t>72583UAJ6</t>
  </si>
  <si>
    <t>Pixley Park CLO Ltd</t>
  </si>
  <si>
    <t>PXLY 2024-1A C 15-Jan-2037</t>
  </si>
  <si>
    <t>75010KAJ4</t>
  </si>
  <si>
    <t>Rad CLO</t>
  </si>
  <si>
    <t>RAD 2019-6A CR 20-Oct-2037</t>
  </si>
  <si>
    <t>Regatta Funding Ltd</t>
  </si>
  <si>
    <t>76857JAJ1</t>
  </si>
  <si>
    <t>Riverbank Park Clo Ltd</t>
  </si>
  <si>
    <t>RVRPK 2024-1A C 25-Jan-2038</t>
  </si>
  <si>
    <t>12530MAD7</t>
  </si>
  <si>
    <t>SORT 2020-1 B2 15-Jul-2060</t>
  </si>
  <si>
    <t>87169BAU3</t>
  </si>
  <si>
    <t>SYMP 2023-30A CR 20-Oct-2037</t>
  </si>
  <si>
    <t>871987AE3</t>
  </si>
  <si>
    <t>SYMP 2024-42A C 17-Apr-2037</t>
  </si>
  <si>
    <t>88239MAN9</t>
  </si>
  <si>
    <t>Texas Debt Capital CLO Ltd</t>
  </si>
  <si>
    <t>TCIFC 2023-2A CR 21-Oct-2037</t>
  </si>
  <si>
    <t>510800AG0</t>
  </si>
  <si>
    <t>THLLS 2019-1A CR 15-Apr-2033</t>
  </si>
  <si>
    <t>A3</t>
  </si>
  <si>
    <t>89532TAW6</t>
  </si>
  <si>
    <t>TRESTLES CLO LLC</t>
  </si>
  <si>
    <t>TREST 2020-3A CR 20-Oct-2037</t>
  </si>
  <si>
    <t>92535VAG7</t>
  </si>
  <si>
    <t>VBTOW 2020-2A B 15-Sep-2050</t>
  </si>
  <si>
    <t>Willis Lease Finance Corp</t>
  </si>
  <si>
    <t>03-15-2045</t>
  </si>
  <si>
    <t>88432FBG3</t>
  </si>
  <si>
    <t>WINDR 2015-1A DR 20-Oct-2030</t>
  </si>
  <si>
    <t>66860XAJ6</t>
  </si>
  <si>
    <t>Northwoods Capital Ltd</t>
  </si>
  <si>
    <t>WOODS 2021-27A C 17-Oct-2034</t>
  </si>
  <si>
    <t>97719BAG8</t>
  </si>
  <si>
    <t>WISE CLO Ltd</t>
  </si>
  <si>
    <t>WYZE 2023-1A C 20-Oct-2036</t>
  </si>
  <si>
    <t>97719VAG4</t>
  </si>
  <si>
    <t>WYZE 2024-1A C 15-Apr-2037</t>
  </si>
  <si>
    <t>97718GAG8</t>
  </si>
  <si>
    <t>WYZE 2024-2A C 15-Jul-2037</t>
  </si>
  <si>
    <t>97719NAG2</t>
  </si>
  <si>
    <t>WYZE 2025-1A C 20-Jan-2038</t>
  </si>
  <si>
    <t>00119BAE3</t>
  </si>
  <si>
    <t>AGL 2024-29A D 21-Apr-2037</t>
  </si>
  <si>
    <t>00121JAJ1</t>
  </si>
  <si>
    <t>AGL 2024-34A D1 22-Jan-2038</t>
  </si>
  <si>
    <t>00121XAJ0</t>
  </si>
  <si>
    <t>AGL 2025-39A D1 20-Apr-2038</t>
  </si>
  <si>
    <t>00901AAY3</t>
  </si>
  <si>
    <t>AIMCO 2019-10A D1RR 22-Jul-2037</t>
  </si>
  <si>
    <t>00901UAG8</t>
  </si>
  <si>
    <t>AIMCO 2024-22A D 19-Apr-2037</t>
  </si>
  <si>
    <t>03328WBL1</t>
  </si>
  <si>
    <t>ANCHC 2016-9A DR3 15-Jul-2037</t>
  </si>
  <si>
    <t>03330NBC7</t>
  </si>
  <si>
    <t>ANCHC 2019-11A DR2 22-Jul-2037</t>
  </si>
  <si>
    <t>03331AAL5</t>
  </si>
  <si>
    <t>ANCHC 2021-18A D 15-Apr-2034</t>
  </si>
  <si>
    <t>04-15-2034</t>
  </si>
  <si>
    <t>03328JAG2</t>
  </si>
  <si>
    <t>ANCHC 2021-19A D 15-Oct-2034</t>
  </si>
  <si>
    <t>BBB+</t>
  </si>
  <si>
    <t>68626FAG2</t>
  </si>
  <si>
    <t>Orion CLO Ltd</t>
  </si>
  <si>
    <t>ANTOR 2023-2A D 25-Jan-2037</t>
  </si>
  <si>
    <t>68626BAG1</t>
  </si>
  <si>
    <t>ANTOR 2024-3A D 25-Jul-2037</t>
  </si>
  <si>
    <t>03762YBM8</t>
  </si>
  <si>
    <t>APID 2016-25A D1R3 20-Jan-2037</t>
  </si>
  <si>
    <t>03768RAY2</t>
  </si>
  <si>
    <t>APID 2019-32A DR 20-Jan-2033</t>
  </si>
  <si>
    <t>03770CAW5</t>
  </si>
  <si>
    <t>APID 2022-41A D1R 20-Oct-2037</t>
  </si>
  <si>
    <t>037989AQ3</t>
  </si>
  <si>
    <t>APID 2023-44A D1R 26-Oct-2037</t>
  </si>
  <si>
    <t>03770QAJ3</t>
  </si>
  <si>
    <t>APID 2024-47A D1 26-Apr-2037</t>
  </si>
  <si>
    <t>03771JAJ8</t>
  </si>
  <si>
    <t>APID 2024-51A D1 20-Jan-2038</t>
  </si>
  <si>
    <t>03771EAL4</t>
  </si>
  <si>
    <t>APID 2025-53A D1 20-Jul-2038</t>
  </si>
  <si>
    <t>00190YBV6</t>
  </si>
  <si>
    <t>ARES 2013-2A DR3 28-Oct-2034</t>
  </si>
  <si>
    <t>Baa3</t>
  </si>
  <si>
    <t>04015GAV1</t>
  </si>
  <si>
    <t>ARES 2015-2A DR 17-Apr-2033</t>
  </si>
  <si>
    <t>04016PBA5</t>
  </si>
  <si>
    <t>ARES 2017-43A D1R2 15-Jan-2038</t>
  </si>
  <si>
    <t>04016NAX1</t>
  </si>
  <si>
    <t>ARES 2017-44A CR 15-Apr-2034</t>
  </si>
  <si>
    <t>04019LBC7</t>
  </si>
  <si>
    <t>ARES 2019-51A D1R2 15-Oct-2037</t>
  </si>
  <si>
    <t>04018NBE0</t>
  </si>
  <si>
    <t>ARES 2020-56A D1R2 25-Jan-2038</t>
  </si>
  <si>
    <t>04018EAG6</t>
  </si>
  <si>
    <t>ARES 2021-59A D 25-Apr-2034</t>
  </si>
  <si>
    <t>04019DAU6</t>
  </si>
  <si>
    <t>ARES 2021-61A DR 20-Apr-2037</t>
  </si>
  <si>
    <t>04019RBA8</t>
  </si>
  <si>
    <t>ARES 2022-66A DR 25-Jul-2036</t>
  </si>
  <si>
    <t>039939AY9</t>
  </si>
  <si>
    <t>ARES 2022-67A D1R 25-Jan-2038</t>
  </si>
  <si>
    <t>039951AJ7</t>
  </si>
  <si>
    <t>ARES 2023-70A D1 25-Oct-2035</t>
  </si>
  <si>
    <t>04020FAG9</t>
  </si>
  <si>
    <t>ARES 2023-ALF4A D 15-Oct-2036</t>
  </si>
  <si>
    <t>039953AJ3</t>
  </si>
  <si>
    <t>ARES 2024-69A D 15-Apr-2036</t>
  </si>
  <si>
    <t>039948AJ3</t>
  </si>
  <si>
    <t>ARES 2024-75A D1 15-Jan-2037</t>
  </si>
  <si>
    <t>04021MAJ7</t>
  </si>
  <si>
    <t>ARES 2024-ALF8 D1 24-Jan-2038</t>
  </si>
  <si>
    <t>Arini US CLO Ltd</t>
  </si>
  <si>
    <t>28623FAE4</t>
  </si>
  <si>
    <t>AWPT 2013-1A CR2 15-Aug-2032</t>
  </si>
  <si>
    <t>06759JAW8</t>
  </si>
  <si>
    <t>BABSN 2019-1A DR 15-Apr-2035</t>
  </si>
  <si>
    <t>06762JAG8</t>
  </si>
  <si>
    <t>BABSN 2021-2A D 15-Jul-2034</t>
  </si>
  <si>
    <t>07-15-2034</t>
  </si>
  <si>
    <t>06763HAU0</t>
  </si>
  <si>
    <t>BABSN 2022-4A D1R 20-Oct-2037</t>
  </si>
  <si>
    <t>06763FAE0</t>
  </si>
  <si>
    <t>BABSN 2023-2A D 20-Jul-2036</t>
  </si>
  <si>
    <t>06763MAG0</t>
  </si>
  <si>
    <t>BABSN 2023-4A D 20-Jan-2037</t>
  </si>
  <si>
    <t>067936AJ3</t>
  </si>
  <si>
    <t>BABSN 2024-2A D 15-Jul-2039</t>
  </si>
  <si>
    <t>067927AG8</t>
  </si>
  <si>
    <t>BABSN 2025-1A D1 20-Apr-2038</t>
  </si>
  <si>
    <t>05876KAS4</t>
  </si>
  <si>
    <t>Ballyrock CLO Ltd</t>
  </si>
  <si>
    <t>BALLY 2021-16A C1R 20-Apr-2038</t>
  </si>
  <si>
    <t>05874WAJ0</t>
  </si>
  <si>
    <t>BALLY 2022-19A C 20-Apr-2035</t>
  </si>
  <si>
    <t>06744BAG8</t>
  </si>
  <si>
    <t>Bardin Hill CLO Ltd</t>
  </si>
  <si>
    <t>BARDN 2021-2A D 25-Oct-2034</t>
  </si>
  <si>
    <t>07132LAS8</t>
  </si>
  <si>
    <t>BATLN 2020 18A</t>
  </si>
  <si>
    <t>BATLN 2017-11A DR 24-Apr-2034</t>
  </si>
  <si>
    <t>07090AAY9</t>
  </si>
  <si>
    <t>BATLN 2019-14A DR 20-Jan-2035</t>
  </si>
  <si>
    <t>01-20-2035</t>
  </si>
  <si>
    <t>05684KBA4</t>
  </si>
  <si>
    <t>Bain Capital Credit CLO</t>
  </si>
  <si>
    <t>BCC 2020-4A D1AR 20-Oct-2036</t>
  </si>
  <si>
    <t>05684PAU0</t>
  </si>
  <si>
    <t>BCC 2021-6A DR 21-Oct-2034</t>
  </si>
  <si>
    <t>05685EAJ9</t>
  </si>
  <si>
    <t>BCC 2023-4A D 21-Oct-2036</t>
  </si>
  <si>
    <t>09077LAU6</t>
  </si>
  <si>
    <t>Birch Grove CLO</t>
  </si>
  <si>
    <t>BGCLO 2021-2A D1R 19-Oct-2037</t>
  </si>
  <si>
    <t>09077CAY8</t>
  </si>
  <si>
    <t>BGCLO 2022-4A D1R 15-Jul-2037</t>
  </si>
  <si>
    <t>09090MAJ2</t>
  </si>
  <si>
    <t>BGCLO 2025-12A D1 22-Apr-2038</t>
  </si>
  <si>
    <t>09261MBA3</t>
  </si>
  <si>
    <t>BLKMM 2021-6A DR 20-Apr-2037</t>
  </si>
  <si>
    <t>09290EAN9</t>
  </si>
  <si>
    <t>BLKMM 2022-1A DR 15-Jan-2038</t>
  </si>
  <si>
    <t>09631BAJ2</t>
  </si>
  <si>
    <t>BlueMountain CLO Ltd</t>
  </si>
  <si>
    <t>BLUEM 2021-31A D 19-Apr-2034</t>
  </si>
  <si>
    <t>08182DAU8</t>
  </si>
  <si>
    <t>BSP 2015-6BR D1R 20-Apr-2038</t>
  </si>
  <si>
    <t>081917AG1</t>
  </si>
  <si>
    <t>BSP 2017-12BRA D1 15-Oct-2037</t>
  </si>
  <si>
    <t>08179LAS0</t>
  </si>
  <si>
    <t>BSP 2018-14A D1R 20-Oct-2037</t>
  </si>
  <si>
    <t>08182BBE7</t>
  </si>
  <si>
    <t>BSP 2019-17A D1R2 15-Oct-2037</t>
  </si>
  <si>
    <t>08186RAW9</t>
  </si>
  <si>
    <t>BSP 2020-21A DR 15-Oct-2034</t>
  </si>
  <si>
    <t>08182NAQ5</t>
  </si>
  <si>
    <t>BSP 2021-24A DR 20-Oct-2034</t>
  </si>
  <si>
    <t>08186EAS7</t>
  </si>
  <si>
    <t>BSP 2022-29A D1R 25-Jan-2038</t>
  </si>
  <si>
    <t>08179DAJ8</t>
  </si>
  <si>
    <t>BSP 2023-33A D 25-Jan-2036</t>
  </si>
  <si>
    <t>08182YAG3</t>
  </si>
  <si>
    <t>BSP 2024-35A D 25-Apr-2037</t>
  </si>
  <si>
    <t>081922AJ5</t>
  </si>
  <si>
    <t>BSP 2024-36A D1 25-Jan-2038</t>
  </si>
  <si>
    <t>081930AJ8</t>
  </si>
  <si>
    <t>BSP 2025-39A D1 15-Apr-2038</t>
  </si>
  <si>
    <t>13887TBA4</t>
  </si>
  <si>
    <t>Canyon Capital CLO Ltd</t>
  </si>
  <si>
    <t>CANYC 2019-1A D1RR 15-Jul-2037</t>
  </si>
  <si>
    <t>13887TBC0</t>
  </si>
  <si>
    <t>CANYC 2019-1A D2RR 15-Jul-2037</t>
  </si>
  <si>
    <t>13876XAN1</t>
  </si>
  <si>
    <t>CANYC 2021-2A D 15-Apr-2034</t>
  </si>
  <si>
    <t>13875MAG1</t>
  </si>
  <si>
    <t>Canyon CLO</t>
  </si>
  <si>
    <t>CANYC 2021-3A D 15-Jul-2034</t>
  </si>
  <si>
    <t>138919AJ4</t>
  </si>
  <si>
    <t>CANYC 2025-1A D1 15-Apr-2038</t>
  </si>
  <si>
    <t>12481KAY4</t>
  </si>
  <si>
    <t>CBAM 2017-2A DR 17-Jul-2034</t>
  </si>
  <si>
    <t>07-17-2034</t>
  </si>
  <si>
    <t>12481HAW5</t>
  </si>
  <si>
    <t>CBAM 2017-3A DR 17-Jul-2034</t>
  </si>
  <si>
    <t>12482JAJ9</t>
  </si>
  <si>
    <t>CBAM 2018-7A D 20-Jul-2031</t>
  </si>
  <si>
    <t>Baa2</t>
  </si>
  <si>
    <t>07-20-2034</t>
  </si>
  <si>
    <t>01-20-2034</t>
  </si>
  <si>
    <t>14987LAL5</t>
  </si>
  <si>
    <t>CBAMR 2017-1A D1R2 20-Jan-2038</t>
  </si>
  <si>
    <t>12481QAL9</t>
  </si>
  <si>
    <t>CBAMR 2018-5A D 17-Apr-2031</t>
  </si>
  <si>
    <t>Baa1</t>
  </si>
  <si>
    <t>12516GAJ5</t>
  </si>
  <si>
    <t>CBAMR 2018-6A D1R2 31-Mar-2038</t>
  </si>
  <si>
    <t>12516GAL0</t>
  </si>
  <si>
    <t>CBAMR 2018-6A D2R2 31-Mar-2038</t>
  </si>
  <si>
    <t>15675FAG3</t>
  </si>
  <si>
    <t>Cerberus Loan Funding LP</t>
  </si>
  <si>
    <t>CERB 2024-1A D 15-Apr-2036</t>
  </si>
  <si>
    <t>12529QAJ8</t>
  </si>
  <si>
    <t>CFIP CLO Ltd</t>
  </si>
  <si>
    <t>CFIP 2021-1A D 20-Jan-2035</t>
  </si>
  <si>
    <t>14311UBG2</t>
  </si>
  <si>
    <t>CGMS 2016-3A DRRR 20-Jul-2034</t>
  </si>
  <si>
    <t>14314FBG2</t>
  </si>
  <si>
    <t>CGMS 2017-3A D1R2 21-Oct-2037</t>
  </si>
  <si>
    <t>14315RAW1</t>
  </si>
  <si>
    <t>CGMS 2018-4A D1R 17-Oct-2037</t>
  </si>
  <si>
    <t>14316BAU9</t>
  </si>
  <si>
    <t>CGMS 2019-1A CR 20-Apr-2031</t>
  </si>
  <si>
    <t>14317XBN5</t>
  </si>
  <si>
    <t>CGMS 2020-1A C1RR 20-Jan-2038</t>
  </si>
  <si>
    <t>14316YAU9</t>
  </si>
  <si>
    <t>CGMS 2021-10A D1R 20-Jan-2038</t>
  </si>
  <si>
    <t>14317YAJ3</t>
  </si>
  <si>
    <t>CGMS 2021-5A D 20-Jul-2034</t>
  </si>
  <si>
    <t>143133AW6</t>
  </si>
  <si>
    <t>CGMS 2021-6A D1R 15-Jan-2038</t>
  </si>
  <si>
    <t>14316WAU3</t>
  </si>
  <si>
    <t>CGMS 2021-7A D1R 15-Apr-2040</t>
  </si>
  <si>
    <t>143120AG8</t>
  </si>
  <si>
    <t>CGMS 2021-8A D 15-Oct-2034</t>
  </si>
  <si>
    <t>14319CAJ9</t>
  </si>
  <si>
    <t>CGMS 2023-4A D 25-Oct-2036</t>
  </si>
  <si>
    <t>12550ABM7</t>
  </si>
  <si>
    <t>CIFC Funding Ltd</t>
  </si>
  <si>
    <t>CIFC 2014-5A D1R3 17-Jul-2037</t>
  </si>
  <si>
    <t>12550ABP0</t>
  </si>
  <si>
    <t>CIFC 2014-5A D2R3 17-Jul-2037</t>
  </si>
  <si>
    <t>17181TAQ4</t>
  </si>
  <si>
    <t>CIFC 2018-4A D1R 17-Jan-2038</t>
  </si>
  <si>
    <t>12555XAY7</t>
  </si>
  <si>
    <t>CIFC 2019-6A D1R 16-Jul-2037</t>
  </si>
  <si>
    <t>12560EAU0</t>
  </si>
  <si>
    <t>CIFC 2020-3A DR 20-Oct-2034</t>
  </si>
  <si>
    <t>12562RAS4</t>
  </si>
  <si>
    <t>CIFC 2020-4A DR 15-Jan-2040</t>
  </si>
  <si>
    <t>12563EAU7</t>
  </si>
  <si>
    <t>CIFC 2021-1A D1R 25-Jul-2037</t>
  </si>
  <si>
    <t>12564DAG9</t>
  </si>
  <si>
    <t>CIFC 2021-3A D 15-Jul-2036</t>
  </si>
  <si>
    <t>07-15-2036</t>
  </si>
  <si>
    <t>12567HAJ1</t>
  </si>
  <si>
    <t>CIFC 2021-7A D 23-Jan-2035</t>
  </si>
  <si>
    <t>12572GAU1</t>
  </si>
  <si>
    <t>CIFC 2022-5A DR 16-Jan-2037</t>
  </si>
  <si>
    <t>12570XAG7</t>
  </si>
  <si>
    <t>CIFC 2024-1A D 18-Apr-2037</t>
  </si>
  <si>
    <t>17181UAJ7</t>
  </si>
  <si>
    <t>CIFC 2024-2A D 22-Apr-2037</t>
  </si>
  <si>
    <t>12572VAG9</t>
  </si>
  <si>
    <t>CIFC 2025-1A D1 23-Apr-2038</t>
  </si>
  <si>
    <t>23802WAC5</t>
  </si>
  <si>
    <t>COLO 2021-1A B 27-Feb-2051</t>
  </si>
  <si>
    <t>14074EAL5</t>
  </si>
  <si>
    <t>CPTPK 2024-1A D 20-Jul-2037</t>
  </si>
  <si>
    <t>25254AAJ6</t>
  </si>
  <si>
    <t>DCLO 2025-9A D 20-Apr-2038</t>
  </si>
  <si>
    <t>26246GAJ2</t>
  </si>
  <si>
    <t>DRSLF 2021-87A D 20-May-2034</t>
  </si>
  <si>
    <t>26253MAW0</t>
  </si>
  <si>
    <t>DRSLF 2022-108A D1R 18-Jul-2037</t>
  </si>
  <si>
    <t>26243DAU7</t>
  </si>
  <si>
    <t>DRSLF 2022-112A DR 15-Nov-2036</t>
  </si>
  <si>
    <t>26253EBF4</t>
  </si>
  <si>
    <t>DRSLF 2022-113A D1R2 15-Oct-2037</t>
  </si>
  <si>
    <t>26248XAG9</t>
  </si>
  <si>
    <t>DRSLF 2022-97A D 20-Apr-2035</t>
  </si>
  <si>
    <t>26253TAJ4</t>
  </si>
  <si>
    <t>DRSLF 2023-102A D 15-Oct-2036</t>
  </si>
  <si>
    <t>26248DAJ7</t>
  </si>
  <si>
    <t>DRSLF 2024-115A D 18-Apr-2037</t>
  </si>
  <si>
    <t>29002UAQ3</t>
  </si>
  <si>
    <t>ELM16 2022-3A DR 20-Apr-2037</t>
  </si>
  <si>
    <t>29002AAS3</t>
  </si>
  <si>
    <t>ELM20 2022-7A DR 17-Jan-2037</t>
  </si>
  <si>
    <t>290020AS5</t>
  </si>
  <si>
    <t>ELM24 2023-3A D1R 17-Jan-2038</t>
  </si>
  <si>
    <t>289913AL9</t>
  </si>
  <si>
    <t>ELM29 2024-5A D1R 20-Apr-2037</t>
  </si>
  <si>
    <t>29001EAG2</t>
  </si>
  <si>
    <t>ELM33 2024-9RA D1R 21-Oct-2037</t>
  </si>
  <si>
    <t>29004UAJ7</t>
  </si>
  <si>
    <t>ELM37 2024-13A D1 17-Jan-2038</t>
  </si>
  <si>
    <t>289908AJ4</t>
  </si>
  <si>
    <t>ELM38 2025-1A D1 22-Apr-2038</t>
  </si>
  <si>
    <t>289910AL5</t>
  </si>
  <si>
    <t>ELM39 2025-2A D1 17-Apr-2038</t>
  </si>
  <si>
    <t>29002QBA6</t>
  </si>
  <si>
    <t>ELMW7 2020-4A D1RR 17-Oct-2037</t>
  </si>
  <si>
    <t>29003EAY1</t>
  </si>
  <si>
    <t>ELMW8 2021-1A DR 20-Apr-2037</t>
  </si>
  <si>
    <t>34955YAJ8</t>
  </si>
  <si>
    <t>FCBSL 2018-1A DR 23-Jul-2031</t>
  </si>
  <si>
    <t>33888AAJ4</t>
  </si>
  <si>
    <t>FLAT 2024-4A D 15-Jan-2038</t>
  </si>
  <si>
    <t>38138TAY7</t>
  </si>
  <si>
    <t>GLM 2021-10A DR 20-Oct-2037</t>
  </si>
  <si>
    <t>38139BAW9</t>
  </si>
  <si>
    <t>GLM 2022-15A DR 20-Oct-2036</t>
  </si>
  <si>
    <t>38138WAJ3</t>
  </si>
  <si>
    <t>GLM 2024-19A D 20-Apr-2037</t>
  </si>
  <si>
    <t>38139EAL7</t>
  </si>
  <si>
    <t>GLM 2024-22A D 20-Oct-2037</t>
  </si>
  <si>
    <t>37149HAS5</t>
  </si>
  <si>
    <t>Generate CLO Ltd</t>
  </si>
  <si>
    <t>GNRT 2023-11A D1R 20-Oct-2037</t>
  </si>
  <si>
    <t>37149QAG1</t>
  </si>
  <si>
    <t>GNRT 2024-14A D 22-Apr-2037</t>
  </si>
  <si>
    <t>37149PAG3</t>
  </si>
  <si>
    <t>GNRT 2024-17A D1 22-Oct-2037</t>
  </si>
  <si>
    <t>370912AG2</t>
  </si>
  <si>
    <t>GNRT 2024-20A D1 25-Jan-2038</t>
  </si>
  <si>
    <t>370910AJ0</t>
  </si>
  <si>
    <t>GNRT 2A D1R2 22-Oct-2037</t>
  </si>
  <si>
    <t>37148BAJ9</t>
  </si>
  <si>
    <t>GNRT 4A D1RR 20-Jul-2037</t>
  </si>
  <si>
    <t>37148EAW4</t>
  </si>
  <si>
    <t>GNRT 8A D1R2 20-Jan-2038</t>
  </si>
  <si>
    <t>Harvest US CLO</t>
  </si>
  <si>
    <t>42086NAN8</t>
  </si>
  <si>
    <t>HAYFN 2019-2A DR 20-Oct-2034</t>
  </si>
  <si>
    <t>42088AAJ3</t>
  </si>
  <si>
    <t>Hayfin US</t>
  </si>
  <si>
    <t>HAYFN 2021-14A D 20-Jul-2034</t>
  </si>
  <si>
    <t>442924AQ9</t>
  </si>
  <si>
    <t>HLM 2024-19A D1 15-Apr-2037</t>
  </si>
  <si>
    <t>442913AG4</t>
  </si>
  <si>
    <t>HLM 2024-21A D1A 15-Oct-2037</t>
  </si>
  <si>
    <t>413279AL4</t>
  </si>
  <si>
    <t>Harmony-Peace Park CLO Ltd</t>
  </si>
  <si>
    <t>HPPK 2024-1A D1 20-Oct-2037</t>
  </si>
  <si>
    <t>44931NAW1</t>
  </si>
  <si>
    <t>ICG 2015 2X</t>
  </si>
  <si>
    <t>ICG 2016-1A CRR 29-Apr-2034</t>
  </si>
  <si>
    <t>449251AS6</t>
  </si>
  <si>
    <t>ICG 2020-1A DR 20-Jan-2035</t>
  </si>
  <si>
    <t>449303AJ5</t>
  </si>
  <si>
    <t>ICG 2021-1A D 17-Apr-2034</t>
  </si>
  <si>
    <t>449249AG6</t>
  </si>
  <si>
    <t>ICG 2021-3A D 20-Oct-2034</t>
  </si>
  <si>
    <t>46146VAU3</t>
  </si>
  <si>
    <t>INVCO 2022-3A D1R 22-Oct-2037</t>
  </si>
  <si>
    <t>46146GAW2</t>
  </si>
  <si>
    <t>INVCO 2023-1A DR 22-Apr-2037</t>
  </si>
  <si>
    <t>46148AAJ2</t>
  </si>
  <si>
    <t>INVCO 2024-2A D 15-Jul-2037</t>
  </si>
  <si>
    <t>48206KAW6</t>
  </si>
  <si>
    <t>JNPPK 2023-1A DR 20-Jul-2036</t>
  </si>
  <si>
    <t>47048JBD4</t>
  </si>
  <si>
    <t>Jamestown CLO Ltd</t>
  </si>
  <si>
    <t>JTWN 2016-9A CRR 25-Jul-2034</t>
  </si>
  <si>
    <t>47049QAG1</t>
  </si>
  <si>
    <t>JTWN 2018-11A C 14-Jul-2031</t>
  </si>
  <si>
    <t>48250WAN5</t>
  </si>
  <si>
    <t>KKR 14 DR 15-Jul-2031</t>
  </si>
  <si>
    <t>48251BBC3</t>
  </si>
  <si>
    <t>KKR 16 CR2 20-Oct-2034</t>
  </si>
  <si>
    <t>48251FAQ4</t>
  </si>
  <si>
    <t>KKR 17 DR 15-Apr-2034</t>
  </si>
  <si>
    <t>48255PAG0</t>
  </si>
  <si>
    <t>KKR 2022-41A D 15-Apr-2035</t>
  </si>
  <si>
    <t>48255VAW2</t>
  </si>
  <si>
    <t>KKR 2023-46A D1R 20-Oct-2037</t>
  </si>
  <si>
    <t>49835MAJ8</t>
  </si>
  <si>
    <t>KKR 2024-60A D1 15-Jan-2038</t>
  </si>
  <si>
    <t>48252RAU8</t>
  </si>
  <si>
    <t>KKR 24 DR 20-Apr-2032</t>
  </si>
  <si>
    <t>48254NAJ0</t>
  </si>
  <si>
    <t>KKR 31A D 20-Apr-2034</t>
  </si>
  <si>
    <t>04-20-2034</t>
  </si>
  <si>
    <t>482937AD1</t>
  </si>
  <si>
    <t>KKR Clo 32 Ltd</t>
  </si>
  <si>
    <t>KKR 32A D1R 15-Apr-2037</t>
  </si>
  <si>
    <t>48254QAE4</t>
  </si>
  <si>
    <t>KKR 33A D 20-Jul-2034</t>
  </si>
  <si>
    <t>48253UAG1</t>
  </si>
  <si>
    <t>KKR 34A D 15-Jul-2034</t>
  </si>
  <si>
    <t>48254LAU9</t>
  </si>
  <si>
    <t>KKR 35A DR 20-Jan-2038</t>
  </si>
  <si>
    <t>481950AJ2</t>
  </si>
  <si>
    <t>KKR 44A D 20-Jan-2036</t>
  </si>
  <si>
    <t>510758AJ4</t>
  </si>
  <si>
    <t>LSHR 2021-1A DR 15-Jan-2037</t>
  </si>
  <si>
    <t>51076LAL9</t>
  </si>
  <si>
    <t>LSHR 2022-1A BR 15-Jan-2037</t>
  </si>
  <si>
    <t>55954NAQ2</t>
  </si>
  <si>
    <t>MAGNE 2019-23A DR 25-Jan-2035</t>
  </si>
  <si>
    <t>55954WAS8</t>
  </si>
  <si>
    <t>MAGNE 2019-24A DR 15-Apr-2035</t>
  </si>
  <si>
    <t>55280QBJ5</t>
  </si>
  <si>
    <t>MCF CLO LLC</t>
  </si>
  <si>
    <t>MCFCL 2017-1A DR2 20-Oct-2037</t>
  </si>
  <si>
    <t>55820JBL3</t>
  </si>
  <si>
    <t>MDPK 2016-21A C1RR 15-Oct-2032</t>
  </si>
  <si>
    <t>55819XBQ4</t>
  </si>
  <si>
    <t>MDPK 2016-22A D1R2 15-Jan-2038</t>
  </si>
  <si>
    <t>55821AAW8</t>
  </si>
  <si>
    <t>MDPK 2018-28A D1R 15-Jan-2038</t>
  </si>
  <si>
    <t>55821TAU1</t>
  </si>
  <si>
    <t>MDPK 2018-30A D1R 16-Jul-2037</t>
  </si>
  <si>
    <t>55817ABJ2</t>
  </si>
  <si>
    <t>MDPK 2018-32A D2 22-Jul-2037</t>
  </si>
  <si>
    <t>55819JAU7</t>
  </si>
  <si>
    <t>MDPK 2019-33A DR 15-Oct-2032</t>
  </si>
  <si>
    <t>55819MAY2</t>
  </si>
  <si>
    <t>MDPK 2019-35A DR 20-Apr-2032</t>
  </si>
  <si>
    <t>55821KAJ5</t>
  </si>
  <si>
    <t>MDPK 2021-38A D 17-Jul-2034</t>
  </si>
  <si>
    <t>55821UAG9</t>
  </si>
  <si>
    <t>MDPK 2021-48A D 19-Apr-2033</t>
  </si>
  <si>
    <t>55821GAL9</t>
  </si>
  <si>
    <t>MDPK 2021-51A D 19-Jul-2034</t>
  </si>
  <si>
    <t>55822BAJ4</t>
  </si>
  <si>
    <t>MDPK 2021-52A D 22-Jan-2035</t>
  </si>
  <si>
    <t>558189AG1</t>
  </si>
  <si>
    <t>MDPK 2022-53A D 21-Apr-2035</t>
  </si>
  <si>
    <t>55819FAY7</t>
  </si>
  <si>
    <t>MDPK 2022-55A D1R 18-Jul-2037</t>
  </si>
  <si>
    <t>557910AW6</t>
  </si>
  <si>
    <t>MDPK 2022-60A D1R 25-Oct-2037</t>
  </si>
  <si>
    <t>55822XAJ6</t>
  </si>
  <si>
    <t>MDPK 2024-68A D1 20-Jan-2038</t>
  </si>
  <si>
    <t>55817DAJ7</t>
  </si>
  <si>
    <t>MDPK 2025-71A D1 23-Apr-2038</t>
  </si>
  <si>
    <t>59803ABQ4</t>
  </si>
  <si>
    <t>MIDO 2019-10A D1RR 23-Oct-2034</t>
  </si>
  <si>
    <t>XS2363074332</t>
  </si>
  <si>
    <t>Montmartre Euro CLO</t>
  </si>
  <si>
    <t>MONTM 2020-2A DR 15-Jul-2034</t>
  </si>
  <si>
    <t>56607BAS3</t>
  </si>
  <si>
    <t>Marble Point CLO</t>
  </si>
  <si>
    <t>MP16 2019-2A D1R 16-Nov-2034</t>
  </si>
  <si>
    <t>566069AG5</t>
  </si>
  <si>
    <t>MP20 2021-1A D1 23-Apr-2034</t>
  </si>
  <si>
    <t>56577NAY0</t>
  </si>
  <si>
    <t>MRNON 2021-3A DR 15-Oct-2036</t>
  </si>
  <si>
    <t>65023PAU4</t>
  </si>
  <si>
    <t>Newark BSL CLO</t>
  </si>
  <si>
    <t>NBCLO 2017-1A CR 25-Jul-2030</t>
  </si>
  <si>
    <t>64130TBS3</t>
  </si>
  <si>
    <t>NEUB 2015-20A D1R3 15-Apr-2039</t>
  </si>
  <si>
    <t>64130DCA6</t>
  </si>
  <si>
    <t>NEUB 2016-21A D1R3 20-Jan-2039</t>
  </si>
  <si>
    <t>04-20-2033</t>
  </si>
  <si>
    <t>64134MAQ9</t>
  </si>
  <si>
    <t>NEUB 2021-45A DR 14-Oct-2036</t>
  </si>
  <si>
    <t>67707CBL1</t>
  </si>
  <si>
    <t>OAKC 2014-10RA D1R2 20-Apr-2038</t>
  </si>
  <si>
    <t>67110NBM6</t>
  </si>
  <si>
    <t>OAKC 2016-13A D1R2 21-Oct-2037</t>
  </si>
  <si>
    <t>67706XBA0</t>
  </si>
  <si>
    <t>OAKC 2017-14A D2R 21-Jul-2037</t>
  </si>
  <si>
    <t>67707BAR1</t>
  </si>
  <si>
    <t>OAKC 2017-15A D1R 20-Apr-2037</t>
  </si>
  <si>
    <t>67115WBA7</t>
  </si>
  <si>
    <t>OAKC 2018-1A D1R 20-Apr-2037</t>
  </si>
  <si>
    <t>67112RBL7</t>
  </si>
  <si>
    <t>OAKC 2019-3A D1R2 20-Jan-2038</t>
  </si>
  <si>
    <t>67098DBL6</t>
  </si>
  <si>
    <t>OAKC 2019-4A D1R2 22-Jan-2038</t>
  </si>
  <si>
    <t>67707GBA6</t>
  </si>
  <si>
    <t>OAKC 2021-8A D1R 20-Jan-2038</t>
  </si>
  <si>
    <t>67100SAJ5</t>
  </si>
  <si>
    <t>OAKC 2024-19A D1 20-Jul-2037</t>
  </si>
  <si>
    <t>67402JAW1</t>
  </si>
  <si>
    <t>OAKCL 2021-1A D1R 15-Jan-2038</t>
  </si>
  <si>
    <t>67401RAW4</t>
  </si>
  <si>
    <t>OAKCL 2022-3A D1R 15-Oct-2037</t>
  </si>
  <si>
    <t>67402XAG5</t>
  </si>
  <si>
    <t>OAKCL 2025-29A D1 15-Apr-2038</t>
  </si>
  <si>
    <t>Oak Street Investment Fund</t>
  </si>
  <si>
    <t>11-20-2050</t>
  </si>
  <si>
    <t>67181DAG6</t>
  </si>
  <si>
    <t>OAKIG 2020-1A B1 20-Nov-2050</t>
  </si>
  <si>
    <t>67181DAH4</t>
  </si>
  <si>
    <t>OAKIG 2020-1A B2 20-Nov-2050</t>
  </si>
  <si>
    <t>01-20-2051</t>
  </si>
  <si>
    <t>67190AAE6</t>
  </si>
  <si>
    <t>OAKIG 2021-1A B1 20-Jan-2051</t>
  </si>
  <si>
    <t>67112KAK5</t>
  </si>
  <si>
    <t>OCP 2018-15A D1R 20-Jan-2038</t>
  </si>
  <si>
    <t>67118YAW3</t>
  </si>
  <si>
    <t>OCP 2022-24A D1R 20-Oct-2037</t>
  </si>
  <si>
    <t>67116HAQ5</t>
  </si>
  <si>
    <t>OCP 2023-26A D1R 17-Apr-2037</t>
  </si>
  <si>
    <t>671060AJ0</t>
  </si>
  <si>
    <t>OCP 2024-35A D1 25-Oct-2037</t>
  </si>
  <si>
    <t>67570FAG0</t>
  </si>
  <si>
    <t>OCP 2025-40A D1 16-Apr-2038</t>
  </si>
  <si>
    <t>67590BAY6</t>
  </si>
  <si>
    <t>Octagon Investment Partners Lt</t>
  </si>
  <si>
    <t>OCT16 2013-1A DR 17-Jul-2030</t>
  </si>
  <si>
    <t>67592CAJ5</t>
  </si>
  <si>
    <t>OCT39 2018-3A D 20-Oct-2030</t>
  </si>
  <si>
    <t>67573LAJ8</t>
  </si>
  <si>
    <t>OCT43 2019-1A D 25-Oct-2032</t>
  </si>
  <si>
    <t>67577MAU7</t>
  </si>
  <si>
    <t>OCT45 2019-1A DR 15-Apr-2035</t>
  </si>
  <si>
    <t>67576XBG4</t>
  </si>
  <si>
    <t>OCT47 2020-1A D1R2 22-Jan-2038</t>
  </si>
  <si>
    <t>67578FAU1</t>
  </si>
  <si>
    <t>OCT49 2020-5A D1R 15-Apr-2037</t>
  </si>
  <si>
    <t>67577FAJ7</t>
  </si>
  <si>
    <t>OCT54 2021-1A D 15-Jul-2034</t>
  </si>
  <si>
    <t>675935AY6</t>
  </si>
  <si>
    <t>OCT60 2022-1A D1R 20-Oct-2037</t>
  </si>
  <si>
    <t>675949AL5</t>
  </si>
  <si>
    <t>Octagon Credit Investors LLC</t>
  </si>
  <si>
    <t>OCT68 2023-1A D 20-Oct-2036</t>
  </si>
  <si>
    <t>675942AJ5</t>
  </si>
  <si>
    <t>OCT74 2025-2A D1A 22-Apr-2038</t>
  </si>
  <si>
    <t>67109BDJ0</t>
  </si>
  <si>
    <t>OHALF 2015-1A DR3 19-Jan-2037</t>
  </si>
  <si>
    <t>67110UBG3</t>
  </si>
  <si>
    <t>OHA Loan Funding Ltd</t>
  </si>
  <si>
    <t>OHALF 2016-1A D1R2 20-Jul-2037</t>
  </si>
  <si>
    <t>Parallel CLO Ltd</t>
  </si>
  <si>
    <t>70019KAJ6</t>
  </si>
  <si>
    <t>PKBLU 2024-6A D1 25-Jan-2038</t>
  </si>
  <si>
    <t>70019HAJ3</t>
  </si>
  <si>
    <t>PKBLU 2025-7A D1 25-Apr-2038</t>
  </si>
  <si>
    <t>69688FAG5</t>
  </si>
  <si>
    <t>PLMRS 2021-3A D 15-Jan-2035</t>
  </si>
  <si>
    <t>01-15-2035</t>
  </si>
  <si>
    <t>69703LAJ7</t>
  </si>
  <si>
    <t>PLMRS 2024-2A D1 20-Jul-2037</t>
  </si>
  <si>
    <t>69703YAJ9</t>
  </si>
  <si>
    <t>PLMRS 2025-1A D1 20-Apr-2038</t>
  </si>
  <si>
    <t>72583UAL1</t>
  </si>
  <si>
    <t>PXLY 2024-1A D1 15-Jan-2037</t>
  </si>
  <si>
    <t>75010KAL9</t>
  </si>
  <si>
    <t>RAD 2019-6A D1R 20-Oct-2037</t>
  </si>
  <si>
    <t>74936GAG3</t>
  </si>
  <si>
    <t>RAD 2020-7A D1R 17-Apr-2036</t>
  </si>
  <si>
    <t>750099AS2</t>
  </si>
  <si>
    <t>RAD 2023-21A D1R 25-Jan-2037</t>
  </si>
  <si>
    <t>74923VAJ9</t>
  </si>
  <si>
    <t>RAD 2023-22A D 20-Jan-2037</t>
  </si>
  <si>
    <t>75010RAG5</t>
  </si>
  <si>
    <t>RAD 2025-29A D1 20-Apr-2038</t>
  </si>
  <si>
    <t>75884YAN8</t>
  </si>
  <si>
    <t>REG20 2021-2A D1R 15-Jan-2038</t>
  </si>
  <si>
    <t>758968AU5</t>
  </si>
  <si>
    <t>REG22 2022-2A DR 20-Jul-2035</t>
  </si>
  <si>
    <t>75900QAJ4</t>
  </si>
  <si>
    <t>REG26 2023-2A D 25-Jan-2037</t>
  </si>
  <si>
    <t>758970AJ6</t>
  </si>
  <si>
    <t>REG27 2024-1A D 26-Apr-2037</t>
  </si>
  <si>
    <t>758971AE5</t>
  </si>
  <si>
    <t>REG29 2024-3A D1 06-Sep-2037</t>
  </si>
  <si>
    <t>75887NBC2</t>
  </si>
  <si>
    <t>REGT6 2016-1A DR2 20-Apr-2034</t>
  </si>
  <si>
    <t>75888ABN5</t>
  </si>
  <si>
    <t>REGT7 2016-1A DR2 20-Jun-2034</t>
  </si>
  <si>
    <t>773663AG4</t>
  </si>
  <si>
    <t>Rockland Park CLO Ltd</t>
  </si>
  <si>
    <t>ROCKP 2021-1A D 20-Apr-2034</t>
  </si>
  <si>
    <t>77340EBG0</t>
  </si>
  <si>
    <t>ROCKT 2017 1A</t>
  </si>
  <si>
    <t>ROCKT 2017-1A DR2B 20-Apr-2034</t>
  </si>
  <si>
    <t>76857JAL6</t>
  </si>
  <si>
    <t>RVRPK 2024-1A D 25-Jan-2038</t>
  </si>
  <si>
    <t>83013NAL4</t>
  </si>
  <si>
    <t>Sixth Street CLO</t>
  </si>
  <si>
    <t>SIXST 2019-14A D1R2 20-Jan-2038</t>
  </si>
  <si>
    <t>83012FAU2</t>
  </si>
  <si>
    <t>SIXST 2021-17A D1R 17-Apr-2038</t>
  </si>
  <si>
    <t>829929AG3</t>
  </si>
  <si>
    <t>SIXST 2023-23A D 23-Oct-2036</t>
  </si>
  <si>
    <t>83011QAG0</t>
  </si>
  <si>
    <t>SIXST 2024-24A D 23-Apr-2037</t>
  </si>
  <si>
    <t>83013GAG0</t>
  </si>
  <si>
    <t>SIXST 2024-27A D1 17-Jan-2038</t>
  </si>
  <si>
    <t>83615PAG2</t>
  </si>
  <si>
    <t>Sound Point CLO Ltd</t>
  </si>
  <si>
    <t>SNDPT 2021-3A D 25-Oct-2034</t>
  </si>
  <si>
    <t>83607PAW7</t>
  </si>
  <si>
    <t>SNDPT 2022-35A D1R 26-Apr-2038</t>
  </si>
  <si>
    <t>83617PAJ4</t>
  </si>
  <si>
    <t>SNDPT 2025-2A D1 15-Apr-2038</t>
  </si>
  <si>
    <t>828085AW0</t>
  </si>
  <si>
    <t>Silver Point CLO Ltd</t>
  </si>
  <si>
    <t>SPCLO 2022-1A D1R 20-Jan-2038</t>
  </si>
  <si>
    <t>82808UAJ4</t>
  </si>
  <si>
    <t>SPCLO 2024-7A D1 15-Jan-2038</t>
  </si>
  <si>
    <t>827918AJ2</t>
  </si>
  <si>
    <t>SPCLO 2025-8A D1 15-Apr-2038</t>
  </si>
  <si>
    <t>86217RAS7</t>
  </si>
  <si>
    <t>Storm King Park CLO LTD</t>
  </si>
  <si>
    <t>STKPK 2022-1A D1R 15-Oct-2037</t>
  </si>
  <si>
    <t>87167WAJ4</t>
  </si>
  <si>
    <t>SYMP 2021-25A D 19-Apr-2034</t>
  </si>
  <si>
    <t>87168RAW5</t>
  </si>
  <si>
    <t>SYMP 2022-36A D1R 24-Oct-2037</t>
  </si>
  <si>
    <t>871987AG8</t>
  </si>
  <si>
    <t>SYMP 2024-42A D 17-Apr-2037</t>
  </si>
  <si>
    <t>871972AJ4</t>
  </si>
  <si>
    <t>SYMP 2024-44A D 14-Jul-2037</t>
  </si>
  <si>
    <t>Tallman Park CLO</t>
  </si>
  <si>
    <t>88239MAQ2</t>
  </si>
  <si>
    <t>TCIFC 2023-2A D1R 21-Oct-2037</t>
  </si>
  <si>
    <t>510800AJ4</t>
  </si>
  <si>
    <t>THLLS 2019-1A DR 15-Apr-2033</t>
  </si>
  <si>
    <t>TPG CLO 2025-1 Ltd</t>
  </si>
  <si>
    <t>89531FBG1</t>
  </si>
  <si>
    <t>TREST 2017-1A D1RR 25-Jul-2037</t>
  </si>
  <si>
    <t>89531MAU6</t>
  </si>
  <si>
    <t>TREST 2018-2A D1R 25-Jul-2037</t>
  </si>
  <si>
    <t>89532TAY2</t>
  </si>
  <si>
    <t>TREST 2020-3A D1R 20-Oct-2037</t>
  </si>
  <si>
    <t>89532WAJ8</t>
  </si>
  <si>
    <t>TREST 2021-4A D 21-Jul-2034</t>
  </si>
  <si>
    <t>89532UAL7</t>
  </si>
  <si>
    <t>TREST 2021-5A D 20-Oct-2034</t>
  </si>
  <si>
    <t>894940BA2</t>
  </si>
  <si>
    <t>TREST 2023-6A D1R 25-Apr-2038</t>
  </si>
  <si>
    <t>89532XAL1</t>
  </si>
  <si>
    <t>TREST 2024-7A D1 25-Oct-2037</t>
  </si>
  <si>
    <t>92535VAH5</t>
  </si>
  <si>
    <t>VBTOW 2020-2A C 15-Sep-2050</t>
  </si>
  <si>
    <t>XS2348060414</t>
  </si>
  <si>
    <t>Vendome Funding</t>
  </si>
  <si>
    <t>VENDM 1A DR 20-Jul-2034</t>
  </si>
  <si>
    <t>92916MAD3</t>
  </si>
  <si>
    <t>Voya CLO Ltd</t>
  </si>
  <si>
    <t>VOYA 2017-1A C 17-Apr-2030</t>
  </si>
  <si>
    <t>92918EAS6</t>
  </si>
  <si>
    <t>VOYA 2020-1A DR 16-Jul-2034</t>
  </si>
  <si>
    <t>94949GAJ0</t>
  </si>
  <si>
    <t>WELF 2020-1A C 15-Apr-2033</t>
  </si>
  <si>
    <t>94950CAJ5</t>
  </si>
  <si>
    <t>WELF 2021-1A D 20-Apr-2034</t>
  </si>
  <si>
    <t>97314EAJ5</t>
  </si>
  <si>
    <t>WINDR 2019-2A DR 15-Jan-2035</t>
  </si>
  <si>
    <t>97315VAJ6</t>
  </si>
  <si>
    <t>WINDR 2021-2A D 20-Jul-2034</t>
  </si>
  <si>
    <t>97316UAG3</t>
  </si>
  <si>
    <t>WINDR 2021-4A D 20-Jan-2035</t>
  </si>
  <si>
    <t>668468AG6</t>
  </si>
  <si>
    <t>WOODS 2021-25A D 20-Jul-2034</t>
  </si>
  <si>
    <t>66860XAL1</t>
  </si>
  <si>
    <t>WOODS 2021-27A D 17-Oct-2034</t>
  </si>
  <si>
    <t>00119WAG2</t>
  </si>
  <si>
    <t>68626DAA0</t>
  </si>
  <si>
    <t>ANTOR 2024-3A E 25-Jul-2037</t>
  </si>
  <si>
    <t>03768NAJ4</t>
  </si>
  <si>
    <t>APID 2020-33A ER2 24-Apr-2038</t>
  </si>
  <si>
    <t>03769FAA9</t>
  </si>
  <si>
    <t>APID 2021-37A E 22-Oct-2034</t>
  </si>
  <si>
    <t>03768YAA9</t>
  </si>
  <si>
    <t>APID 2021-38A E1 21-Jan-2034</t>
  </si>
  <si>
    <t>BB+</t>
  </si>
  <si>
    <t>039952AA4</t>
  </si>
  <si>
    <t>ARES 2023-70A E 25-Oct-2035</t>
  </si>
  <si>
    <t>06759KAE5</t>
  </si>
  <si>
    <t>BABSN 2019-1A ER 15-Apr-2035</t>
  </si>
  <si>
    <t>09261MBC9</t>
  </si>
  <si>
    <t>BLKMM 2021-6A ER 20-Apr-2037</t>
  </si>
  <si>
    <t>91734KAJ6</t>
  </si>
  <si>
    <t>BLKMM 2021-8A D 15-Jan-2034</t>
  </si>
  <si>
    <t>08186QAE1</t>
  </si>
  <si>
    <t>BSP 2019-18A ER 15-Oct-2034</t>
  </si>
  <si>
    <t>12481LAE6</t>
  </si>
  <si>
    <t>CBAM 2017-2A ER 17-Jul-2034</t>
  </si>
  <si>
    <t>Ba3</t>
  </si>
  <si>
    <t>12481JAG6</t>
  </si>
  <si>
    <t>CBAM 2017-3A ER 17-Jul-2034</t>
  </si>
  <si>
    <t>12510TAF1</t>
  </si>
  <si>
    <t>CBAM 2019-11RA E 20-Jan-2035</t>
  </si>
  <si>
    <t>12509VAQ5</t>
  </si>
  <si>
    <t>CBAM 2020-12A ER 20-Jul-2034</t>
  </si>
  <si>
    <t>12511AAJ3</t>
  </si>
  <si>
    <t>CBAM 2020-13A D1 20-Jan-2034</t>
  </si>
  <si>
    <t>12511AAL8</t>
  </si>
  <si>
    <t>CBAM 2020-13A D2 20-Jan-2034</t>
  </si>
  <si>
    <t>12481UAA4</t>
  </si>
  <si>
    <t>CBAMR 2018-5A E 17-Apr-2031</t>
  </si>
  <si>
    <t>12516HAA2</t>
  </si>
  <si>
    <t>CBAMR 2018-6A ER2 31-Mar-2038</t>
  </si>
  <si>
    <t>14315DAJ1</t>
  </si>
  <si>
    <t>CGMS 2021-3SA D 15-Apr-2034</t>
  </si>
  <si>
    <t>14318AAA3</t>
  </si>
  <si>
    <t>CGMS 2021-5A E 20-Jul-2034</t>
  </si>
  <si>
    <t>143117AA7</t>
  </si>
  <si>
    <t>CGMS 2021-8A E 15-Oct-2034</t>
  </si>
  <si>
    <t>12554FAE1</t>
  </si>
  <si>
    <t>CIFC 2019-2A ER 17-Apr-2034</t>
  </si>
  <si>
    <t>23802WAE1</t>
  </si>
  <si>
    <t>COLO 2021-1A C 27-Feb-2051</t>
  </si>
  <si>
    <t>29003XAA1</t>
  </si>
  <si>
    <t>ELM14 2022-1A E 20-Apr-2035</t>
  </si>
  <si>
    <t>38136HAS8</t>
  </si>
  <si>
    <t>GLM 2017-1A ER3 20-Apr-2034</t>
  </si>
  <si>
    <t>38139CAG2</t>
  </si>
  <si>
    <t>GLM 2022-15A ER 20-Oct-2036</t>
  </si>
  <si>
    <t>40169CAL0</t>
  </si>
  <si>
    <t>GUGG 2021-4A E 15-Jan-2034</t>
  </si>
  <si>
    <t>40441AAA8</t>
  </si>
  <si>
    <t>HLM 2021-16A E 23-Jan-2035</t>
  </si>
  <si>
    <t>449249AJ0</t>
  </si>
  <si>
    <t>ICG 2021-3A E 20-Oct-2034</t>
  </si>
  <si>
    <t>48255MAA0</t>
  </si>
  <si>
    <t>KKR 2022-41A E 15-Apr-2035</t>
  </si>
  <si>
    <t>48254TAA6</t>
  </si>
  <si>
    <t>KKR 33A E 20-Jul-2034</t>
  </si>
  <si>
    <t>48254XAA7</t>
  </si>
  <si>
    <t>KKR 36A E 15-Oct-2034</t>
  </si>
  <si>
    <t>55821NAA8</t>
  </si>
  <si>
    <t>MDPK 2021-39A E 22-Oct-2034</t>
  </si>
  <si>
    <t>XS2363074688</t>
  </si>
  <si>
    <t>MONTM 2020-2A ER 15-Jul-2034</t>
  </si>
  <si>
    <t>56577GAL3</t>
  </si>
  <si>
    <t>MRNON 2020-1A D 15-Jan-2034</t>
  </si>
  <si>
    <t>56577LAQ1</t>
  </si>
  <si>
    <t>MRNON 2021-1RA ER 15-Jul-2034</t>
  </si>
  <si>
    <t>56577JAJ2</t>
  </si>
  <si>
    <t>MRNON 2021-2RA ER 15-Jul-2033</t>
  </si>
  <si>
    <t>675948AJ2</t>
  </si>
  <si>
    <t>OCT61 2023-2A ER 20-Apr-2038</t>
  </si>
  <si>
    <t>675950AA7</t>
  </si>
  <si>
    <t>OCT68 2023-1A E 20-Oct-2036</t>
  </si>
  <si>
    <t>69701TAL7</t>
  </si>
  <si>
    <t>PLMRS 2020-3A DR2 15-Nov-2036</t>
  </si>
  <si>
    <t>75888CAA0</t>
  </si>
  <si>
    <t>REG19 2022-1A E 20-Apr-2035</t>
  </si>
  <si>
    <t>75887PAN4</t>
  </si>
  <si>
    <t>REGT6 2016-1A ER2 20-Apr-2034</t>
  </si>
  <si>
    <t>77341JAA2</t>
  </si>
  <si>
    <t>ROCKT 2021-1A E 20-Jul-2034</t>
  </si>
  <si>
    <t>74980WAA6</t>
  </si>
  <si>
    <t>RR Ltd</t>
  </si>
  <si>
    <t>RRAM 2021-15A D 15-Apr-2036</t>
  </si>
  <si>
    <t>83616LAA3</t>
  </si>
  <si>
    <t>SNDPT 2022-1A E 25-Apr-2035</t>
  </si>
  <si>
    <t>87167YAA9</t>
  </si>
  <si>
    <t>SYMP 2021-25A E 19-Apr-2034</t>
  </si>
  <si>
    <t>87240GAG6</t>
  </si>
  <si>
    <t>TCP Waterman Clo LLC</t>
  </si>
  <si>
    <t>TCP 2017-1A ER 20-Aug-2033</t>
  </si>
  <si>
    <t>Turbine Engines Securitization Ltd</t>
  </si>
  <si>
    <t>12-13-2048</t>
  </si>
  <si>
    <t>XS2348060844</t>
  </si>
  <si>
    <t>VENDM 1A ER 20-Jul-2034</t>
  </si>
  <si>
    <t>94951KAC1</t>
  </si>
  <si>
    <t>WELF 2021-3A E 15-Jan-2035</t>
  </si>
  <si>
    <t>97315YAA9</t>
  </si>
  <si>
    <t>WINDR 2021-2A E 20-Jul-2034</t>
  </si>
  <si>
    <t>97316VAA4</t>
  </si>
  <si>
    <t>WINDR 2021-4A E1 20-Jan-2035</t>
  </si>
  <si>
    <t>Ba1</t>
  </si>
  <si>
    <t>66860YAA3</t>
  </si>
  <si>
    <t>WOODS 2021-27A E 17-Oct-2034</t>
  </si>
  <si>
    <t>12482GAC0</t>
  </si>
  <si>
    <t>510803AA7</t>
  </si>
  <si>
    <t>87246LAJ3</t>
  </si>
  <si>
    <t>33883PAY3</t>
  </si>
  <si>
    <t>Portfolio</t>
  </si>
  <si>
    <t>Security ID</t>
  </si>
  <si>
    <t>Quantity</t>
  </si>
  <si>
    <t>Price</t>
  </si>
  <si>
    <t>Cost Proceeds</t>
  </si>
  <si>
    <t>Coupon Rate</t>
  </si>
  <si>
    <t>Portfolio_Name</t>
  </si>
  <si>
    <t>SBL_404_404</t>
  </si>
  <si>
    <t>43CH;IG CLO Strategy</t>
  </si>
  <si>
    <t>BUY</t>
  </si>
  <si>
    <t>07-21-2035</t>
  </si>
  <si>
    <t>SBL_111_111</t>
  </si>
  <si>
    <t>44K8;HY CLO Strategy</t>
  </si>
  <si>
    <t>04-26-2036</t>
  </si>
  <si>
    <t>07-18-2036</t>
  </si>
  <si>
    <t>01-15-2031</t>
  </si>
  <si>
    <t>SBL_103_103</t>
  </si>
  <si>
    <t>SBL_107_107</t>
  </si>
  <si>
    <t>44F6;Atypical CLO Strategy</t>
  </si>
  <si>
    <t>07-27-2031</t>
  </si>
  <si>
    <t>04-18-2036</t>
  </si>
  <si>
    <t>04-22-2035</t>
  </si>
  <si>
    <t>SBL_105_105</t>
  </si>
  <si>
    <t>44D7;ABS Strategy</t>
  </si>
  <si>
    <t>10-26-2034</t>
  </si>
  <si>
    <t>SBL_104_104</t>
  </si>
  <si>
    <t>05-15-2033</t>
  </si>
  <si>
    <t>01-18-2036</t>
  </si>
  <si>
    <t>07-25-2049</t>
  </si>
  <si>
    <t>Portfolio Code</t>
  </si>
  <si>
    <t>CUSIP</t>
  </si>
  <si>
    <t>BASEMarket Value</t>
  </si>
  <si>
    <t>BASEOriginal Cost</t>
  </si>
  <si>
    <t>Issuer Name</t>
  </si>
  <si>
    <t>Yield</t>
  </si>
  <si>
    <t>Row Labels</t>
  </si>
  <si>
    <t>Manager</t>
  </si>
  <si>
    <t>Vintage</t>
  </si>
  <si>
    <t>Collateral Type</t>
  </si>
  <si>
    <t>WAL_Range</t>
  </si>
  <si>
    <t>coupon_Range</t>
  </si>
  <si>
    <t>Triple Net Lease</t>
  </si>
  <si>
    <t>Data Center</t>
  </si>
  <si>
    <t>Aircraft Portfolio</t>
  </si>
  <si>
    <t>CFO</t>
  </si>
  <si>
    <t>Engine Portfolio</t>
  </si>
  <si>
    <t>Cell Towers</t>
  </si>
  <si>
    <t>cusip</t>
  </si>
  <si>
    <t>SP Rating</t>
  </si>
  <si>
    <t>Moody Rating</t>
  </si>
  <si>
    <t>Fitch Rating</t>
  </si>
  <si>
    <t>KBRA Rating</t>
  </si>
  <si>
    <t>DBRS Rating</t>
  </si>
  <si>
    <t>A1</t>
  </si>
  <si>
    <t>Whole Business: Media Royalties</t>
  </si>
  <si>
    <t>Aimco</t>
  </si>
  <si>
    <t>Babson CLO Ltd</t>
  </si>
  <si>
    <t>Battalion CLO LTD</t>
  </si>
  <si>
    <t>Benefit Street Partners CLO Lt</t>
  </si>
  <si>
    <t>Bluemountain CLO Ltd</t>
  </si>
  <si>
    <t>CFIP CLO LTD</t>
  </si>
  <si>
    <t>Canyon CLO 2021-3 Ltd</t>
  </si>
  <si>
    <t>Carlyle US CLO 2020-1, Ltd</t>
  </si>
  <si>
    <t>CBAM CLO Management LLC</t>
  </si>
  <si>
    <t>Cerberus</t>
  </si>
  <si>
    <t>Crown Point CLO 7, Ltd</t>
  </si>
  <si>
    <t>Diameter Capital CLO</t>
  </si>
  <si>
    <t>Elevation CLO Ltd</t>
  </si>
  <si>
    <t>Elmwood CLO 38 Ltd</t>
  </si>
  <si>
    <t>Elmwood CLO 39 Ltd</t>
  </si>
  <si>
    <t>Elmwood CLO 29 Ltd</t>
  </si>
  <si>
    <t>Elmwood CLO 33 Ltd</t>
  </si>
  <si>
    <t>Elmwood CLO 24 Ltd</t>
  </si>
  <si>
    <t>Elmwood CLO 20 Ltd</t>
  </si>
  <si>
    <t>Elmwood CLO VII Ltd.</t>
  </si>
  <si>
    <t>Elmwood CLO 16 Ltd</t>
  </si>
  <si>
    <t>Elmwood CLO VIII Ltd</t>
  </si>
  <si>
    <t>Elmwood CLO 37 Ltd</t>
  </si>
  <si>
    <t>Empower CLO Ltd.</t>
  </si>
  <si>
    <t>Fortress Credit BSL Limited</t>
  </si>
  <si>
    <t>Gallatin Funding Ltd</t>
  </si>
  <si>
    <t>Generate CLO Ltd.</t>
  </si>
  <si>
    <t>Generate CLO 8 Ltd.</t>
  </si>
  <si>
    <t>Harmony-Peace Park CLO</t>
  </si>
  <si>
    <t>Hayfin Kingsland XI Ltd</t>
  </si>
  <si>
    <t>Hayfin US XIV LTD</t>
  </si>
  <si>
    <t>Juniper Valley Park CLO, Ltd</t>
  </si>
  <si>
    <t>Lake Shore MM CLO</t>
  </si>
  <si>
    <t>Lake Shore MM CLO LLC</t>
  </si>
  <si>
    <t>THL Credit Lake Shore MM CLO I</t>
  </si>
  <si>
    <t>Atrium CDO Corp</t>
  </si>
  <si>
    <t>Marble Point CLO XX Ltd</t>
  </si>
  <si>
    <t>Marble Point CLO LTD</t>
  </si>
  <si>
    <t>Newark BSL CLO 2 Ltd.</t>
  </si>
  <si>
    <t>Octagon Investment Partners 43</t>
  </si>
  <si>
    <t>Octagon Investment Partners 47</t>
  </si>
  <si>
    <t>Octagon Investment Partners 54</t>
  </si>
  <si>
    <t>Octagon Investment Partners 45</t>
  </si>
  <si>
    <t>Octagon Investment Partners 49</t>
  </si>
  <si>
    <t>OCTAGON INVESTMENT PARTNERS 39</t>
  </si>
  <si>
    <t>Octagon 60 Ltd</t>
  </si>
  <si>
    <t>Octagon 74 Ltd</t>
  </si>
  <si>
    <t>Octagon 68 Ltd</t>
  </si>
  <si>
    <t>Orion CLO Ltd.</t>
  </si>
  <si>
    <t>Regatta XX Funding Ltd</t>
  </si>
  <si>
    <t>Regatta VI Funding Ltd.</t>
  </si>
  <si>
    <t>Regatta VII Funding Ltd</t>
  </si>
  <si>
    <t>Regatta XXII Funding Ltd.</t>
  </si>
  <si>
    <t>Regatta XXVII Funding Ltd.</t>
  </si>
  <si>
    <t>Regatta XXIX Funding Ltd.</t>
  </si>
  <si>
    <t>Regatta XXVI Funding Ltd.</t>
  </si>
  <si>
    <t>Riverbank Park CLO Ltd</t>
  </si>
  <si>
    <t>Rockford Tower CLO Ltd</t>
  </si>
  <si>
    <t>Silver Point Capital CLO 1, Lt</t>
  </si>
  <si>
    <t>Sound Point CLO LTD</t>
  </si>
  <si>
    <t>Storm King Park CLO, Ltd</t>
  </si>
  <si>
    <t>AGL CLO 6 LTD</t>
  </si>
  <si>
    <t>Texas Debt Capital CLO, Ltd</t>
  </si>
  <si>
    <t>Elmwood CLO 14 Ltd</t>
  </si>
  <si>
    <t>Octagon 61 Ltd</t>
  </si>
  <si>
    <t>Regatta XIX Funding Ltd</t>
  </si>
  <si>
    <t>TCP Whitney CLO LTD</t>
  </si>
  <si>
    <t>Wise CLO 2024-2 Ltd</t>
  </si>
  <si>
    <t>Wise CLO Ltd</t>
  </si>
  <si>
    <t>05684UAJ4</t>
  </si>
  <si>
    <t>05684NAJ0</t>
  </si>
  <si>
    <t>08187AAE5</t>
  </si>
  <si>
    <t>55954VAG6</t>
  </si>
  <si>
    <t>913318AJ0</t>
  </si>
  <si>
    <t>Unity-Peace Park CLO, Ltd.</t>
  </si>
  <si>
    <t>13877JAG6</t>
  </si>
  <si>
    <t>14315GAU9</t>
  </si>
  <si>
    <t>14316XAJ6</t>
  </si>
  <si>
    <t>12516EAN1</t>
  </si>
  <si>
    <t>12567QAJ1</t>
  </si>
  <si>
    <t>18914KAJ1</t>
  </si>
  <si>
    <t>Fort Greene Park CLO</t>
  </si>
  <si>
    <t>29001XAS4</t>
  </si>
  <si>
    <t>Elmwood CLO 17 Ltd</t>
  </si>
  <si>
    <t>46146JAG1</t>
  </si>
  <si>
    <t>48257AAA4</t>
  </si>
  <si>
    <t>56577LAL2</t>
  </si>
  <si>
    <t>75885AAE9</t>
  </si>
  <si>
    <t>64130XBA3</t>
  </si>
  <si>
    <t>33883MAQ7</t>
  </si>
  <si>
    <t>67109FBE4</t>
  </si>
  <si>
    <t>675930AJ0</t>
  </si>
  <si>
    <t>Octagon 59 Ltd</t>
  </si>
  <si>
    <t>38178DAJ6</t>
  </si>
  <si>
    <t>77341KAJ0</t>
  </si>
  <si>
    <t>83614XAW1</t>
  </si>
  <si>
    <t>83616KAG2</t>
  </si>
  <si>
    <t>87168NBA1</t>
  </si>
  <si>
    <t>87168NAJ3</t>
  </si>
  <si>
    <t>87248TAS4</t>
  </si>
  <si>
    <t>TICP CLO Ltd</t>
  </si>
  <si>
    <t>55817HAU3</t>
  </si>
  <si>
    <t>WA Spread</t>
  </si>
  <si>
    <t>WA DM</t>
  </si>
  <si>
    <t>WA Yield</t>
  </si>
  <si>
    <t>Characteristics</t>
  </si>
  <si>
    <t>Vintage Year</t>
  </si>
  <si>
    <t>Manager Name</t>
  </si>
  <si>
    <t>Notes</t>
  </si>
  <si>
    <t>This report (this “Report”) has been prepared by Eldridge Capital Management, LLC (“ECM”) and the information contained herein may not be reproduced or used, in whole or in part, for any purpose other than discussions with ECM or ECM’s affiliates (together, the “Eldridge Group””), and their officers, directors, employees, partners, and representatives (collectively, the “Representatives”). This Report if provided for informational purposes only and is produced in response to SBL’s request.</t>
  </si>
  <si>
    <t xml:space="preserve">Recipients of this Report acknowledge that certain information contained herein comes from third party sources that Eldridge believes to be accurate and current; however the Eldridge Group and the Representatives shall have no liability for any misstatement or omission of fact or any opinion expressed herein. Recipients should not assume that the information in this Report is accurate as of any date other than the date of this Report. Nothing contained herein is, or should relied upon as, a promise or representations as to future performance. Any estimates and projections contained herein involve significant elements of subjective judgement and analysis that may not be correct. The economic valuations contained in this Report are base don current market conditions, which may change significantly over a short period of time. Changes and events occurring after the date hereof may affect the validity of the conclusions of this Report. </t>
  </si>
  <si>
    <t xml:space="preserve">Past performance is not indicative of, or a guarantee of, future results, and the information set forth herein should not be viewed as having any bearing on how any fund or account managed by ECM will perform. There are risks inherent in the investments, funds, and accounts managed by ECM, including potential for losses of some or all of an investment. Any performance information included in this Report is unaudited and subject to change.  </t>
  </si>
  <si>
    <t>Current Face (M)</t>
  </si>
  <si>
    <t>Market Value (M)</t>
  </si>
  <si>
    <t>Unknown</t>
  </si>
  <si>
    <t>PC Rated Feeder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</si>
</sst>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_(* #,##0_);_(* \(#,##0\);_(* &quot;-&quot;??_);_(@_)"/>
    <numFmt numFmtId="165" formatCode="yyyy\-mm\-dd\ hh:mm:ss"/>
    <numFmt numFmtId="166" formatCode="yyyy\-mm\-dd\ h:mm:ss"/>
    <numFmt numFmtId="167" formatCode="_(* #,##0.0_);_(* \(#,##0.0\);_(* &quot;-&quot;??_);_(@_)"/>
    <numFmt numFmtId="168" formatCode="0.0"/>
  </numFmts>
  <fonts count="13" x14ac:knownFonts="1">
    <font>
      <sz val="11"/>
      <color theme="1"/>
      <name val="Calibri"/>
      <family val="2"/>
      <scheme val="minor"/>
    </font>
    <font>
      <b/>
      <sz val="22"/>
      <color rgb="FF0E2841"/>
      <name val="Arial"/>
      <family val="2"/>
    </font>
    <font>
      <sz val="11"/>
      <color theme="1"/>
      <name val="Arial"/>
      <family val="2"/>
    </font>
    <font>
      <b/>
      <sz val="18"/>
      <color rgb="FF0E2841"/>
      <name val="Arial"/>
      <family val="2"/>
    </font>
    <font>
      <sz val="18"/>
      <color rgb="FF0E2841"/>
      <name val="Arial"/>
      <family val="2"/>
    </font>
    <font>
      <b/>
      <sz val="16"/>
      <color rgb="FF0E2841"/>
      <name val="Arial"/>
      <family val="2"/>
    </font>
    <font>
      <sz val="11"/>
      <color theme="1"/>
      <name val="Calibri"/>
      <family val="2"/>
      <scheme val="minor"/>
    </font>
    <font>
      <b/>
      <sz val="11"/>
      <color theme="0"/>
      <name val="Arial"/>
      <family val="2"/>
    </font>
    <font>
      <b/>
      <sz val="11"/>
      <color rgb="FF0E2841"/>
      <name val="Arial"/>
      <family val="2"/>
    </font>
    <font>
      <b/>
      <sz val="11"/>
      <name val="Calibri"/>
      <family val="2"/>
    </font>
    <font>
      <sz val="24"/>
      <color rgb="FF000000"/>
      <name val="Arial"/>
      <family val="2"/>
    </font>
    <font>
      <sz val="11"/>
      <color rgb="FF000000"/>
      <name val="Arial"/>
      <family val="2"/>
    </font>
    <font>
      <sz val="8"/>
      <name val="Calibri"/>
      <family val="2"/>
      <scheme val="minor"/>
    </font>
  </fonts>
  <fills count="6">
    <fill>
      <patternFill patternType="none"/>
    </fill>
    <fill>
      <patternFill patternType="gray125"/>
    </fill>
    <fill>
      <patternFill patternType="solid">
        <fgColor rgb="FF0E2841"/>
        <bgColor theme="4" tint="0.79998168889431442"/>
      </patternFill>
    </fill>
    <fill>
      <patternFill patternType="solid">
        <fgColor theme="0" tint="-0.14999847407452621"/>
        <bgColor theme="0" tint="-0.14999847407452621"/>
      </patternFill>
    </fill>
    <fill>
      <patternFill patternType="solid">
        <fgColor rgb="FF5DBAFF"/>
        <bgColor theme="8"/>
      </patternFill>
    </fill>
    <fill>
      <patternFill patternType="solid">
        <fgColor indexed="65"/>
        <bgColor indexed="64"/>
      </patternFill>
    </fill>
  </fills>
  <borders count="9">
    <border>
      <left/>
      <right/>
      <top/>
      <bottom/>
      <diagonal/>
    </border>
    <border>
      <left style="medium">
        <color rgb="FF000000"/>
      </left>
      <right/>
      <top style="thin">
        <color theme="4" tint="0.39997558519241921"/>
      </top>
      <bottom style="medium">
        <color rgb="FF000000"/>
      </bottom>
      <diagonal/>
    </border>
    <border>
      <left/>
      <right/>
      <top style="thin">
        <color theme="4" tint="0.39997558519241921"/>
      </top>
      <bottom style="medium">
        <color rgb="FF000000"/>
      </bottom>
      <diagonal/>
    </border>
    <border>
      <left style="thin">
        <color auto="1"/>
      </left>
      <right style="thin">
        <color auto="1"/>
      </right>
      <top style="thin">
        <color auto="1"/>
      </top>
      <bottom style="thin">
        <color auto="1"/>
      </bottom>
      <diagonal/>
    </border>
    <border>
      <left style="medium">
        <color theme="2"/>
      </left>
      <right/>
      <top style="medium">
        <color theme="2"/>
      </top>
      <bottom style="medium">
        <color theme="2"/>
      </bottom>
      <diagonal/>
    </border>
    <border>
      <left/>
      <right style="medium">
        <color theme="2"/>
      </right>
      <top style="medium">
        <color theme="2"/>
      </top>
      <bottom style="medium">
        <color theme="2"/>
      </bottom>
      <diagonal/>
    </border>
    <border>
      <left/>
      <right/>
      <top style="medium">
        <color theme="2"/>
      </top>
      <bottom style="medium">
        <color theme="2"/>
      </bottom>
      <diagonal/>
    </border>
    <border>
      <left style="medium">
        <color theme="2"/>
      </left>
      <right/>
      <top/>
      <bottom/>
      <diagonal/>
    </border>
    <border>
      <left/>
      <right style="medium">
        <color theme="2"/>
      </right>
      <top/>
      <bottom/>
      <diagonal/>
    </border>
  </borders>
  <cellStyleXfs count="3">
    <xf numFmtId="0" fontId="0" fillId="0" borderId="0"/>
    <xf numFmtId="43" fontId="6" fillId="0" borderId="0"/>
    <xf numFmtId="9" fontId="6" fillId="0" borderId="0"/>
  </cellStyleXfs>
  <cellXfs count="55">
    <xf numFmtId="0" fontId="0" fillId="0" borderId="0" xfId="0"/>
    <xf numFmtId="0" fontId="3" fillId="0" borderId="0" xfId="0" applyFont="1"/>
    <xf numFmtId="14" fontId="4" fillId="0" borderId="0" xfId="0" applyNumberFormat="1" applyFont="1"/>
    <xf numFmtId="0" fontId="4" fillId="0" borderId="0" xfId="0" applyFont="1" applyAlignment="1">
      <alignment horizontal="right"/>
    </xf>
    <xf numFmtId="0" fontId="1" fillId="0" borderId="0" xfId="0" applyFont="1"/>
    <xf numFmtId="0" fontId="7" fillId="2" borderId="1" xfId="0" applyFont="1" applyFill="1" applyBorder="1" applyAlignment="1">
      <alignment horizontal="left"/>
    </xf>
    <xf numFmtId="43" fontId="7" fillId="2" borderId="2" xfId="1" applyFont="1" applyFill="1" applyBorder="1"/>
    <xf numFmtId="0" fontId="8" fillId="0" borderId="0" xfId="0" applyFont="1"/>
    <xf numFmtId="0" fontId="2" fillId="0" borderId="0" xfId="0" applyFont="1"/>
    <xf numFmtId="0" fontId="2" fillId="0" borderId="0" xfId="0" applyFont="1" applyAlignment="1">
      <alignment horizontal="right"/>
    </xf>
    <xf numFmtId="43" fontId="2" fillId="0" borderId="0" xfId="1" applyFont="1"/>
    <xf numFmtId="0" fontId="5" fillId="0" borderId="0" xfId="0" applyFont="1"/>
    <xf numFmtId="43" fontId="2" fillId="0" borderId="0" xfId="0" applyNumberFormat="1" applyFont="1"/>
    <xf numFmtId="0" fontId="5" fillId="0" borderId="0" xfId="0" applyFont="1" applyAlignment="1">
      <alignment horizontal="left"/>
    </xf>
    <xf numFmtId="2" fontId="2" fillId="0" borderId="0" xfId="1" applyNumberFormat="1" applyFont="1" applyAlignment="1">
      <alignment horizontal="center"/>
    </xf>
    <xf numFmtId="1" fontId="2" fillId="0" borderId="0" xfId="1" applyNumberFormat="1" applyFont="1" applyAlignment="1">
      <alignment horizontal="center"/>
    </xf>
    <xf numFmtId="10" fontId="2" fillId="0" borderId="0" xfId="0" applyNumberFormat="1" applyFont="1" applyAlignment="1">
      <alignment horizontal="center"/>
    </xf>
    <xf numFmtId="0" fontId="2" fillId="0" borderId="0" xfId="0" applyFont="1" applyAlignment="1">
      <alignment horizontal="center"/>
    </xf>
    <xf numFmtId="2" fontId="2" fillId="3" borderId="0" xfId="1" applyNumberFormat="1" applyFont="1" applyFill="1" applyAlignment="1">
      <alignment horizontal="center"/>
    </xf>
    <xf numFmtId="10" fontId="7" fillId="2" borderId="2" xfId="2" applyNumberFormat="1" applyFont="1" applyFill="1" applyBorder="1" applyAlignment="1">
      <alignment horizontal="center"/>
    </xf>
    <xf numFmtId="10" fontId="2" fillId="0" borderId="0" xfId="2" applyNumberFormat="1" applyFont="1" applyAlignment="1">
      <alignment horizontal="center"/>
    </xf>
    <xf numFmtId="1" fontId="7" fillId="2" borderId="2" xfId="1" applyNumberFormat="1" applyFont="1" applyFill="1" applyBorder="1" applyAlignment="1">
      <alignment horizontal="center"/>
    </xf>
    <xf numFmtId="2" fontId="2" fillId="0" borderId="0" xfId="0" applyNumberFormat="1" applyFont="1" applyAlignment="1">
      <alignment horizontal="center"/>
    </xf>
    <xf numFmtId="0" fontId="0" fillId="0" borderId="0" xfId="0"/>
    <xf numFmtId="164" fontId="2" fillId="0" borderId="0" xfId="0" applyNumberFormat="1" applyFont="1"/>
    <xf numFmtId="0" fontId="9" fillId="0" borderId="3" xfId="0" applyFont="1" applyBorder="1" applyAlignment="1">
      <alignment horizontal="center" vertical="top"/>
    </xf>
    <xf numFmtId="166" fontId="0" fillId="0" borderId="0" xfId="0" applyNumberFormat="1"/>
    <xf numFmtId="165" fontId="0" fillId="0" borderId="0" xfId="0" applyNumberFormat="1"/>
    <xf numFmtId="0" fontId="2" fillId="0" borderId="0" xfId="0" applyNumberFormat="1" applyFont="1"/>
    <xf numFmtId="0" fontId="7" fillId="4" borderId="4" xfId="0" applyFont="1" applyFill="1" applyBorder="1" applyAlignment="1">
      <alignment horizontal="center"/>
    </xf>
    <xf numFmtId="0" fontId="7" fillId="4" borderId="6" xfId="0" applyFont="1" applyFill="1" applyBorder="1" applyAlignment="1">
      <alignment horizontal="center"/>
    </xf>
    <xf numFmtId="0" fontId="7" fillId="4" borderId="5" xfId="0" applyFont="1" applyFill="1" applyBorder="1" applyAlignment="1">
      <alignment horizontal="center"/>
    </xf>
    <xf numFmtId="2" fontId="7" fillId="4" borderId="6" xfId="0" applyNumberFormat="1" applyFont="1" applyFill="1" applyBorder="1" applyAlignment="1">
      <alignment horizontal="center"/>
    </xf>
    <xf numFmtId="164" fontId="2" fillId="3" borderId="0" xfId="1" applyNumberFormat="1" applyFont="1" applyFill="1"/>
    <xf numFmtId="164" fontId="2" fillId="0" borderId="0" xfId="1" applyNumberFormat="1" applyFont="1"/>
    <xf numFmtId="164" fontId="7" fillId="4" borderId="4" xfId="0" applyNumberFormat="1" applyFont="1" applyFill="1" applyBorder="1" applyAlignment="1">
      <alignment horizontal="center"/>
    </xf>
    <xf numFmtId="164" fontId="7" fillId="4" borderId="6" xfId="0" applyNumberFormat="1" applyFont="1" applyFill="1" applyBorder="1" applyAlignment="1">
      <alignment horizontal="center"/>
    </xf>
    <xf numFmtId="10" fontId="7" fillId="4" borderId="5" xfId="0" applyNumberFormat="1" applyFont="1" applyFill="1" applyBorder="1" applyAlignment="1">
      <alignment horizontal="center"/>
    </xf>
    <xf numFmtId="2" fontId="7" fillId="4" borderId="5" xfId="0" applyNumberFormat="1" applyFont="1" applyFill="1" applyBorder="1" applyAlignment="1">
      <alignment horizontal="center"/>
    </xf>
    <xf numFmtId="0" fontId="2" fillId="3" borderId="7" xfId="0" applyFont="1" applyFill="1" applyBorder="1" applyAlignment="1">
      <alignment horizontal="center"/>
    </xf>
    <xf numFmtId="0" fontId="2" fillId="0" borderId="7" xfId="0" applyFont="1" applyBorder="1" applyAlignment="1">
      <alignment horizontal="center"/>
    </xf>
    <xf numFmtId="10" fontId="2" fillId="3" borderId="8" xfId="2" applyNumberFormat="1" applyFont="1" applyFill="1" applyBorder="1" applyAlignment="1">
      <alignment horizontal="center"/>
    </xf>
    <xf numFmtId="10" fontId="2" fillId="0" borderId="8" xfId="2" applyNumberFormat="1" applyFont="1" applyBorder="1" applyAlignment="1">
      <alignment horizontal="center"/>
    </xf>
    <xf numFmtId="0" fontId="2" fillId="0" borderId="0" xfId="0" applyFont="1" applyBorder="1"/>
    <xf numFmtId="0" fontId="10" fillId="0" borderId="0" xfId="0" applyFont="1" applyBorder="1"/>
    <xf numFmtId="167" fontId="2" fillId="0" borderId="0" xfId="2" applyNumberFormat="1" applyFont="1" applyAlignment="1">
      <alignment horizontal="center"/>
    </xf>
    <xf numFmtId="168" fontId="2" fillId="0" borderId="0" xfId="2" applyNumberFormat="1" applyFont="1" applyAlignment="1">
      <alignment horizontal="right"/>
    </xf>
    <xf numFmtId="168" fontId="2" fillId="0" borderId="0" xfId="1" applyNumberFormat="1" applyFont="1" applyAlignment="1">
      <alignment horizontal="right"/>
    </xf>
    <xf numFmtId="2" fontId="2" fillId="0" borderId="0" xfId="1" applyNumberFormat="1" applyFont="1"/>
    <xf numFmtId="1" fontId="2" fillId="0" borderId="0" xfId="0" applyNumberFormat="1" applyFont="1" applyAlignment="1">
      <alignment horizontal="center"/>
    </xf>
    <xf numFmtId="168" fontId="2" fillId="0" borderId="0" xfId="0" applyNumberFormat="1" applyFont="1" applyFill="1" applyBorder="1" applyAlignment="1" applyProtection="1">
      <alignment horizontal="right"/>
    </xf>
    <xf numFmtId="168" fontId="2" fillId="5" borderId="0" xfId="2" applyNumberFormat="1" applyFont="1" applyFill="1" applyAlignment="1">
      <alignment horizontal="right"/>
    </xf>
    <xf numFmtId="10" fontId="2" fillId="0" borderId="0" xfId="2" applyNumberFormat="1" applyFont="1" applyFill="1" applyAlignment="1">
      <alignment horizontal="center"/>
    </xf>
    <xf numFmtId="0" fontId="2" fillId="0" borderId="0" xfId="0" applyFont="1" applyBorder="1" applyAlignment="1">
      <alignment horizontal="left" vertical="top" wrapText="1"/>
    </xf>
    <xf numFmtId="0" fontId="11" fillId="0" borderId="0" xfId="0" applyFont="1" applyBorder="1" applyAlignment="1">
      <alignment horizontal="left" vertical="top" wrapText="1" readingOrder="1"/>
    </xf>
  </cellXfs>
  <cellStyles count="3">
    <cellStyle name="Comma" xfId="1" builtinId="3"/>
    <cellStyle name="Normal" xfId="0" builtinId="0"/>
    <cellStyle name="Percent" xfId="2" builtinId="5"/>
  </cellStyles>
  <dxfs count="366">
    <dxf>
      <font>
        <b val="0"/>
        <i val="0"/>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8" formatCode="0.0"/>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rial"/>
        <family val="2"/>
        <scheme val="none"/>
      </font>
      <numFmt numFmtId="168" formatCode="0.0"/>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numFmt numFmtId="166" formatCode="yyyy\-mm\-dd\ h:mm:ss"/>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border outline="0">
        <top style="thin">
          <color theme="1"/>
        </top>
        <bottom style="thin">
          <color theme="1"/>
        </bottom>
      </border>
    </dxf>
    <dxf>
      <font>
        <strike val="0"/>
        <condense val="0"/>
        <extend val="0"/>
        <outline val="0"/>
        <shadow val="0"/>
        <vertAlign val="baseline"/>
        <sz val="11"/>
        <color theme="1"/>
        <name val="Calibri"/>
        <family val="2"/>
        <scheme val="minor"/>
      </font>
      <fill>
        <patternFill patternType="solid">
          <fgColor theme="0" tint="-0.14999847407452621"/>
          <bgColor theme="0" tint="-0.14999847407452621"/>
        </patternFill>
      </fill>
    </dxf>
    <dxf>
      <font>
        <b/>
        <strike val="0"/>
        <condense val="0"/>
        <extend val="0"/>
        <outline val="0"/>
        <shadow val="0"/>
        <vertAlign val="baseline"/>
        <sz val="11"/>
        <color theme="1"/>
        <name val="Calibri"/>
        <family val="2"/>
        <scheme val="minor"/>
      </font>
    </dxf>
    <dxf>
      <numFmt numFmtId="165" formatCode="yyyy\-mm\-dd\ hh:mm:ss"/>
    </dxf>
    <dxf>
      <numFmt numFmtId="165" formatCode="yyyy\-mm\-dd\ hh:mm:ss"/>
    </dxf>
    <dxf>
      <numFmt numFmtId="165" formatCode="yyyy\-mm\-dd\ hh:mm:ss"/>
    </dxf>
    <dxf>
      <border outline="0">
        <top style="thin">
          <color auto="1"/>
        </top>
      </border>
    </dxf>
    <dxf>
      <border outline="0">
        <bottom style="thin">
          <color auto="1"/>
        </bottom>
      </border>
    </dxf>
    <dxf>
      <font>
        <b/>
        <strike val="0"/>
        <condense val="0"/>
        <extend val="0"/>
        <outline val="0"/>
        <shadow val="0"/>
        <vertAlign val="baseline"/>
        <sz val="11"/>
        <color auto="1"/>
        <name val="Calibri"/>
        <family val="2"/>
      </font>
      <alignment horizontal="center" vertical="top"/>
      <border outline="0">
        <left style="thin">
          <color auto="1"/>
        </left>
        <right style="thin">
          <color auto="1"/>
        </right>
        <top/>
        <bottom/>
      </border>
    </dxf>
    <dxf>
      <font>
        <b val="0"/>
        <i val="0"/>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8" formatCode="0.0"/>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8" formatCode="0.0"/>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numFmt numFmtId="14" formatCode="0.00%"/>
      <alignment horizontal="center" vertical="bottom" textRotation="0" wrapText="0" indent="0" justifyLastLine="0" shrinkToFit="0" readingOrder="0"/>
    </dxf>
    <dxf>
      <font>
        <strike val="0"/>
        <outline val="0"/>
        <shadow val="0"/>
        <u val="none"/>
        <vertAlign val="baseline"/>
        <name val="Arial"/>
        <family val="2"/>
        <scheme val="none"/>
      </font>
      <numFmt numFmtId="14"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68" formatCode="0.0"/>
      <fill>
        <patternFill>
          <fgColor indexed="64"/>
          <bgColor indexed="65"/>
        </patternFill>
      </fill>
      <alignment horizontal="right"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68" formatCode="0.0"/>
      <fill>
        <patternFill>
          <fgColor indexed="64"/>
          <bgColor indexed="65"/>
        </patternFill>
      </fill>
      <alignment horizontal="right"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dxf>
    <dxf>
      <font>
        <strike val="0"/>
        <outline val="0"/>
        <shadow val="0"/>
        <u val="none"/>
        <vertAlign val="baseline"/>
        <name val="Arial"/>
        <family val="2"/>
        <scheme val="none"/>
      </font>
      <alignment horizontal="center" vertical="bottom"/>
    </dxf>
    <dxf>
      <font>
        <strike val="0"/>
        <outline val="0"/>
        <shadow val="0"/>
        <u val="none"/>
        <vertAlign val="baseline"/>
        <name val="Arial"/>
        <family val="2"/>
        <scheme val="none"/>
      </font>
      <alignment horizontal="center" vertical="bottom"/>
    </dxf>
    <dxf>
      <font>
        <strike val="0"/>
        <outline val="0"/>
        <shadow val="0"/>
        <u val="none"/>
        <vertAlign val="baseline"/>
        <name val="Arial"/>
        <family val="2"/>
        <scheme val="none"/>
      </font>
      <alignment horizontal="center" vertical="bottom"/>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64" formatCode="_(* #,##0_);_(* \(#,##0\);_(* &quot;-&quot;??_);_(@_)"/>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64" formatCode="_(* #,##0_);_(* \(#,##0\);_(* &quot;-&quot;??_);_(@_)"/>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 formatCode="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164" formatCode="_(* #,##0_);_(* \(#,##0\);_(* &quot;-&quot;??_);_(@_)"/>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164" formatCode="_(* #,##0_);_(* \(#,##0\);_(* &quot;-&quot;??_);_(@_)"/>
    </dxf>
    <dxf>
      <font>
        <strike val="0"/>
        <condense val="0"/>
        <extend val="0"/>
        <outline val="0"/>
        <shadow val="0"/>
        <u val="none"/>
        <vertAlign val="baseline"/>
        <sz val="11"/>
        <color theme="1"/>
        <name val="Arial"/>
        <family val="2"/>
        <scheme val="none"/>
      </font>
      <numFmt numFmtId="1" formatCode="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strike val="0"/>
        <outline val="0"/>
        <shadow val="0"/>
        <u val="none"/>
        <vertAlign val="baseline"/>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strike val="0"/>
        <outline val="0"/>
        <shadow val="0"/>
        <u val="none"/>
        <vertAlign val="baseline"/>
        <name val="Arial"/>
        <family val="2"/>
        <scheme val="none"/>
      </font>
      <numFmt numFmtId="14"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68" formatCode="0.0"/>
      <fill>
        <patternFill>
          <fgColor indexed="64"/>
          <bgColor indexed="65"/>
        </patternFill>
      </fill>
      <alignment horizontal="right"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68" formatCode="0.0"/>
      <fill>
        <patternFill>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dxf>
    <dxf>
      <font>
        <strike val="0"/>
        <outline val="0"/>
        <shadow val="0"/>
        <u val="none"/>
        <vertAlign val="baseline"/>
        <name val="Arial"/>
        <family val="2"/>
        <scheme val="none"/>
      </font>
      <alignment horizontal="center" vertical="bottom"/>
    </dxf>
    <dxf>
      <font>
        <strike val="0"/>
        <outline val="0"/>
        <shadow val="0"/>
        <u val="none"/>
        <vertAlign val="baseline"/>
        <name val="Arial"/>
        <family val="2"/>
        <scheme val="none"/>
      </font>
      <alignment horizontal="center" vertical="bottom"/>
    </dxf>
    <dxf>
      <font>
        <strike val="0"/>
        <outline val="0"/>
        <shadow val="0"/>
        <u val="none"/>
        <vertAlign val="baseline"/>
        <name val="Arial"/>
        <family val="2"/>
        <scheme val="none"/>
      </font>
      <alignment horizontal="center" vertical="bottom"/>
    </dxf>
    <dxf>
      <font>
        <b val="0"/>
        <i val="0"/>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strike val="0"/>
        <outline val="0"/>
        <shadow val="0"/>
        <u val="none"/>
        <vertAlign val="baseline"/>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strike val="0"/>
        <outline val="0"/>
        <shadow val="0"/>
        <u val="none"/>
        <vertAlign val="baseline"/>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5" formatCode="_(* #,##0.00_);_(* \(#,##0.00\);_(* &quot;-&quot;??_);_(@_)"/>
    </dxf>
    <dxf>
      <font>
        <strike val="0"/>
        <condense val="0"/>
        <extend val="0"/>
        <outline val="0"/>
        <shadow val="0"/>
        <u val="none"/>
        <vertAlign val="baseline"/>
        <sz val="11"/>
        <color theme="1"/>
        <name val="Arial"/>
        <family val="2"/>
        <scheme val="none"/>
      </font>
      <numFmt numFmtId="168" formatCode="0.0"/>
      <fill>
        <patternFill>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5" formatCode="_(* #,##0.00_);_(* \(#,##0.00\);_(* &quot;-&quot;??_);_(@_)"/>
    </dxf>
    <dxf>
      <font>
        <strike val="0"/>
        <condense val="0"/>
        <extend val="0"/>
        <outline val="0"/>
        <shadow val="0"/>
        <u val="none"/>
        <vertAlign val="baseline"/>
        <sz val="11"/>
        <color theme="1"/>
        <name val="Arial"/>
        <family val="2"/>
        <scheme val="none"/>
      </font>
      <numFmt numFmtId="168" formatCode="0.0"/>
      <fill>
        <patternFill>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dxf>
    <dxf>
      <font>
        <strike val="0"/>
        <outline val="0"/>
        <shadow val="0"/>
        <u val="none"/>
        <vertAlign val="baseline"/>
        <name val="Arial"/>
        <family val="2"/>
        <scheme val="none"/>
      </font>
      <alignment horizontal="center" vertical="bottom"/>
    </dxf>
    <dxf>
      <font>
        <strike val="0"/>
        <outline val="0"/>
        <shadow val="0"/>
        <u val="none"/>
        <vertAlign val="baseline"/>
        <name val="Arial"/>
        <family val="2"/>
        <scheme val="none"/>
      </font>
      <alignment horizontal="center" vertical="bottom"/>
    </dxf>
    <dxf>
      <font>
        <strike val="0"/>
        <outline val="0"/>
        <shadow val="0"/>
        <u val="none"/>
        <vertAlign val="baseline"/>
        <name val="Arial"/>
        <family val="2"/>
        <scheme val="none"/>
      </font>
      <alignment horizontal="center" vertical="bottom"/>
    </dxf>
    <dxf>
      <font>
        <b val="0"/>
        <i val="0"/>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strike val="0"/>
        <outline val="0"/>
        <shadow val="0"/>
        <u val="none"/>
        <vertAlign val="baseline"/>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strike val="0"/>
        <outline val="0"/>
        <shadow val="0"/>
        <u val="none"/>
        <vertAlign val="baseline"/>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7" formatCode="_(* #,##0.0_);_(* \(#,##0.0\);_(* &quot;-&quot;??_);_(@_)"/>
      <alignment horizontal="right"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68" formatCode="0.0"/>
      <fill>
        <patternFill>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7" formatCode="_(* #,##0.0_);_(* \(#,##0.0\);_(* &quot;-&quot;??_);_(@_)"/>
      <alignment horizontal="right"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68" formatCode="0.0"/>
      <fill>
        <patternFill>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fill>
        <patternFill>
          <fgColor indexed="64"/>
          <bgColor indexed="65"/>
        </patternFill>
      </fill>
      <alignment horizontal="center" vertical="bottom"/>
    </dxf>
    <dxf>
      <font>
        <strike val="0"/>
        <outline val="0"/>
        <shadow val="0"/>
        <u val="none"/>
        <vertAlign val="baseline"/>
        <name val="Arial"/>
        <family val="2"/>
        <scheme val="none"/>
      </font>
      <alignment horizontal="center" vertical="bottom"/>
    </dxf>
    <dxf>
      <font>
        <strike val="0"/>
        <outline val="0"/>
        <shadow val="0"/>
        <u val="none"/>
        <vertAlign val="baseline"/>
        <name val="Arial"/>
        <family val="2"/>
        <scheme val="none"/>
      </font>
      <alignment horizontal="center" vertical="bottom"/>
    </dxf>
    <dxf>
      <font>
        <strike val="0"/>
        <outline val="0"/>
        <shadow val="0"/>
        <u val="none"/>
        <vertAlign val="baseline"/>
        <name val="Arial"/>
        <family val="2"/>
        <scheme val="none"/>
      </font>
      <alignment horizontal="center" vertical="bottom"/>
    </dxf>
    <dxf>
      <font>
        <strike val="0"/>
        <outline val="0"/>
        <shadow val="0"/>
        <u val="none"/>
        <vertAlign val="baseline"/>
        <name val="Arial"/>
        <family val="2"/>
        <scheme val="none"/>
      </font>
    </dxf>
    <dxf>
      <font>
        <strike val="0"/>
        <condense val="0"/>
        <extend val="0"/>
        <outline val="0"/>
        <shadow val="0"/>
        <u val="none"/>
        <vertAlign val="baseline"/>
        <sz val="11"/>
        <color theme="1"/>
        <name val="Arial"/>
        <family val="2"/>
        <scheme val="none"/>
      </font>
      <alignment horizontal="center" vertical="bottom"/>
    </dxf>
    <dxf>
      <font>
        <strike val="0"/>
        <outline val="0"/>
        <shadow val="0"/>
        <u val="none"/>
        <vertAlign val="baseline"/>
        <name val="Arial"/>
        <family val="2"/>
        <scheme val="none"/>
      </font>
    </dxf>
    <dxf>
      <font>
        <strike val="0"/>
        <condense val="0"/>
        <extend val="0"/>
        <outline val="0"/>
        <shadow val="0"/>
        <u val="none"/>
        <vertAlign val="baseline"/>
        <sz val="11"/>
        <color theme="1"/>
        <name val="Arial"/>
        <family val="2"/>
        <scheme val="none"/>
      </font>
      <alignment horizontal="right" vertical="bottom"/>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 formatCode="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164" formatCode="_(* #,##0_);_(* \(#,##0\);_(* &quot;-&quot;??_);_(@_)"/>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164" formatCode="_(* #,##0_);_(* \(#,##0\);_(* &quot;-&quot;??_);_(@_)"/>
    </dxf>
    <dxf>
      <font>
        <strike val="0"/>
        <condense val="0"/>
        <extend val="0"/>
        <outline val="0"/>
        <shadow val="0"/>
        <u val="none"/>
        <vertAlign val="baseline"/>
        <sz val="11"/>
        <color theme="1"/>
        <name val="Arial"/>
        <family val="2"/>
        <scheme val="none"/>
      </font>
      <numFmt numFmtId="1" formatCode="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 formatCode="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164" formatCode="_(* #,##0_);_(* \(#,##0\);_(* &quot;-&quot;??_);_(@_)"/>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164" formatCode="_(* #,##0_);_(* \(#,##0\);_(* &quot;-&quot;??_);_(@_)"/>
    </dxf>
    <dxf>
      <font>
        <strike val="0"/>
        <condense val="0"/>
        <extend val="0"/>
        <outline val="0"/>
        <shadow val="0"/>
        <u val="none"/>
        <vertAlign val="baseline"/>
        <sz val="11"/>
        <color theme="1"/>
        <name val="Arial"/>
        <family val="2"/>
        <scheme val="none"/>
      </font>
      <numFmt numFmtId="1" formatCode="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 formatCode="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164" formatCode="_(* #,##0_);_(* \(#,##0\);_(* &quot;-&quot;??_);_(@_)"/>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164" formatCode="_(* #,##0_);_(* \(#,##0\);_(* &quot;-&quot;??_);_(@_)"/>
    </dxf>
    <dxf>
      <font>
        <strike val="0"/>
        <condense val="0"/>
        <extend val="0"/>
        <outline val="0"/>
        <shadow val="0"/>
        <u val="none"/>
        <vertAlign val="baseline"/>
        <sz val="11"/>
        <color theme="1"/>
        <name val="Arial"/>
        <family val="2"/>
        <scheme val="none"/>
      </font>
      <numFmt numFmtId="1" formatCode="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vertAlign val="baseline"/>
        <sz val="11"/>
        <color theme="1"/>
        <name val="Arial"/>
        <family val="2"/>
      </font>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vertAlign val="baseline"/>
        <sz val="11"/>
        <color theme="1"/>
        <name val="Arial"/>
        <family val="2"/>
      </font>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vertAlign val="baseline"/>
        <sz val="11"/>
        <color theme="1"/>
        <name val="Arial"/>
        <family val="2"/>
      </font>
    </dxf>
    <dxf>
      <font>
        <strike val="0"/>
        <condense val="0"/>
        <extend val="0"/>
        <outline val="0"/>
        <shadow val="0"/>
        <u val="none"/>
        <vertAlign val="baseline"/>
        <sz val="11"/>
        <color theme="1"/>
        <name val="Arial"/>
        <family val="2"/>
        <scheme val="none"/>
      </font>
      <numFmt numFmtId="1" formatCode="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strike val="0"/>
        <condense val="0"/>
        <extend val="0"/>
        <outline val="0"/>
        <shadow val="0"/>
        <vertAlign val="baseline"/>
        <sz val="11"/>
        <color theme="1"/>
        <name val="Arial"/>
        <family val="2"/>
      </font>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vertAlign val="baseline"/>
        <sz val="11"/>
        <color theme="1"/>
        <name val="Arial"/>
        <family val="2"/>
      </font>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vertAlign val="baseline"/>
        <sz val="11"/>
        <color theme="1"/>
        <name val="Arial"/>
        <family val="2"/>
      </font>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vertAlign val="baseline"/>
        <sz val="11"/>
        <color theme="1"/>
        <name val="Arial"/>
        <family val="2"/>
      </font>
    </dxf>
    <dxf>
      <font>
        <strike val="0"/>
        <outline val="0"/>
        <shadow val="0"/>
        <u val="none"/>
        <vertAlign val="baseline"/>
        <sz val="11"/>
        <color theme="1"/>
        <name val="Arial"/>
        <family val="2"/>
        <scheme val="none"/>
      </font>
      <numFmt numFmtId="164" formatCode="_(* #,##0_);_(* \(#,##0\);_(* &quot;-&quot;??_);_(@_)"/>
    </dxf>
    <dxf>
      <font>
        <strike val="0"/>
        <condense val="0"/>
        <extend val="0"/>
        <outline val="0"/>
        <shadow val="0"/>
        <vertAlign val="baseline"/>
        <sz val="11"/>
        <color theme="1"/>
        <name val="Arial"/>
        <family val="2"/>
      </font>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vertAlign val="baseline"/>
        <sz val="11"/>
        <color theme="1"/>
        <name val="Arial"/>
        <family val="2"/>
      </font>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vertAlign val="baseline"/>
        <sz val="11"/>
        <color theme="1"/>
        <name val="Arial"/>
        <family val="2"/>
      </font>
    </dxf>
    <dxf>
      <font>
        <strike val="0"/>
        <outline val="0"/>
        <shadow val="0"/>
        <u val="none"/>
        <vertAlign val="baseline"/>
        <sz val="11"/>
        <color theme="1"/>
        <name val="Arial"/>
        <family val="2"/>
        <scheme val="none"/>
      </font>
      <numFmt numFmtId="164" formatCode="_(* #,##0_);_(* \(#,##0\);_(* &quot;-&quot;??_);_(@_)"/>
    </dxf>
    <dxf>
      <font>
        <strike val="0"/>
        <condense val="0"/>
        <extend val="0"/>
        <outline val="0"/>
        <shadow val="0"/>
        <vertAlign val="baseline"/>
        <sz val="11"/>
        <color theme="1"/>
        <name val="Arial"/>
        <family val="2"/>
      </font>
    </dxf>
    <dxf>
      <font>
        <strike val="0"/>
        <condense val="0"/>
        <extend val="0"/>
        <outline val="0"/>
        <shadow val="0"/>
        <u val="none"/>
        <vertAlign val="baseline"/>
        <sz val="11"/>
        <color theme="1"/>
        <name val="Arial"/>
        <family val="2"/>
        <scheme val="none"/>
      </font>
      <numFmt numFmtId="1" formatCode="0"/>
      <alignment horizontal="center" vertical="bottom" textRotation="0" wrapText="0" indent="0" justifyLastLine="0" shrinkToFit="0" readingOrder="0"/>
    </dxf>
    <dxf>
      <font>
        <strike val="0"/>
        <condense val="0"/>
        <extend val="0"/>
        <outline val="0"/>
        <shadow val="0"/>
        <vertAlign val="baseline"/>
        <sz val="11"/>
        <color theme="1"/>
        <name val="Arial"/>
        <family val="2"/>
      </font>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vertAlign val="baseline"/>
        <sz val="11"/>
        <color theme="1"/>
        <name val="Arial"/>
        <family val="2"/>
      </font>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vertAlign val="baseline"/>
        <sz val="11"/>
        <color theme="1"/>
        <name val="Arial"/>
        <family val="2"/>
      </font>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vertAlign val="baseline"/>
        <sz val="11"/>
        <color theme="1"/>
        <name val="Arial"/>
        <family val="2"/>
      </font>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vertAlign val="baseline"/>
        <sz val="11"/>
        <color theme="1"/>
        <name val="Arial"/>
        <family val="2"/>
      </font>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vertAlign val="baseline"/>
        <sz val="11"/>
        <color theme="1"/>
        <name val="Arial"/>
        <family val="2"/>
      </font>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 formatCode="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164" formatCode="_(* #,##0_);_(* \(#,##0\);_(* &quot;-&quot;??_);_(@_)"/>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164" formatCode="_(* #,##0_);_(* \(#,##0\);_(* &quot;-&quot;??_);_(@_)"/>
    </dxf>
    <dxf>
      <font>
        <strike val="0"/>
        <condense val="0"/>
        <extend val="0"/>
        <outline val="0"/>
        <shadow val="0"/>
        <u val="none"/>
        <vertAlign val="baseline"/>
        <sz val="11"/>
        <color theme="1"/>
        <name val="Arial"/>
        <family val="2"/>
        <scheme val="none"/>
      </font>
      <numFmt numFmtId="1" formatCode="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 formatCode="0"/>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Arial"/>
        <family val="2"/>
        <scheme val="none"/>
      </font>
      <numFmt numFmtId="164" formatCode="_(* #,##0_);_(* \(#,##0\);_(* &quot;-&quot;??_);_(@_)"/>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Arial"/>
        <family val="2"/>
        <scheme val="none"/>
      </font>
      <numFmt numFmtId="164" formatCode="_(* #,##0_);_(* \(#,##0\);_(* &quot;-&quot;??_);_(@_)"/>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numFmt numFmtId="2" formatCode="0.00"/>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2" formatCode="0.00"/>
    </dxf>
    <dxf>
      <font>
        <b val="0"/>
        <i val="0"/>
        <strike val="0"/>
        <outline val="0"/>
        <shadow val="0"/>
        <u val="none"/>
        <vertAlign val="baseline"/>
        <sz val="11"/>
        <color theme="1"/>
        <name val="Arial"/>
        <family val="2"/>
        <scheme val="none"/>
      </font>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name val="Arial"/>
        <family val="2"/>
        <scheme val="none"/>
      </font>
      <alignment horizontal="center" vertical="bottom"/>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numFmt numFmtId="2" formatCode="0.00"/>
      <alignment horizontal="center" vertical="bottom" textRotation="0" wrapText="0" indent="0" justifyLastLine="0" shrinkToFit="0" readingOrder="0"/>
    </dxf>
    <dxf>
      <font>
        <strike val="0"/>
        <outline val="0"/>
        <shadow val="0"/>
        <u val="none"/>
        <vertAlign val="baseline"/>
        <name val="Arial"/>
        <family val="2"/>
        <scheme val="none"/>
      </font>
      <numFmt numFmtId="2" formatCode="0.00"/>
      <alignment horizontal="center" vertical="bottom" textRotation="0" wrapText="0" indent="0" justifyLastLine="0" shrinkToFit="0" readingOrder="0"/>
    </dxf>
    <dxf>
      <font>
        <strike val="0"/>
        <outline val="0"/>
        <shadow val="0"/>
        <u val="none"/>
        <vertAlign val="baseline"/>
        <name val="Arial"/>
        <family val="2"/>
        <scheme val="none"/>
      </font>
      <numFmt numFmtId="164" formatCode="_(* #,##0_);_(* \(#,##0\);_(* &quot;-&quot;??_);_(@_)"/>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numFmt numFmtId="2" formatCode="0.00"/>
      <alignment horizontal="center" vertical="bottom" textRotation="0" wrapText="0" indent="0" justifyLastLine="0" shrinkToFit="0" readingOrder="0"/>
    </dxf>
    <dxf>
      <font>
        <strike val="0"/>
        <outline val="0"/>
        <shadow val="0"/>
        <u val="none"/>
        <vertAlign val="baseline"/>
        <sz val="11"/>
        <color theme="1"/>
        <name val="Arial"/>
        <family val="2"/>
        <scheme val="none"/>
      </font>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alignment horizontal="center" vertical="bottom"/>
    </dxf>
    <dxf>
      <font>
        <strike val="0"/>
        <outline val="0"/>
        <shadow val="0"/>
        <u val="none"/>
        <vertAlign val="baseline"/>
        <name val="Arial"/>
        <family val="2"/>
        <scheme val="none"/>
      </font>
      <alignment horizontal="center" vertical="bottom"/>
    </dxf>
    <dxf>
      <font>
        <strike val="0"/>
        <condense val="0"/>
        <extend val="0"/>
        <outline val="0"/>
        <shadow val="0"/>
        <vertAlign val="baseline"/>
        <sz val="11"/>
        <color theme="1"/>
        <name val="Arial"/>
        <family val="2"/>
      </font>
    </dxf>
    <dxf>
      <font>
        <strike val="0"/>
        <outline val="0"/>
        <shadow val="0"/>
        <u val="none"/>
        <vertAlign val="baseline"/>
        <name val="Arial"/>
        <family val="2"/>
        <scheme val="none"/>
      </font>
      <numFmt numFmtId="0" formatCode="General"/>
      <alignment horizontal="center" vertical="bottom"/>
    </dxf>
    <dxf>
      <font>
        <strike val="0"/>
        <condense val="0"/>
        <extend val="0"/>
        <outline val="0"/>
        <shadow val="0"/>
        <vertAlign val="baseline"/>
        <sz val="11"/>
        <color theme="1"/>
        <name val="Arial"/>
        <family val="2"/>
      </font>
    </dxf>
    <dxf>
      <font>
        <strike val="0"/>
        <outline val="0"/>
        <shadow val="0"/>
        <u val="none"/>
        <vertAlign val="baseline"/>
        <name val="Arial"/>
        <family val="2"/>
        <scheme val="none"/>
      </font>
      <numFmt numFmtId="0" formatCode="General"/>
      <alignment horizontal="center" vertical="bottom"/>
    </dxf>
    <dxf>
      <font>
        <strike val="0"/>
        <outline val="0"/>
        <shadow val="0"/>
        <u val="none"/>
        <vertAlign val="baseline"/>
        <name val="Arial"/>
        <family val="2"/>
        <scheme val="none"/>
      </font>
      <numFmt numFmtId="0" formatCode="General"/>
      <alignment horizontal="center" vertical="bottom"/>
    </dxf>
    <dxf>
      <font>
        <strike val="0"/>
        <condense val="0"/>
        <extend val="0"/>
        <outline val="0"/>
        <shadow val="0"/>
        <vertAlign val="baseline"/>
        <sz val="11"/>
        <color theme="1"/>
        <name val="Arial"/>
        <family val="2"/>
      </font>
      <numFmt numFmtId="0" formatCode="General"/>
    </dxf>
    <dxf>
      <font>
        <strike val="0"/>
        <outline val="0"/>
        <shadow val="0"/>
        <u val="none"/>
        <vertAlign val="baseline"/>
        <name val="Arial"/>
        <family val="2"/>
        <scheme val="none"/>
      </font>
      <numFmt numFmtId="14" formatCode="0.00%"/>
      <alignment horizontal="center" vertical="bottom"/>
    </dxf>
    <dxf>
      <font>
        <strike val="0"/>
        <condense val="0"/>
        <extend val="0"/>
        <outline val="0"/>
        <shadow val="0"/>
        <vertAlign val="baseline"/>
        <sz val="11"/>
        <color theme="1"/>
        <name val="Arial"/>
        <family val="2"/>
      </font>
      <numFmt numFmtId="0" formatCode="General"/>
    </dxf>
    <dxf>
      <font>
        <strike val="0"/>
        <outline val="0"/>
        <shadow val="0"/>
        <u val="none"/>
        <vertAlign val="baseline"/>
        <name val="Arial"/>
        <family val="2"/>
        <scheme val="none"/>
      </font>
      <numFmt numFmtId="14" formatCode="0.00%"/>
      <alignment horizontal="center" vertical="bottom"/>
    </dxf>
    <dxf>
      <font>
        <strike val="0"/>
        <condense val="0"/>
        <extend val="0"/>
        <outline val="0"/>
        <shadow val="0"/>
        <vertAlign val="baseline"/>
        <sz val="11"/>
        <color theme="1"/>
        <name val="Arial"/>
        <family val="2"/>
      </font>
      <numFmt numFmtId="0" formatCode="General"/>
    </dxf>
    <dxf>
      <font>
        <strike val="0"/>
        <outline val="0"/>
        <shadow val="0"/>
        <u val="none"/>
        <vertAlign val="baseline"/>
        <name val="Arial"/>
        <family val="2"/>
        <scheme val="none"/>
      </font>
      <numFmt numFmtId="35" formatCode="_(* #,##0.00_);_(* \(#,##0.00\);_(* &quot;-&quot;??_);_(@_)"/>
    </dxf>
    <dxf>
      <font>
        <strike val="0"/>
        <condense val="0"/>
        <extend val="0"/>
        <outline val="0"/>
        <shadow val="0"/>
        <vertAlign val="baseline"/>
        <sz val="11"/>
        <color theme="1"/>
        <name val="Arial"/>
        <family val="2"/>
      </font>
      <numFmt numFmtId="0" formatCode="General"/>
    </dxf>
    <dxf>
      <font>
        <strike val="0"/>
        <outline val="0"/>
        <shadow val="0"/>
        <u val="none"/>
        <vertAlign val="baseline"/>
        <name val="Arial"/>
        <family val="2"/>
        <scheme val="none"/>
      </font>
      <numFmt numFmtId="35" formatCode="_(* #,##0.00_);_(* \(#,##0.00\);_(* &quot;-&quot;??_);_(@_)"/>
    </dxf>
    <dxf>
      <font>
        <strike val="0"/>
        <condense val="0"/>
        <extend val="0"/>
        <outline val="0"/>
        <shadow val="0"/>
        <vertAlign val="baseline"/>
        <sz val="11"/>
        <color theme="1"/>
        <name val="Arial"/>
        <family val="2"/>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8"/>
          <bgColor theme="8"/>
        </patternFill>
      </fill>
    </dxf>
    <dxf>
      <font>
        <b/>
        <color theme="0"/>
      </font>
      <fill>
        <patternFill patternType="solid">
          <fgColor theme="8"/>
          <bgColor theme="8"/>
        </patternFill>
      </fill>
    </dxf>
    <dxf>
      <font>
        <b/>
        <i val="0"/>
        <u val="none"/>
        <color theme="0"/>
      </font>
      <fill>
        <patternFill>
          <bgColor rgb="FF5DBAFF"/>
        </patternFill>
      </fill>
      <border>
        <top/>
      </border>
    </dxf>
    <dxf>
      <font>
        <b/>
        <color theme="0"/>
      </font>
      <fill>
        <patternFill patternType="solid">
          <fgColor theme="8"/>
          <bgColor rgb="FF5DBAFF"/>
        </patternFill>
      </fill>
      <border>
        <bottom style="medium">
          <color theme="2"/>
        </bottom>
      </border>
    </dxf>
    <dxf>
      <font>
        <color theme="1"/>
      </font>
      <border diagonalUp="0" diagonalDown="0">
        <left style="medium">
          <color theme="2"/>
        </left>
        <right style="medium">
          <color theme="2"/>
        </right>
        <top style="medium">
          <color theme="2"/>
        </top>
        <bottom style="medium">
          <color theme="2"/>
        </bottom>
        <vertical/>
        <horizontal/>
      </border>
    </dxf>
    <dxf>
      <border>
        <left/>
        <right/>
        <top/>
        <bottom/>
        <vertical/>
        <horizontal/>
      </border>
    </dxf>
    <dxf>
      <border>
        <left style="thin">
          <color theme="6"/>
        </left>
      </border>
    </dxf>
    <dxf>
      <border>
        <top style="thin">
          <color theme="6"/>
        </top>
      </border>
    </dxf>
    <dxf>
      <border>
        <top style="thin">
          <color theme="6"/>
        </top>
      </border>
    </dxf>
    <dxf>
      <font>
        <b/>
        <color theme="1"/>
      </font>
    </dxf>
    <dxf>
      <font>
        <b/>
        <color theme="1"/>
      </font>
    </dxf>
    <dxf>
      <font>
        <b/>
        <color theme="1"/>
      </font>
      <border>
        <top style="double">
          <color theme="6"/>
        </top>
      </border>
    </dxf>
    <dxf>
      <font>
        <b/>
        <color theme="0"/>
      </font>
      <fill>
        <patternFill patternType="solid">
          <fgColor theme="6"/>
          <bgColor rgb="FF0E2841"/>
        </patternFill>
      </fill>
    </dxf>
    <dxf>
      <font>
        <color theme="1"/>
      </font>
      <border>
        <left style="medium">
          <color theme="6"/>
        </left>
        <right style="medium">
          <color theme="6"/>
        </right>
        <top style="medium">
          <color theme="6"/>
        </top>
        <bottom style="medium">
          <color theme="6"/>
        </bottom>
        <vertical/>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8"/>
          <bgColor theme="8"/>
        </patternFill>
      </fill>
    </dxf>
    <dxf>
      <font>
        <b/>
        <color theme="0"/>
      </font>
      <fill>
        <patternFill patternType="solid">
          <fgColor theme="8"/>
          <bgColor theme="8"/>
        </patternFill>
      </fill>
    </dxf>
    <dxf>
      <border>
        <top style="double">
          <color theme="1"/>
        </top>
      </border>
    </dxf>
    <dxf>
      <font>
        <b/>
        <color theme="0"/>
      </font>
      <fill>
        <patternFill patternType="solid">
          <fgColor theme="8"/>
          <bgColor rgb="FF0E2841"/>
        </patternFill>
      </fill>
      <border>
        <bottom style="medium">
          <color theme="1"/>
        </bottom>
      </border>
    </dxf>
    <dxf>
      <font>
        <color theme="1"/>
      </font>
      <border>
        <left style="medium">
          <color theme="1"/>
        </left>
        <right style="medium">
          <color theme="1"/>
        </right>
        <top style="medium">
          <color theme="1"/>
        </top>
        <bottom style="medium">
          <color theme="1"/>
        </bottom>
      </border>
    </dxf>
  </dxfs>
  <tableStyles count="3" defaultTableStyle="TableStyleMedium2" defaultPivotStyle="PivotStyleLight16">
    <tableStyle name="TableStyleEldridge" pivot="0" count="7" xr9:uid="{00000000-0011-0000-FFFF-FFFF00000000}">
      <tableStyleElement type="wholeTable" dxfId="365"/>
      <tableStyleElement type="headerRow" dxfId="364"/>
      <tableStyleElement type="totalRow" dxfId="363"/>
      <tableStyleElement type="firstColumn" dxfId="362"/>
      <tableStyleElement type="lastColumn" dxfId="361"/>
      <tableStyleElement type="firstRowStripe" dxfId="360"/>
      <tableStyleElement type="firstColumnStripe" dxfId="359"/>
    </tableStyle>
    <tableStyle name="TableStyleEldridge2" pivot="0" count="9" xr9:uid="{00000000-0011-0000-FFFF-FFFF01000000}">
      <tableStyleElement type="wholeTable" dxfId="358"/>
      <tableStyleElement type="headerRow" dxfId="357"/>
      <tableStyleElement type="totalRow" dxfId="356"/>
      <tableStyleElement type="firstColumn" dxfId="355"/>
      <tableStyleElement type="lastColumn" dxfId="354"/>
      <tableStyleElement type="firstRowStripe" dxfId="353"/>
      <tableStyleElement type="secondRowStripe" dxfId="352"/>
      <tableStyleElement type="firstColumnStripe" dxfId="351"/>
      <tableStyleElement type="secondColumnStripe" dxfId="350"/>
    </tableStyle>
    <tableStyle name="TableStyleEldridge3" pivot="0" count="7" xr9:uid="{00000000-0011-0000-FFFF-FFFF02000000}">
      <tableStyleElement type="wholeTable" dxfId="349"/>
      <tableStyleElement type="headerRow" dxfId="348"/>
      <tableStyleElement type="totalRow" dxfId="347"/>
      <tableStyleElement type="firstColumn" dxfId="346"/>
      <tableStyleElement type="lastColumn" dxfId="345"/>
      <tableStyleElement type="firstRowStripe" dxfId="344"/>
      <tableStyleElement type="firstColumnStripe" dxfId="343"/>
    </tableStyle>
  </tableStyles>
  <colors>
    <mruColors>
      <color rgb="FF5DB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report_manager" displayName="tbl_report_manager" ref="B55:I71" headerRowDxfId="342" dataDxfId="341" totalsRowDxfId="340">
  <sortState xmlns:xlrd2="http://schemas.microsoft.com/office/spreadsheetml/2017/richdata2" ref="B56:I71">
    <sortCondition descending="1" ref="D55:D71"/>
  </sortState>
  <tableColumns count="8">
    <tableColumn id="1" xr3:uid="{00000000-0010-0000-0000-000001000000}" name="Manager Name" totalsRowLabel="Total" dataDxfId="339" totalsRowDxfId="338"/>
    <tableColumn id="2" xr3:uid="{00000000-0010-0000-0000-000002000000}" name="Current Face" dataDxfId="337" totalsRowDxfId="336" dataCellStyle="Comma">
      <calculatedColumnFormula>IF($C$4="All Portfolios",
   SUMIFS(tbl_rawhold[Current Face],tbl_rawhold[Manager], tbl_report_manager[[#This Row],[Manager Name]]),
   SUMIFS(tbl_rawhold[Current Face], tbl_rawhold[Portfolio_Name], $C$4,tbl_rawhold[Manager], tbl_report_manager[[#This Row],[Manager Name]]))</calculatedColumnFormula>
    </tableColumn>
    <tableColumn id="3" xr3:uid="{00000000-0010-0000-0000-000003000000}" name="Market Value" dataDxfId="335" totalsRowDxfId="334" dataCellStyle="Comma">
      <calculatedColumnFormula>IF($C$4="All Portfolios",
   SUMIFS(tbl_rawhold[BASEMarket Value],tbl_rawhold[Manager], tbl_report_manager[[#This Row],[Manager Name]]),
   SUMIFS(tbl_rawhold[BASEMarket Value], tbl_rawhold[Portfolio_Name], $C$4,tbl_rawhold[Manager], tbl_report_manager[[#This Row],[Manager Name]]))</calculatedColumnFormula>
    </tableColumn>
    <tableColumn id="4" xr3:uid="{00000000-0010-0000-0000-000004000000}" name="Current Face %" dataDxfId="333" totalsRowDxfId="332" dataCellStyle="Percent">
      <calculatedColumnFormula>IFERROR(tbl_report_manager[[#This Row],[Current Face]]/$C$54,0)</calculatedColumnFormula>
    </tableColumn>
    <tableColumn id="5" xr3:uid="{00000000-0010-0000-0000-000005000000}" name="Market Value %" dataDxfId="331" totalsRowDxfId="330" dataCellStyle="Percent">
      <calculatedColumnFormula>IFERROR(tbl_report_manager[[#This Row],[Market Value]]/$D$54,0)</calculatedColumnFormula>
    </tableColumn>
    <tableColumn id="6" xr3:uid="{00000000-0010-0000-0000-000006000000}" name="No. of Issuers" dataDxfId="329">
      <calculatedColumnFormula array="1">IF($C$4="All Portfolios",
   IFERROR(ROWS(_xlfn.UNIQUE(_xlfn._xlws.FILTER(Positions!$F$2:$F$644, Positions!$O$2:$O$644=tbl_report_manager[[#This Row],[Manager Name]]))),0),
   IFERROR(ROWS(_xlfn.UNIQUE(_xlfn._xlws.FILTER(Positions!$F$2:$F$644, (Positions!$O$2:$O$644=tbl_report_manager[[#This Row],[Manager Name]])*(Positions!$M$2:$M$644=$C$4)))),0)
)</calculatedColumnFormula>
    </tableColumn>
    <tableColumn id="7" xr3:uid="{00000000-0010-0000-0000-000007000000}" name="No. of Cusips" dataDxfId="328" totalsRowDxfId="327">
      <calculatedColumnFormula array="1">IF($C$4="All Portfolios",
   IFERROR(ROWS(_xlfn.UNIQUE(_xlfn._xlws.FILTER(Positions!$B$2:$B$644, Positions!$O$2:$O$644=tbl_report_manager[[#This Row],[Manager Name]]))),0),
   IFERROR(ROWS(_xlfn.UNIQUE(_xlfn._xlws.FILTER(Positions!$B$2:$B$644, (Positions!$O$2:$O$644=tbl_report_manager[[#This Row],[Manager Name]])*(Positions!$M$2:$M$644=$C$4)))),0)
)</calculatedColumnFormula>
    </tableColumn>
    <tableColumn id="8" xr3:uid="{00000000-0010-0000-0000-000008000000}" name="No. of Positions" totalsRowFunction="sum" dataDxfId="326" totalsRowDxfId="325">
      <calculatedColumnFormula>IF($C$4="All Portfolios",
   COUNTIFS(Positions!$O$2:$O$644, tbl_report_manager[[#This Row],[Manager Name]]),
   COUNTIFS(Positions!$M$2:$M$644, $C$4,Positions!$O$2:$O$644, tbl_report_manager[[#This Row],[Manager Name]])
)</calculatedColumnFormula>
    </tableColumn>
  </tableColumns>
  <tableStyleInfo name="TableStyleEldridg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report_paydown" displayName="tbl_report_paydown" ref="B78:H80" totalsRowShown="0" headerRowDxfId="324" dataDxfId="323">
  <autoFilter ref="B78:H80" xr:uid="{00000000-0009-0000-0100-000002000000}"/>
  <sortState xmlns:xlrd2="http://schemas.microsoft.com/office/spreadsheetml/2017/richdata2" ref="B79:H80">
    <sortCondition ref="F78:F80"/>
  </sortState>
  <tableColumns count="7">
    <tableColumn id="1" xr3:uid="{00000000-0010-0000-0100-000001000000}" name="Type" dataDxfId="322"/>
    <tableColumn id="2" xr3:uid="{00000000-0010-0000-0100-000002000000}" name="Issuer" dataDxfId="321"/>
    <tableColumn id="3" xr3:uid="{00000000-0010-0000-0100-000003000000}" name="Security Description" dataDxfId="320"/>
    <tableColumn id="4" xr3:uid="{00000000-0010-0000-0100-000004000000}" name="Cusip" dataDxfId="319"/>
    <tableColumn id="5" xr3:uid="{00000000-0010-0000-0100-000005000000}" name="Settle Date" dataDxfId="318"/>
    <tableColumn id="6" xr3:uid="{00000000-0010-0000-0100-000006000000}" name="Face Value" dataDxfId="317" dataCellStyle="Comma"/>
    <tableColumn id="7" xr3:uid="{00000000-0010-0000-0100-000007000000}" name="Tranche Rating" dataDxfId="316"/>
  </tableColumns>
  <tableStyleInfo name="TableStyleEldridg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report_sale" displayName="tbl_report_sale" ref="B86:J87" totalsRowShown="0" headerRowDxfId="315" dataDxfId="314">
  <autoFilter ref="B86:J87" xr:uid="{00000000-0009-0000-0100-000003000000}"/>
  <tableColumns count="9">
    <tableColumn id="1" xr3:uid="{00000000-0010-0000-0200-000001000000}" name="Issuer" dataDxfId="313"/>
    <tableColumn id="2" xr3:uid="{00000000-0010-0000-0200-000002000000}" name="Security Description" dataDxfId="312"/>
    <tableColumn id="3" xr3:uid="{00000000-0010-0000-0200-000003000000}" name="Cusip" dataDxfId="311"/>
    <tableColumn id="4" xr3:uid="{00000000-0010-0000-0200-000004000000}" name="Trade Date" dataDxfId="310"/>
    <tableColumn id="5" xr3:uid="{00000000-0010-0000-0200-000005000000}" name="Settle Date" dataDxfId="309"/>
    <tableColumn id="6" xr3:uid="{00000000-0010-0000-0200-000006000000}" name="Face Value" dataDxfId="308" dataCellStyle="Comma"/>
    <tableColumn id="7" xr3:uid="{00000000-0010-0000-0200-000007000000}" name="Sale Price" dataDxfId="307"/>
    <tableColumn id="8" xr3:uid="{00000000-0010-0000-0200-000008000000}" name="Maturity Date" dataDxfId="306"/>
    <tableColumn id="9" xr3:uid="{00000000-0010-0000-0200-000009000000}" name="Tranche Rating" dataDxfId="305"/>
  </tableColumns>
  <tableStyleInfo name="TableStyleEldridg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report_purchase" displayName="tbl_report_purchase" ref="B94:J96" totalsRowShown="0" headerRowDxfId="304" dataDxfId="303">
  <autoFilter ref="B94:J96" xr:uid="{00000000-0009-0000-0100-000004000000}"/>
  <sortState xmlns:xlrd2="http://schemas.microsoft.com/office/spreadsheetml/2017/richdata2" ref="B95:J96">
    <sortCondition ref="E94:E96"/>
  </sortState>
  <tableColumns count="9">
    <tableColumn id="1" xr3:uid="{00000000-0010-0000-0300-000001000000}" name="Issuer" dataDxfId="302"/>
    <tableColumn id="2" xr3:uid="{00000000-0010-0000-0300-000002000000}" name="Security Description" dataDxfId="301"/>
    <tableColumn id="3" xr3:uid="{00000000-0010-0000-0300-000003000000}" name="Cusip" dataDxfId="300"/>
    <tableColumn id="4" xr3:uid="{00000000-0010-0000-0300-000004000000}" name="Trade Date" dataDxfId="299"/>
    <tableColumn id="5" xr3:uid="{00000000-0010-0000-0300-000005000000}" name="Settle Date" dataDxfId="298"/>
    <tableColumn id="6" xr3:uid="{00000000-0010-0000-0300-000006000000}" name="Face Value" dataDxfId="297" dataCellStyle="Comma"/>
    <tableColumn id="7" xr3:uid="{00000000-0010-0000-0300-000007000000}" name="Purchase Price" dataDxfId="296" dataCellStyle="Comma"/>
    <tableColumn id="8" xr3:uid="{00000000-0010-0000-0300-000008000000}" name="Maturity Date" dataDxfId="295"/>
    <tableColumn id="9" xr3:uid="{00000000-0010-0000-0300-000009000000}" name="Tranche Rating" dataDxfId="294"/>
  </tableColumns>
  <tableStyleInfo name="TableStyleEldridg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hold_aaa" displayName="tbl_hold_aaa" ref="B103:S104" headerRowDxfId="293" dataDxfId="292" totalsRowDxfId="291">
  <autoFilter ref="B103:S104" xr:uid="{00000000-0009-0000-0100-000005000000}"/>
  <tableColumns count="18">
    <tableColumn id="1" xr3:uid="{00000000-0010-0000-0400-000001000000}" name="Cusip" totalsRowLabel="Total" dataDxfId="290" totalsRowDxfId="289"/>
    <tableColumn id="2" xr3:uid="{00000000-0010-0000-0400-000002000000}" name="Issuer" dataDxfId="288" totalsRowDxfId="287"/>
    <tableColumn id="3" xr3:uid="{00000000-0010-0000-0400-000003000000}" name="Security Description" dataDxfId="286" totalsRowDxfId="285"/>
    <tableColumn id="4" xr3:uid="{00000000-0010-0000-0400-000004000000}" name="Issue Date" dataDxfId="284" totalsRowDxfId="283"/>
    <tableColumn id="5" xr3:uid="{00000000-0010-0000-0400-000005000000}" name="Maturity Date" dataDxfId="282" totalsRowDxfId="281"/>
    <tableColumn id="6" xr3:uid="{00000000-0010-0000-0400-000006000000}" name="Coupon" dataDxfId="280" totalsRowDxfId="279"/>
    <tableColumn id="7" xr3:uid="{00000000-0010-0000-0400-000007000000}" name="Spread" dataDxfId="278" totalsRowDxfId="277"/>
    <tableColumn id="8" xr3:uid="{00000000-0010-0000-0400-000008000000}" name="Current Face" dataDxfId="276" totalsRowDxfId="275" dataCellStyle="Comma"/>
    <tableColumn id="9" xr3:uid="{00000000-0010-0000-0400-000009000000}" name="Factor" dataDxfId="274" totalsRowDxfId="273"/>
    <tableColumn id="10" xr3:uid="{00000000-0010-0000-0400-00000A000000}" name="Market Price" dataDxfId="272" totalsRowDxfId="271"/>
    <tableColumn id="11" xr3:uid="{00000000-0010-0000-0400-00000B000000}" name="Market Value" dataDxfId="270" totalsRowDxfId="269" dataCellStyle="Comma"/>
    <tableColumn id="12" xr3:uid="{00000000-0010-0000-0400-00000C000000}" name="NRSRO" dataDxfId="268" totalsRowDxfId="267"/>
    <tableColumn id="13" xr3:uid="{00000000-0010-0000-0400-00000D000000}" name="NRSRO Rating" dataDxfId="266" totalsRowDxfId="265"/>
    <tableColumn id="14" xr3:uid="{00000000-0010-0000-0400-00000E000000}" name="WAL" dataDxfId="264" totalsRowDxfId="263"/>
    <tableColumn id="15" xr3:uid="{00000000-0010-0000-0400-00000F000000}" name="Par Sub" dataDxfId="262" dataCellStyle="Percent"/>
    <tableColumn id="16" xr3:uid="{00000000-0010-0000-0400-000010000000}" name="Implied DM" dataDxfId="261" totalsRowDxfId="260"/>
    <tableColumn id="17" xr3:uid="{00000000-0010-0000-0400-000011000000}" name="Next Payment Date" dataDxfId="259" totalsRowDxfId="258"/>
    <tableColumn id="18" xr3:uid="{00000000-0010-0000-0400-000012000000}" name="Non-Call Date" totalsRowFunction="count" dataDxfId="257" totalsRowDxfId="256"/>
  </tableColumns>
  <tableStyleInfo name="TableStyleEldridge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hold_aa" displayName="tbl_hold_aa" ref="B111:S117" totalsRowShown="0" headerRowDxfId="255" dataDxfId="254">
  <autoFilter ref="B111:S117" xr:uid="{00000000-0009-0000-0100-000006000000}"/>
  <sortState xmlns:xlrd2="http://schemas.microsoft.com/office/spreadsheetml/2017/richdata2" ref="B112:S117">
    <sortCondition ref="C111:C117"/>
  </sortState>
  <tableColumns count="18">
    <tableColumn id="1" xr3:uid="{00000000-0010-0000-0500-000001000000}" name="Cusip" dataDxfId="253"/>
    <tableColumn id="2" xr3:uid="{00000000-0010-0000-0500-000002000000}" name="Issuer" dataDxfId="252"/>
    <tableColumn id="3" xr3:uid="{00000000-0010-0000-0500-000003000000}" name="Security Description" dataDxfId="251"/>
    <tableColumn id="4" xr3:uid="{00000000-0010-0000-0500-000004000000}" name="Issue Date" dataDxfId="250"/>
    <tableColumn id="5" xr3:uid="{00000000-0010-0000-0500-000005000000}" name="Maturity Date" dataDxfId="249"/>
    <tableColumn id="6" xr3:uid="{00000000-0010-0000-0500-000006000000}" name="Coupon" dataDxfId="248"/>
    <tableColumn id="7" xr3:uid="{00000000-0010-0000-0500-000007000000}" name="Spread" dataDxfId="247"/>
    <tableColumn id="8" xr3:uid="{00000000-0010-0000-0500-000008000000}" name="Current Face" dataDxfId="246" dataCellStyle="Comma"/>
    <tableColumn id="9" xr3:uid="{00000000-0010-0000-0500-000009000000}" name="Factor" dataDxfId="245"/>
    <tableColumn id="10" xr3:uid="{00000000-0010-0000-0500-00000A000000}" name="Market Price" dataDxfId="244"/>
    <tableColumn id="11" xr3:uid="{00000000-0010-0000-0500-00000B000000}" name="Market Value" dataDxfId="243" dataCellStyle="Comma"/>
    <tableColumn id="12" xr3:uid="{00000000-0010-0000-0500-00000C000000}" name="NRSRO" dataDxfId="242"/>
    <tableColumn id="13" xr3:uid="{00000000-0010-0000-0500-00000D000000}" name="NRSRO Rating" dataDxfId="241"/>
    <tableColumn id="14" xr3:uid="{00000000-0010-0000-0500-00000E000000}" name="WAL" dataDxfId="240"/>
    <tableColumn id="15" xr3:uid="{00000000-0010-0000-0500-00000F000000}" name="Par Sub" dataDxfId="239"/>
    <tableColumn id="16" xr3:uid="{00000000-0010-0000-0500-000010000000}" name="Implied DM" dataDxfId="238"/>
    <tableColumn id="17" xr3:uid="{00000000-0010-0000-0500-000011000000}" name="Next Payment Date" dataDxfId="237"/>
    <tableColumn id="18" xr3:uid="{00000000-0010-0000-0500-000012000000}" name="Non-Call Date" dataDxfId="236"/>
  </tableColumns>
  <tableStyleInfo name="TableStyleEldridge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hold_a" displayName="tbl_hold_a" ref="B124:S135" headerRowDxfId="235" dataDxfId="234" totalsRowDxfId="233">
  <autoFilter ref="B124:S135" xr:uid="{00000000-0009-0000-0100-000007000000}"/>
  <sortState xmlns:xlrd2="http://schemas.microsoft.com/office/spreadsheetml/2017/richdata2" ref="B125:S135">
    <sortCondition ref="C124:C135"/>
  </sortState>
  <tableColumns count="18">
    <tableColumn id="1" xr3:uid="{00000000-0010-0000-0600-000001000000}" name="Cusip" totalsRowLabel="Total" dataDxfId="232" totalsRowDxfId="231"/>
    <tableColumn id="2" xr3:uid="{00000000-0010-0000-0600-000002000000}" name="Issuer" dataDxfId="230" totalsRowDxfId="229"/>
    <tableColumn id="3" xr3:uid="{00000000-0010-0000-0600-000003000000}" name="Security Description" dataDxfId="228" totalsRowDxfId="227"/>
    <tableColumn id="4" xr3:uid="{00000000-0010-0000-0600-000004000000}" name="Issue Date" dataDxfId="226" totalsRowDxfId="225"/>
    <tableColumn id="5" xr3:uid="{00000000-0010-0000-0600-000005000000}" name="Maturity Date" dataDxfId="224" totalsRowDxfId="223"/>
    <tableColumn id="6" xr3:uid="{00000000-0010-0000-0600-000006000000}" name="Coupon" dataDxfId="222" totalsRowDxfId="221"/>
    <tableColumn id="7" xr3:uid="{00000000-0010-0000-0600-000007000000}" name="Spread" dataDxfId="220" totalsRowDxfId="219"/>
    <tableColumn id="8" xr3:uid="{00000000-0010-0000-0600-000008000000}" name="Current Face" dataDxfId="218" totalsRowDxfId="217" dataCellStyle="Comma"/>
    <tableColumn id="9" xr3:uid="{00000000-0010-0000-0600-000009000000}" name="Factor" dataDxfId="216" totalsRowDxfId="215"/>
    <tableColumn id="10" xr3:uid="{00000000-0010-0000-0600-00000A000000}" name="Market Price" dataDxfId="214" totalsRowDxfId="213"/>
    <tableColumn id="11" xr3:uid="{00000000-0010-0000-0600-00000B000000}" name="Market Value" dataDxfId="212" totalsRowDxfId="211" dataCellStyle="Comma"/>
    <tableColumn id="12" xr3:uid="{00000000-0010-0000-0600-00000C000000}" name="NRSRO" dataDxfId="210" totalsRowDxfId="209"/>
    <tableColumn id="13" xr3:uid="{00000000-0010-0000-0600-00000D000000}" name="NRSRO Rating" dataDxfId="208" totalsRowDxfId="207"/>
    <tableColumn id="14" xr3:uid="{00000000-0010-0000-0600-00000E000000}" name="WAL" dataDxfId="206" totalsRowDxfId="205"/>
    <tableColumn id="15" xr3:uid="{00000000-0010-0000-0600-00000F000000}" name="Par Sub" dataDxfId="204" dataCellStyle="Percent"/>
    <tableColumn id="16" xr3:uid="{00000000-0010-0000-0600-000010000000}" name="Implied DM" dataDxfId="203" totalsRowDxfId="202"/>
    <tableColumn id="17" xr3:uid="{00000000-0010-0000-0600-000011000000}" name="Next Payment Date" dataDxfId="201" totalsRowDxfId="200"/>
    <tableColumn id="18" xr3:uid="{00000000-0010-0000-0600-000012000000}" name="Non-Call Date" totalsRowFunction="sum" dataDxfId="199" totalsRowDxfId="198"/>
  </tableColumns>
  <tableStyleInfo name="TableStyleEldridge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hold_bbb" displayName="tbl_hold_bbb" ref="B142:S155" totalsRowShown="0" headerRowDxfId="197" dataDxfId="196">
  <autoFilter ref="B142:S155" xr:uid="{00000000-0009-0000-0100-000008000000}"/>
  <sortState xmlns:xlrd2="http://schemas.microsoft.com/office/spreadsheetml/2017/richdata2" ref="B143:S155">
    <sortCondition ref="C142:C155"/>
  </sortState>
  <tableColumns count="18">
    <tableColumn id="1" xr3:uid="{00000000-0010-0000-0700-000001000000}" name="Cusip" dataDxfId="195"/>
    <tableColumn id="2" xr3:uid="{00000000-0010-0000-0700-000002000000}" name="Issuer" dataDxfId="194"/>
    <tableColumn id="3" xr3:uid="{00000000-0010-0000-0700-000003000000}" name="Security Description" dataDxfId="193"/>
    <tableColumn id="4" xr3:uid="{00000000-0010-0000-0700-000004000000}" name="Issue Date" dataDxfId="192"/>
    <tableColumn id="5" xr3:uid="{00000000-0010-0000-0700-000005000000}" name="Maturity Date" dataDxfId="191"/>
    <tableColumn id="6" xr3:uid="{00000000-0010-0000-0700-000006000000}" name="Coupon" dataDxfId="190"/>
    <tableColumn id="7" xr3:uid="{00000000-0010-0000-0700-000007000000}" name="Spread" dataDxfId="189"/>
    <tableColumn id="8" xr3:uid="{00000000-0010-0000-0700-000008000000}" name="Current Face" dataDxfId="188" dataCellStyle="Comma"/>
    <tableColumn id="9" xr3:uid="{00000000-0010-0000-0700-000009000000}" name="Factor" dataDxfId="187"/>
    <tableColumn id="10" xr3:uid="{00000000-0010-0000-0700-00000A000000}" name="Market Price" dataDxfId="186"/>
    <tableColumn id="11" xr3:uid="{00000000-0010-0000-0700-00000B000000}" name="Market Value" dataDxfId="185" dataCellStyle="Comma"/>
    <tableColumn id="12" xr3:uid="{00000000-0010-0000-0700-00000C000000}" name="NRSRO" dataDxfId="184"/>
    <tableColumn id="13" xr3:uid="{00000000-0010-0000-0700-00000D000000}" name="NRSRO Rating" dataDxfId="183"/>
    <tableColumn id="14" xr3:uid="{00000000-0010-0000-0700-00000E000000}" name="WAL" dataDxfId="182"/>
    <tableColumn id="15" xr3:uid="{00000000-0010-0000-0700-00000F000000}" name="Par Sub" dataDxfId="181" dataCellStyle="Percent"/>
    <tableColumn id="16" xr3:uid="{00000000-0010-0000-0700-000010000000}" name="Implied DM" dataDxfId="180"/>
    <tableColumn id="17" xr3:uid="{00000000-0010-0000-0700-000011000000}" name="Next Payment Date" dataDxfId="179"/>
    <tableColumn id="18" xr3:uid="{00000000-0010-0000-0700-000012000000}" name="Non-Call Date" dataDxfId="178"/>
  </tableColumns>
  <tableStyleInfo name="TableStyleEldridge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hold_bb" displayName="tbl_hold_bb" ref="B162:S175" totalsRowShown="0" headerRowDxfId="177" dataDxfId="176">
  <autoFilter ref="B162:S175" xr:uid="{00000000-0009-0000-0100-000009000000}"/>
  <sortState xmlns:xlrd2="http://schemas.microsoft.com/office/spreadsheetml/2017/richdata2" ref="B163:S175">
    <sortCondition ref="C162:C175"/>
  </sortState>
  <tableColumns count="18">
    <tableColumn id="1" xr3:uid="{00000000-0010-0000-0800-000001000000}" name="Cusip" dataDxfId="175"/>
    <tableColumn id="2" xr3:uid="{00000000-0010-0000-0800-000002000000}" name="Issuer" dataDxfId="174"/>
    <tableColumn id="3" xr3:uid="{00000000-0010-0000-0800-000003000000}" name="Security Description" dataDxfId="173"/>
    <tableColumn id="4" xr3:uid="{00000000-0010-0000-0800-000004000000}" name="Issue Date" dataDxfId="172"/>
    <tableColumn id="5" xr3:uid="{00000000-0010-0000-0800-000005000000}" name="Maturity Date" dataDxfId="171"/>
    <tableColumn id="6" xr3:uid="{00000000-0010-0000-0800-000006000000}" name="Coupon" dataDxfId="170"/>
    <tableColumn id="7" xr3:uid="{00000000-0010-0000-0800-000007000000}" name="Spread" dataDxfId="169"/>
    <tableColumn id="8" xr3:uid="{00000000-0010-0000-0800-000008000000}" name="Current Face" dataDxfId="168" dataCellStyle="Comma"/>
    <tableColumn id="9" xr3:uid="{00000000-0010-0000-0800-000009000000}" name="Factor" dataDxfId="167"/>
    <tableColumn id="10" xr3:uid="{00000000-0010-0000-0800-00000A000000}" name="Market Price" dataDxfId="166"/>
    <tableColumn id="11" xr3:uid="{00000000-0010-0000-0800-00000B000000}" name="Market Value" dataDxfId="165" dataCellStyle="Comma"/>
    <tableColumn id="12" xr3:uid="{00000000-0010-0000-0800-00000C000000}" name="NRSRO" dataDxfId="164"/>
    <tableColumn id="13" xr3:uid="{00000000-0010-0000-0800-00000D000000}" name="NRSRO Rating" dataDxfId="163"/>
    <tableColumn id="14" xr3:uid="{00000000-0010-0000-0800-00000E000000}" name="WAL" dataDxfId="162"/>
    <tableColumn id="15" xr3:uid="{00000000-0010-0000-0800-00000F000000}" name="Par Sub" dataDxfId="161" dataCellStyle="Percent"/>
    <tableColumn id="16" xr3:uid="{00000000-0010-0000-0800-000010000000}" name="Implied DM" dataDxfId="160"/>
    <tableColumn id="17" xr3:uid="{00000000-0010-0000-0800-000011000000}" name="Next Payment Date" dataDxfId="159"/>
    <tableColumn id="18" xr3:uid="{00000000-0010-0000-0800-000012000000}" name="Non-Call Date" dataDxfId="158"/>
  </tableColumns>
  <tableStyleInfo name="TableStyleEldridge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hold_b" displayName="tbl_hold_b" ref="B182:S185" totalsRowShown="0" headerRowDxfId="157" dataDxfId="156">
  <autoFilter ref="B182:S185" xr:uid="{00000000-0009-0000-0100-00000A000000}"/>
  <tableColumns count="18">
    <tableColumn id="1" xr3:uid="{00000000-0010-0000-0900-000001000000}" name="Cusip" dataDxfId="155"/>
    <tableColumn id="2" xr3:uid="{00000000-0010-0000-0900-000002000000}" name="Issuer" dataDxfId="154"/>
    <tableColumn id="3" xr3:uid="{00000000-0010-0000-0900-000003000000}" name="Security Description" dataDxfId="153"/>
    <tableColumn id="4" xr3:uid="{00000000-0010-0000-0900-000004000000}" name="Issue Date" dataDxfId="152"/>
    <tableColumn id="5" xr3:uid="{00000000-0010-0000-0900-000005000000}" name="Maturity Date" dataDxfId="151"/>
    <tableColumn id="6" xr3:uid="{00000000-0010-0000-0900-000006000000}" name="Coupon" dataDxfId="150"/>
    <tableColumn id="7" xr3:uid="{00000000-0010-0000-0900-000007000000}" name="Spread" dataDxfId="149"/>
    <tableColumn id="8" xr3:uid="{00000000-0010-0000-0900-000008000000}" name="Current Face" dataDxfId="148" dataCellStyle="Comma"/>
    <tableColumn id="9" xr3:uid="{00000000-0010-0000-0900-000009000000}" name="Factor" dataDxfId="147"/>
    <tableColumn id="10" xr3:uid="{00000000-0010-0000-0900-00000A000000}" name="Market Price" dataDxfId="146"/>
    <tableColumn id="11" xr3:uid="{00000000-0010-0000-0900-00000B000000}" name="Market Value" dataDxfId="145" dataCellStyle="Comma"/>
    <tableColumn id="12" xr3:uid="{00000000-0010-0000-0900-00000C000000}" name="NRSRO" dataDxfId="144"/>
    <tableColumn id="13" xr3:uid="{00000000-0010-0000-0900-00000D000000}" name="NRSRO Rating" dataDxfId="143"/>
    <tableColumn id="14" xr3:uid="{00000000-0010-0000-0900-00000E000000}" name="WAL" dataDxfId="142"/>
    <tableColumn id="15" xr3:uid="{00000000-0010-0000-0900-00000F000000}" name="Par Sub" dataDxfId="141" dataCellStyle="Percent"/>
    <tableColumn id="16" xr3:uid="{00000000-0010-0000-0900-000010000000}" name="Implied DM" dataDxfId="140"/>
    <tableColumn id="17" xr3:uid="{00000000-0010-0000-0900-000011000000}" name="Next Payment Date" dataDxfId="139"/>
    <tableColumn id="18" xr3:uid="{00000000-0010-0000-0900-000012000000}" name="Non-Call Date" dataDxfId="138"/>
  </tableColumns>
  <tableStyleInfo name="TableStyleEldridge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B9:C21" totalsRowShown="0" headerRowDxfId="137" dataDxfId="136">
  <autoFilter ref="B9:C21" xr:uid="{00000000-0009-0000-0100-00000B000000}"/>
  <tableColumns count="2">
    <tableColumn id="1" xr3:uid="{00000000-0010-0000-0A00-000001000000}" name="Characteristics" dataDxfId="135"/>
    <tableColumn id="2" xr3:uid="{00000000-0010-0000-0A00-000002000000}" name="Total" dataDxfId="134"/>
  </tableColumns>
  <tableStyleInfo name="TableStyleEldridge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3" displayName="Table13" ref="E9:I18" totalsRowCount="1" headerRowDxfId="133" dataDxfId="132" totalsRowDxfId="131">
  <autoFilter ref="E9:I17" xr:uid="{00000000-0009-0000-0100-00000C000000}"/>
  <tableColumns count="5">
    <tableColumn id="1" xr3:uid="{00000000-0010-0000-0B00-000001000000}" name="Tranche Rating" totalsRowLabel="Total" dataDxfId="130" totalsRowDxfId="129"/>
    <tableColumn id="2" xr3:uid="{00000000-0010-0000-0B00-000002000000}" name="Current Face (M)" totalsRowFunction="sum" dataDxfId="128" totalsRowDxfId="127" dataCellStyle="Percent" totalsRowCellStyle="Comma">
      <calculatedColumnFormula>Table13[[#This Row],[Portfolio % CF]]*$C$10/1000000</calculatedColumnFormula>
    </tableColumn>
    <tableColumn id="3" xr3:uid="{00000000-0010-0000-0B00-000003000000}" name="Market Value (M)" totalsRowFunction="sum" dataDxfId="126" totalsRowDxfId="125" dataCellStyle="Percent" totalsRowCellStyle="Comma">
      <calculatedColumnFormula>Table13[[#This Row],[Portfolio % MV]]*$C$11/1000000</calculatedColumnFormula>
    </tableColumn>
    <tableColumn id="4" xr3:uid="{54C6FBDC-154E-4D7B-BF3C-D3F0A98C1B16}" name="Portfolio % CF" totalsRowFunction="sum" dataDxfId="124" totalsRowDxfId="123" dataCellStyle="Percent">
      <calculatedColumnFormula>IFERROR(IF($C$4="All Portfolios",
   SUMIFS(tbl_rawhold[Current Face],tbl_rawhold[Tranche Rating],Table13[[#This Row],[Tranche Rating]])/$C$10,
   SUMIFS(tbl_rawhold[Current Face],tbl_rawhold[Tranche Rating],Table13[[#This Row],[Tranche Rating]],tbl_rawhold[Portfolio_Name],$C$4)/$C$10),0)</calculatedColumnFormula>
    </tableColumn>
    <tableColumn id="5" xr3:uid="{775CE8B0-79E2-4AC4-8CB8-D7067A620237}" name="Portfolio % MV" totalsRowFunction="sum" dataDxfId="122" totalsRowDxfId="121" dataCellStyle="Percent">
      <calculatedColumnFormula>IFERROR(IF($C$4="All Portfolios",
   SUMIFS(tbl_rawhold[BASEMarket Value],tbl_rawhold[Tranche Rating],Table13[[#This Row],[Tranche Rating]])/$C$11,
   SUMIFS(tbl_rawhold[BASEMarket Value],tbl_rawhold[Tranche Rating],Table13[[#This Row],[Tranche Rating]],tbl_rawhold[Portfolio_Name],$C$4)/$C$11),0)</calculatedColumnFormula>
    </tableColumn>
  </tableColumns>
  <tableStyleInfo name="TableStyleEldridge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4" displayName="Table14" ref="K9:O17" totalsRowCount="1" headerRowDxfId="120" dataDxfId="119" totalsRowDxfId="118">
  <autoFilter ref="K9:O16" xr:uid="{00000000-0009-0000-0100-00000D000000}"/>
  <tableColumns count="5">
    <tableColumn id="1" xr3:uid="{00000000-0010-0000-0C00-000001000000}" name="WAL" totalsRowLabel="Total" dataDxfId="117" totalsRowDxfId="116"/>
    <tableColumn id="2" xr3:uid="{00000000-0010-0000-0C00-000002000000}" name="Current Face (M)" totalsRowFunction="sum" dataDxfId="115" totalsRowDxfId="114" dataCellStyle="Percent" totalsRowCellStyle="Comma">
      <calculatedColumnFormula>Table14[[#This Row],[Portfolio % CF]]*$C$10/1000000</calculatedColumnFormula>
    </tableColumn>
    <tableColumn id="3" xr3:uid="{00000000-0010-0000-0C00-000003000000}" name="Market Value (M)" totalsRowFunction="sum" dataDxfId="113" totalsRowDxfId="112" dataCellStyle="Percent" totalsRowCellStyle="Comma">
      <calculatedColumnFormula>Table14[[#This Row],[Portfolio % MV]]*$C$11/1000000</calculatedColumnFormula>
    </tableColumn>
    <tableColumn id="4" xr3:uid="{D8C00212-BAA8-4A57-BCC8-B6A723F048FC}" name="Portfolio % CF" totalsRowFunction="sum" dataDxfId="111" totalsRowDxfId="110" dataCellStyle="Percent">
      <calculatedColumnFormula>IFERROR(IF($C$4="All Portfolios",
   SUMIFS(Positions!$C$2:$C$644,Positions!$U$2:$U$644,Table14[[#This Row],[WAL]])/$C$10,
   SUMIFS(Positions!$C$2:$C$644,Positions!$U$2:$U$644,Table14[[#This Row],[WAL]],Positions!$M$2:$M$644,$C$4)/$C$10),0)</calculatedColumnFormula>
    </tableColumn>
    <tableColumn id="5" xr3:uid="{6F65F161-D1CD-406E-9006-86D0A0BA1B26}" name="Portfolio % MV" totalsRowFunction="sum" dataDxfId="109" totalsRowDxfId="108" dataCellStyle="Percent">
      <calculatedColumnFormula>IFERROR(IF($C$4="All Portfolios",
   SUMIFS(Positions!$D$2:$D$644,Positions!$U$2:$U$644,Table14[[#This Row],[WAL]])/$C$11,
   SUMIFS(Positions!$D$2:$D$644,Positions!$U$2:$U$644,Table14[[#This Row],[WAL]],Positions!$M$2:$M$644,$C$4)/$C$11),0)</calculatedColumnFormula>
    </tableColumn>
  </tableColumns>
  <tableStyleInfo name="TableStyleEldridge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5" displayName="Table15" ref="B26:F33" totalsRowCount="1" headerRowDxfId="107" dataDxfId="106" totalsRowDxfId="105">
  <autoFilter ref="B26:F32" xr:uid="{00000000-0009-0000-0100-00000E000000}"/>
  <tableColumns count="5">
    <tableColumn id="1" xr3:uid="{00000000-0010-0000-0D00-000001000000}" name="Coupon" totalsRowLabel="Total" dataDxfId="104" totalsRowDxfId="103"/>
    <tableColumn id="2" xr3:uid="{00000000-0010-0000-0D00-000002000000}" name="Current Face (M)" totalsRowFunction="sum" dataDxfId="102" dataCellStyle="Percent" totalsRowCellStyle="Comma">
      <calculatedColumnFormula>Table15[[#This Row],[Portfolio % CF]]*$C$10/1000000</calculatedColumnFormula>
    </tableColumn>
    <tableColumn id="3" xr3:uid="{00000000-0010-0000-0D00-000003000000}" name="Market Value (M)" totalsRowFunction="sum" dataDxfId="101" dataCellStyle="Percent" totalsRowCellStyle="Comma">
      <calculatedColumnFormula>Table15[[#This Row],[Portfolio % MV]]*$C$11/1000000</calculatedColumnFormula>
    </tableColumn>
    <tableColumn id="4" xr3:uid="{56192596-1701-43CC-9257-DACFDC295352}" name="Portfolio % CF" totalsRowFunction="sum" dataDxfId="100" totalsRowDxfId="99" dataCellStyle="Percent">
      <calculatedColumnFormula>IFERROR(IF($C$4="All Portfolios",
   SUMIFS(Positions!$C$2:$C$644,Positions!$V$2:$V$644,Table15[[#This Row],[Coupon]])/$C$10,
   SUMIFS(Positions!$C$2:$C$644,Positions!$V$2:$V$644,Table15[[#This Row],[Coupon]],Positions!$M$2:$M$644,$C$4)/$C$10),0)</calculatedColumnFormula>
    </tableColumn>
    <tableColumn id="5" xr3:uid="{364860DB-EA31-4380-88CD-A4EFD34213E8}" name="Portfolio % MV" totalsRowFunction="sum" dataDxfId="98" totalsRowDxfId="97" dataCellStyle="Percent">
      <calculatedColumnFormula>IFERROR(IF($C$4="All Portfolios",
   SUMIFS(Positions!$D$2:$D$644,Positions!$V$2:$V$644,Table15[[#This Row],[Coupon]])/$C$11,
   SUMIFS(Positions!$D$2:$D$644,Positions!$V$2:$V$644,Table15[[#This Row],[Coupon]],Positions!$M$2:$M$644,$C$4)/$C$11),0)</calculatedColumnFormula>
    </tableColumn>
  </tableColumns>
  <tableStyleInfo name="TableStyleEldridge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bl_hold_ccc" displayName="tbl_hold_ccc" ref="B192:S193" totalsRowShown="0" headerRowDxfId="96" dataDxfId="95">
  <autoFilter ref="B192:S193" xr:uid="{00000000-0009-0000-0100-00000F000000}"/>
  <tableColumns count="18">
    <tableColumn id="1" xr3:uid="{00000000-0010-0000-0E00-000001000000}" name="Cusip" dataDxfId="94"/>
    <tableColumn id="2" xr3:uid="{00000000-0010-0000-0E00-000002000000}" name="Issuer" dataDxfId="93"/>
    <tableColumn id="3" xr3:uid="{00000000-0010-0000-0E00-000003000000}" name="Security Description" dataDxfId="92"/>
    <tableColumn id="4" xr3:uid="{00000000-0010-0000-0E00-000004000000}" name="Issue Date" dataDxfId="91"/>
    <tableColumn id="5" xr3:uid="{00000000-0010-0000-0E00-000005000000}" name="Maturity Date" dataDxfId="90"/>
    <tableColumn id="6" xr3:uid="{00000000-0010-0000-0E00-000006000000}" name="Coupon" dataDxfId="89"/>
    <tableColumn id="7" xr3:uid="{00000000-0010-0000-0E00-000007000000}" name="Spread" dataDxfId="88"/>
    <tableColumn id="8" xr3:uid="{00000000-0010-0000-0E00-000008000000}" name="Current Face" dataDxfId="87" dataCellStyle="Comma"/>
    <tableColumn id="9" xr3:uid="{00000000-0010-0000-0E00-000009000000}" name="Factor" dataDxfId="86"/>
    <tableColumn id="10" xr3:uid="{00000000-0010-0000-0E00-00000A000000}" name="Market Price" dataDxfId="85"/>
    <tableColumn id="11" xr3:uid="{00000000-0010-0000-0E00-00000B000000}" name="Market Value" dataDxfId="84" dataCellStyle="Comma"/>
    <tableColumn id="12" xr3:uid="{00000000-0010-0000-0E00-00000C000000}" name="NRSRO" dataDxfId="83"/>
    <tableColumn id="13" xr3:uid="{00000000-0010-0000-0E00-00000D000000}" name="NRSRO Rating" dataDxfId="82"/>
    <tableColumn id="14" xr3:uid="{00000000-0010-0000-0E00-00000E000000}" name="WAL" dataDxfId="81"/>
    <tableColumn id="15" xr3:uid="{00000000-0010-0000-0E00-00000F000000}" name="Par Sub" dataDxfId="80" dataCellStyle="Percent"/>
    <tableColumn id="16" xr3:uid="{00000000-0010-0000-0E00-000010000000}" name="Implied DM" dataDxfId="79"/>
    <tableColumn id="17" xr3:uid="{00000000-0010-0000-0E00-000011000000}" name="Next Payment Date" dataDxfId="78"/>
    <tableColumn id="18" xr3:uid="{00000000-0010-0000-0E00-000012000000}" name="Non-Call Date" dataDxfId="77"/>
  </tableColumns>
  <tableStyleInfo name="TableStyleEldridge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bl_hold_nr" displayName="tbl_hold_nr" ref="B200:S201" totalsRowShown="0" headerRowDxfId="76" dataDxfId="75">
  <autoFilter ref="B200:S201" xr:uid="{00000000-0009-0000-0100-000010000000}"/>
  <tableColumns count="18">
    <tableColumn id="1" xr3:uid="{00000000-0010-0000-0F00-000001000000}" name="Cusip" dataDxfId="74"/>
    <tableColumn id="2" xr3:uid="{00000000-0010-0000-0F00-000002000000}" name="Issuer" dataDxfId="73"/>
    <tableColumn id="3" xr3:uid="{00000000-0010-0000-0F00-000003000000}" name="Security Description" dataDxfId="72"/>
    <tableColumn id="4" xr3:uid="{00000000-0010-0000-0F00-000004000000}" name="Issue Date" dataDxfId="71"/>
    <tableColumn id="5" xr3:uid="{00000000-0010-0000-0F00-000005000000}" name="Maturity Date" dataDxfId="70"/>
    <tableColumn id="6" xr3:uid="{00000000-0010-0000-0F00-000006000000}" name="Coupon" dataDxfId="69"/>
    <tableColumn id="7" xr3:uid="{00000000-0010-0000-0F00-000007000000}" name="Spread" dataDxfId="68"/>
    <tableColumn id="8" xr3:uid="{00000000-0010-0000-0F00-000008000000}" name="Current Face" dataDxfId="67" dataCellStyle="Comma"/>
    <tableColumn id="9" xr3:uid="{00000000-0010-0000-0F00-000009000000}" name="Factor" dataDxfId="66"/>
    <tableColumn id="10" xr3:uid="{00000000-0010-0000-0F00-00000A000000}" name="Market Price" dataDxfId="65"/>
    <tableColumn id="11" xr3:uid="{00000000-0010-0000-0F00-00000B000000}" name="Market Value" dataDxfId="64" dataCellStyle="Comma"/>
    <tableColumn id="12" xr3:uid="{00000000-0010-0000-0F00-00000C000000}" name="NRSRO" dataDxfId="63"/>
    <tableColumn id="13" xr3:uid="{00000000-0010-0000-0F00-00000D000000}" name="NRSRO Rating" dataDxfId="62"/>
    <tableColumn id="14" xr3:uid="{00000000-0010-0000-0F00-00000E000000}" name="WAL" dataDxfId="61"/>
    <tableColumn id="15" xr3:uid="{00000000-0010-0000-0F00-00000F000000}" name="Par Sub" dataDxfId="60" dataCellStyle="Percent"/>
    <tableColumn id="16" xr3:uid="{00000000-0010-0000-0F00-000010000000}" name="Implied DM" dataDxfId="59"/>
    <tableColumn id="17" xr3:uid="{00000000-0010-0000-0F00-000011000000}" name="Next Payment Date" dataDxfId="58"/>
    <tableColumn id="18" xr3:uid="{00000000-0010-0000-0F00-000012000000}" name="Non-Call Date" dataDxfId="57"/>
  </tableColumns>
  <tableStyleInfo name="TableStyleEldridge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2D42117-5193-441A-8C14-66A40D5E97B1}" name="Table20" displayName="Table20" ref="H26:L38" totalsRowCount="1" headerRowDxfId="56" dataDxfId="55" totalsRowDxfId="54">
  <autoFilter ref="H26:L37" xr:uid="{12D42117-5193-441A-8C14-66A40D5E97B1}"/>
  <tableColumns count="5">
    <tableColumn id="1" xr3:uid="{2727D7D5-D5F7-4EE8-96FD-6A1A9AB27A40}" name="Vintage" totalsRowLabel="Total" dataDxfId="53" totalsRowDxfId="4"/>
    <tableColumn id="2" xr3:uid="{C11EED73-564D-45E3-BA47-0F6B94FCFA00}" name="Current Face (M)" totalsRowFunction="sum" dataDxfId="52" totalsRowDxfId="3" dataCellStyle="Percent">
      <calculatedColumnFormula>Table20[[#This Row],[Portfolio % CF]]*$C$10/1000000</calculatedColumnFormula>
    </tableColumn>
    <tableColumn id="3" xr3:uid="{9A8F8B71-DCBA-41AB-9C93-D8D1AA49B14C}" name="Market Value (M)" totalsRowFunction="sum" dataDxfId="51" totalsRowDxfId="2" dataCellStyle="Percent">
      <calculatedColumnFormula>Table20[[#This Row],[Portfolio % MV]]*$C$11/1000000</calculatedColumnFormula>
    </tableColumn>
    <tableColumn id="4" xr3:uid="{18762466-9940-404E-B47A-2FC91F086CD5}" name="Portfolio % CF" totalsRowFunction="sum" dataDxfId="50" totalsRowDxfId="1" dataCellStyle="Percent">
      <calculatedColumnFormula>IFERROR(IF($C$4="All Portfolios",
   SUMIFS(Positions!$C$2:$C$644,tbl_rawhold[Vintage],Table20[[#This Row],[Vintage]])/$C$10,
   SUMIFS(Positions!$C$2:$C$644,tbl_rawhold[Vintage],Table20[[#This Row],[Vintage]],Positions!$M$2:$M$644,$C$4)/$C$10),0)</calculatedColumnFormula>
    </tableColumn>
    <tableColumn id="5" xr3:uid="{82838F31-AA15-4535-929C-0E3A529E0EBF}" name="Portfolio % MV" totalsRowFunction="sum" dataDxfId="49" totalsRowDxfId="0" dataCellStyle="Percent">
      <calculatedColumnFormula>IFERROR(IF($C$4="All Portfolios",
   SUMIFS(Positions!$D$2:$D$644,tbl_rawhold[Vintage],Table20[[#This Row],[Vintage]])/$C$11,
   SUMIFS(Positions!$D$2:$D$644,tbl_rawhold[Vintage],Table20[[#This Row],[Vintage]],Positions!$M$2:$M$644,$C$4)/$C$11),0)</calculatedColumnFormula>
    </tableColumn>
  </tableColumns>
  <tableStyleInfo name="TableStyleEldridge3"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7E8DB96-6F30-4B07-B6B9-321E95208A1F}" name="Table21" displayName="Table21" ref="N26:R33" totalsRowCount="1" headerRowDxfId="48" dataDxfId="47" totalsRowDxfId="46" dataCellStyle="Percent">
  <autoFilter ref="N26:R32" xr:uid="{27E8DB96-6F30-4B07-B6B9-321E95208A1F}"/>
  <tableColumns count="5">
    <tableColumn id="1" xr3:uid="{C0E68083-58A0-4469-8380-6EFE6E688032}" name="Collateral Type" totalsRowLabel="Total" dataDxfId="45" totalsRowDxfId="44"/>
    <tableColumn id="2" xr3:uid="{B110CD2D-60E4-4123-9297-9C7E7830F08A}" name="Current Face (M)" totalsRowFunction="sum" dataDxfId="43" totalsRowDxfId="42" dataCellStyle="Percent">
      <calculatedColumnFormula>Table21[[#This Row],[Portfolio % CF]]*$C$10/1000000</calculatedColumnFormula>
    </tableColumn>
    <tableColumn id="3" xr3:uid="{37038776-57D1-43F8-BD18-FDFAF46F9CD9}" name="Market Value (M)" totalsRowFunction="sum" dataDxfId="41" totalsRowDxfId="40" dataCellStyle="Percent">
      <calculatedColumnFormula>Table21[[#This Row],[Portfolio % MV]]*$C$11/1000000</calculatedColumnFormula>
    </tableColumn>
    <tableColumn id="4" xr3:uid="{A8F097ED-132B-4894-8D01-8D0EB3526B1D}" name="Portfolio % CF" totalsRowFunction="sum" dataDxfId="39" totalsRowDxfId="38" dataCellStyle="Percent">
      <calculatedColumnFormula>IFERROR(IF($C$4="All Portfolios",
   SUMIFS(Positions!$C$2:$C$644,tbl_rawhold[Collateral Type],Table21[[#This Row],[Collateral Type]])/$C$10,
   SUMIFS(Positions!$C$2:$C$644,tbl_rawhold[Collateral Type],Table21[[#This Row],[Collateral Type]],Positions!$M$2:$M$644,$C$4)/$C$10),0)</calculatedColumnFormula>
    </tableColumn>
    <tableColumn id="5" xr3:uid="{26DD84D2-9931-4777-99E2-3808183B7A4E}" name="Portfolio % MV" totalsRowFunction="sum" dataDxfId="37" totalsRowDxfId="36" dataCellStyle="Percent">
      <calculatedColumnFormula>IFERROR(IF($C$4="All Portfolios",
   SUMIFS(Positions!$D$2:$D$644,tbl_rawhold[Collateral Type],Table21[[#This Row],[Collateral Type]])/$C$11,
   SUMIFS(Positions!$D$2:$D$644,tbl_rawhold[Collateral Type],Table21[[#This Row],[Collateral Type]],Positions!$M$2:$M$644,$C$4)/$C$11),0)</calculatedColumnFormula>
    </tableColumn>
  </tableColumns>
  <tableStyleInfo name="TableStyleEldridge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bl_rawtran" displayName="tbl_rawtran" ref="A1:L64" totalsRowShown="0" headerRowDxfId="35" headerRowBorderDxfId="34" tableBorderDxfId="33">
  <autoFilter ref="A1:L64" xr:uid="{00000000-000C-0000-FFFF-FFFF10000000}"/>
  <sortState xmlns:xlrd2="http://schemas.microsoft.com/office/spreadsheetml/2017/richdata2" ref="A2:L64">
    <sortCondition ref="D1:D64"/>
  </sortState>
  <tableColumns count="12">
    <tableColumn id="1" xr3:uid="{00000000-0010-0000-1000-000001000000}" name="Portfolio"/>
    <tableColumn id="3" xr3:uid="{00000000-0010-0000-1000-000003000000}" name="Security ID"/>
    <tableColumn id="4" xr3:uid="{00000000-0010-0000-1000-000004000000}" name="Security Description"/>
    <tableColumn id="5" xr3:uid="{00000000-0010-0000-1000-000005000000}" name="Trade Date" dataDxfId="32"/>
    <tableColumn id="6" xr3:uid="{00000000-0010-0000-1000-000006000000}" name="Settle Date" dataDxfId="31"/>
    <tableColumn id="7" xr3:uid="{00000000-0010-0000-1000-000007000000}" name="Maturity Date" dataDxfId="30"/>
    <tableColumn id="8" xr3:uid="{00000000-0010-0000-1000-000008000000}" name="Quantity"/>
    <tableColumn id="9" xr3:uid="{00000000-0010-0000-1000-000009000000}" name="Price"/>
    <tableColumn id="10" xr3:uid="{00000000-0010-0000-1000-00000A000000}" name="Cost Proceeds"/>
    <tableColumn id="11" xr3:uid="{00000000-0010-0000-1000-00000B000000}" name="Coupon Rate"/>
    <tableColumn id="12" xr3:uid="{00000000-0010-0000-1000-00000C000000}" name="Portfolio_Name"/>
    <tableColumn id="2" xr3:uid="{00000000-0010-0000-1000-000002000000}" name="Type"/>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bl_rawhold" displayName="tbl_rawhold" ref="A1:V644" totalsRowShown="0" headerRowDxfId="29" dataDxfId="28" tableBorderDxfId="27">
  <autoFilter ref="A1:V644" xr:uid="{00000000-000C-0000-FFFF-FFFF11000000}"/>
  <tableColumns count="22">
    <tableColumn id="1" xr3:uid="{00000000-0010-0000-1100-000001000000}" name="Portfolio Code" dataDxfId="26"/>
    <tableColumn id="3" xr3:uid="{00000000-0010-0000-1100-000003000000}" name="CUSIP" dataDxfId="25"/>
    <tableColumn id="4" xr3:uid="{00000000-0010-0000-1100-000004000000}" name="Current Face" dataDxfId="24"/>
    <tableColumn id="5" xr3:uid="{00000000-0010-0000-1100-000005000000}" name="BASEMarket Value" dataDxfId="23"/>
    <tableColumn id="6" xr3:uid="{00000000-0010-0000-1100-000006000000}" name="BASEOriginal Cost" dataDxfId="22"/>
    <tableColumn id="7" xr3:uid="{00000000-0010-0000-1100-000007000000}" name="Issuer Name" dataDxfId="21"/>
    <tableColumn id="8" xr3:uid="{00000000-0010-0000-1100-000008000000}" name="Coupon Rate" dataDxfId="20"/>
    <tableColumn id="9" xr3:uid="{00000000-0010-0000-1100-000009000000}" name="Security Description" dataDxfId="19"/>
    <tableColumn id="10" xr3:uid="{00000000-0010-0000-1100-00000A000000}" name="Maturity Date" dataDxfId="18"/>
    <tableColumn id="11" xr3:uid="{00000000-0010-0000-1100-00000B000000}" name="Spread" dataDxfId="17"/>
    <tableColumn id="12" xr3:uid="{00000000-0010-0000-1100-00000C000000}" name="Factor" dataDxfId="16"/>
    <tableColumn id="2" xr3:uid="{00000000-0010-0000-1100-000002000000}" name="Yield" dataDxfId="15"/>
    <tableColumn id="13" xr3:uid="{00000000-0010-0000-1100-00000D000000}" name="Portfolio_Name" dataDxfId="14"/>
    <tableColumn id="14" xr3:uid="{00000000-0010-0000-1100-00000E000000}" name="Row Labels" dataDxfId="13"/>
    <tableColumn id="15" xr3:uid="{00000000-0010-0000-1100-00000F000000}" name="Manager" dataDxfId="12"/>
    <tableColumn id="16" xr3:uid="{00000000-0010-0000-1100-000010000000}" name="WAL" dataDxfId="11"/>
    <tableColumn id="20" xr3:uid="{00000000-0010-0000-1100-000014000000}" name="Implied DM" dataDxfId="10"/>
    <tableColumn id="22" xr3:uid="{00000000-0010-0000-1100-000016000000}" name="Vintage" dataDxfId="9"/>
    <tableColumn id="21" xr3:uid="{00000000-0010-0000-1100-000015000000}" name="Collateral Type" dataDxfId="8"/>
    <tableColumn id="17" xr3:uid="{00000000-0010-0000-1100-000011000000}" name="Tranche Rating" dataDxfId="7"/>
    <tableColumn id="18" xr3:uid="{00000000-0010-0000-1100-000012000000}" name="WAL_Range" dataDxfId="6"/>
    <tableColumn id="19" xr3:uid="{00000000-0010-0000-1100-000013000000}" name="coupon_Range"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2.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724F1-A720-4EAA-890E-6FCEE579F56E}">
  <dimension ref="B1:P34"/>
  <sheetViews>
    <sheetView showGridLines="0" view="pageBreakPreview" zoomScaleNormal="100" zoomScaleSheetLayoutView="100" workbookViewId="0">
      <selection activeCell="Q10" sqref="Q10"/>
    </sheetView>
  </sheetViews>
  <sheetFormatPr defaultColWidth="9.140625" defaultRowHeight="14.25" x14ac:dyDescent="0.2"/>
  <cols>
    <col min="1" max="1" width="4.42578125" style="8" customWidth="1"/>
    <col min="2" max="16384" width="9.140625" style="8"/>
  </cols>
  <sheetData>
    <row r="1" spans="2:16" x14ac:dyDescent="0.2">
      <c r="B1" s="43"/>
      <c r="C1" s="43"/>
      <c r="D1" s="43"/>
      <c r="E1" s="43"/>
      <c r="F1" s="43"/>
      <c r="G1" s="43"/>
      <c r="H1" s="43"/>
      <c r="I1" s="43"/>
      <c r="J1" s="43"/>
      <c r="K1" s="43"/>
      <c r="L1" s="43"/>
      <c r="M1" s="43"/>
      <c r="N1" s="43"/>
      <c r="O1" s="43"/>
      <c r="P1" s="43"/>
    </row>
    <row r="2" spans="2:16" ht="30" x14ac:dyDescent="0.4">
      <c r="B2" s="44" t="s">
        <v>1644</v>
      </c>
      <c r="C2" s="43"/>
      <c r="D2" s="43"/>
      <c r="E2" s="43"/>
      <c r="F2" s="43"/>
      <c r="G2" s="43"/>
      <c r="H2" s="43"/>
      <c r="I2" s="43"/>
      <c r="J2" s="43"/>
      <c r="K2" s="43"/>
      <c r="L2" s="43"/>
      <c r="M2" s="43"/>
      <c r="N2" s="43"/>
      <c r="O2" s="43"/>
      <c r="P2" s="43"/>
    </row>
    <row r="3" spans="2:16" x14ac:dyDescent="0.2">
      <c r="B3" s="43"/>
      <c r="C3" s="43"/>
      <c r="D3" s="43"/>
      <c r="E3" s="43"/>
      <c r="F3" s="43"/>
      <c r="G3" s="43"/>
      <c r="H3" s="43"/>
      <c r="I3" s="43"/>
      <c r="J3" s="43"/>
      <c r="K3" s="43"/>
      <c r="L3" s="43"/>
      <c r="M3" s="43"/>
      <c r="N3" s="43"/>
      <c r="O3" s="43"/>
      <c r="P3" s="43"/>
    </row>
    <row r="4" spans="2:16" x14ac:dyDescent="0.2">
      <c r="B4" s="43"/>
      <c r="C4" s="43"/>
      <c r="D4" s="43"/>
      <c r="E4" s="43"/>
      <c r="F4" s="43"/>
      <c r="G4" s="43"/>
      <c r="H4" s="43"/>
      <c r="I4" s="43"/>
      <c r="J4" s="43"/>
      <c r="K4" s="43"/>
      <c r="L4" s="43"/>
      <c r="M4" s="43"/>
      <c r="N4" s="43"/>
      <c r="O4" s="43"/>
      <c r="P4" s="43"/>
    </row>
    <row r="5" spans="2:16" x14ac:dyDescent="0.2">
      <c r="B5" s="43"/>
      <c r="C5" s="43"/>
      <c r="D5" s="43"/>
      <c r="E5" s="43"/>
      <c r="F5" s="43"/>
      <c r="G5" s="43"/>
      <c r="H5" s="43"/>
      <c r="I5" s="43"/>
      <c r="J5" s="43"/>
      <c r="K5" s="43"/>
      <c r="L5" s="43"/>
      <c r="M5" s="43"/>
      <c r="N5" s="43"/>
      <c r="O5" s="43"/>
      <c r="P5" s="43"/>
    </row>
    <row r="6" spans="2:16" x14ac:dyDescent="0.2">
      <c r="B6" s="43"/>
      <c r="C6" s="43"/>
      <c r="D6" s="43"/>
      <c r="E6" s="43"/>
      <c r="F6" s="43"/>
      <c r="G6" s="43"/>
      <c r="H6" s="43"/>
      <c r="I6" s="43"/>
      <c r="J6" s="43"/>
      <c r="K6" s="43"/>
      <c r="L6" s="43"/>
      <c r="M6" s="43"/>
      <c r="N6" s="43"/>
      <c r="O6" s="43"/>
      <c r="P6" s="43"/>
    </row>
    <row r="7" spans="2:16" x14ac:dyDescent="0.2">
      <c r="B7" s="43"/>
      <c r="C7" s="43"/>
      <c r="D7" s="43"/>
      <c r="E7" s="43"/>
      <c r="F7" s="43"/>
      <c r="G7" s="43"/>
      <c r="H7" s="43"/>
      <c r="I7" s="43"/>
      <c r="J7" s="43"/>
      <c r="K7" s="43"/>
      <c r="L7" s="43"/>
      <c r="M7" s="43"/>
      <c r="N7" s="43"/>
      <c r="O7" s="43"/>
      <c r="P7" s="43"/>
    </row>
    <row r="8" spans="2:16" ht="15" customHeight="1" x14ac:dyDescent="0.2">
      <c r="B8" s="54" t="s">
        <v>1645</v>
      </c>
      <c r="C8" s="54"/>
      <c r="D8" s="54"/>
      <c r="E8" s="54"/>
      <c r="F8" s="54"/>
      <c r="G8" s="54"/>
      <c r="H8" s="54"/>
      <c r="I8" s="54"/>
      <c r="J8" s="54"/>
      <c r="K8" s="54"/>
      <c r="L8" s="54"/>
      <c r="M8" s="54"/>
      <c r="N8" s="54"/>
      <c r="O8" s="43"/>
      <c r="P8" s="43"/>
    </row>
    <row r="9" spans="2:16" x14ac:dyDescent="0.2">
      <c r="B9" s="54"/>
      <c r="C9" s="54"/>
      <c r="D9" s="54"/>
      <c r="E9" s="54"/>
      <c r="F9" s="54"/>
      <c r="G9" s="54"/>
      <c r="H9" s="54"/>
      <c r="I9" s="54"/>
      <c r="J9" s="54"/>
      <c r="K9" s="54"/>
      <c r="L9" s="54"/>
      <c r="M9" s="54"/>
      <c r="N9" s="54"/>
      <c r="O9" s="43"/>
      <c r="P9" s="43"/>
    </row>
    <row r="10" spans="2:16" x14ac:dyDescent="0.2">
      <c r="B10" s="54"/>
      <c r="C10" s="54"/>
      <c r="D10" s="54"/>
      <c r="E10" s="54"/>
      <c r="F10" s="54"/>
      <c r="G10" s="54"/>
      <c r="H10" s="54"/>
      <c r="I10" s="54"/>
      <c r="J10" s="54"/>
      <c r="K10" s="54"/>
      <c r="L10" s="54"/>
      <c r="M10" s="54"/>
      <c r="N10" s="54"/>
      <c r="O10" s="43"/>
      <c r="P10" s="43"/>
    </row>
    <row r="11" spans="2:16" x14ac:dyDescent="0.2">
      <c r="B11" s="54"/>
      <c r="C11" s="54"/>
      <c r="D11" s="54"/>
      <c r="E11" s="54"/>
      <c r="F11" s="54"/>
      <c r="G11" s="54"/>
      <c r="H11" s="54"/>
      <c r="I11" s="54"/>
      <c r="J11" s="54"/>
      <c r="K11" s="54"/>
      <c r="L11" s="54"/>
      <c r="M11" s="54"/>
      <c r="N11" s="54"/>
      <c r="O11" s="43"/>
      <c r="P11" s="43"/>
    </row>
    <row r="12" spans="2:16" x14ac:dyDescent="0.2">
      <c r="B12" s="54"/>
      <c r="C12" s="54"/>
      <c r="D12" s="54"/>
      <c r="E12" s="54"/>
      <c r="F12" s="54"/>
      <c r="G12" s="54"/>
      <c r="H12" s="54"/>
      <c r="I12" s="54"/>
      <c r="J12" s="54"/>
      <c r="K12" s="54"/>
      <c r="L12" s="54"/>
      <c r="M12" s="54"/>
      <c r="N12" s="54"/>
      <c r="O12" s="43"/>
      <c r="P12" s="43"/>
    </row>
    <row r="13" spans="2:16" ht="15" customHeight="1" x14ac:dyDescent="0.2">
      <c r="B13" s="53" t="s">
        <v>1646</v>
      </c>
      <c r="C13" s="53"/>
      <c r="D13" s="53"/>
      <c r="E13" s="53"/>
      <c r="F13" s="53"/>
      <c r="G13" s="53"/>
      <c r="H13" s="53"/>
      <c r="I13" s="53"/>
      <c r="J13" s="53"/>
      <c r="K13" s="53"/>
      <c r="L13" s="53"/>
      <c r="M13" s="53"/>
      <c r="N13" s="53"/>
      <c r="O13" s="43"/>
      <c r="P13" s="43"/>
    </row>
    <row r="14" spans="2:16" x14ac:dyDescent="0.2">
      <c r="B14" s="53"/>
      <c r="C14" s="53"/>
      <c r="D14" s="53"/>
      <c r="E14" s="53"/>
      <c r="F14" s="53"/>
      <c r="G14" s="53"/>
      <c r="H14" s="53"/>
      <c r="I14" s="53"/>
      <c r="J14" s="53"/>
      <c r="K14" s="53"/>
      <c r="L14" s="53"/>
      <c r="M14" s="53"/>
      <c r="N14" s="53"/>
      <c r="O14" s="43"/>
      <c r="P14" s="43"/>
    </row>
    <row r="15" spans="2:16" x14ac:dyDescent="0.2">
      <c r="B15" s="53"/>
      <c r="C15" s="53"/>
      <c r="D15" s="53"/>
      <c r="E15" s="53"/>
      <c r="F15" s="53"/>
      <c r="G15" s="53"/>
      <c r="H15" s="53"/>
      <c r="I15" s="53"/>
      <c r="J15" s="53"/>
      <c r="K15" s="53"/>
      <c r="L15" s="53"/>
      <c r="M15" s="53"/>
      <c r="N15" s="53"/>
      <c r="O15" s="43"/>
      <c r="P15" s="43"/>
    </row>
    <row r="16" spans="2:16" x14ac:dyDescent="0.2">
      <c r="B16" s="53"/>
      <c r="C16" s="53"/>
      <c r="D16" s="53"/>
      <c r="E16" s="53"/>
      <c r="F16" s="53"/>
      <c r="G16" s="53"/>
      <c r="H16" s="53"/>
      <c r="I16" s="53"/>
      <c r="J16" s="53"/>
      <c r="K16" s="53"/>
      <c r="L16" s="53"/>
      <c r="M16" s="53"/>
      <c r="N16" s="53"/>
      <c r="O16" s="43"/>
      <c r="P16" s="43"/>
    </row>
    <row r="17" spans="2:16" x14ac:dyDescent="0.2">
      <c r="B17" s="53"/>
      <c r="C17" s="53"/>
      <c r="D17" s="53"/>
      <c r="E17" s="53"/>
      <c r="F17" s="53"/>
      <c r="G17" s="53"/>
      <c r="H17" s="53"/>
      <c r="I17" s="53"/>
      <c r="J17" s="53"/>
      <c r="K17" s="53"/>
      <c r="L17" s="53"/>
      <c r="M17" s="53"/>
      <c r="N17" s="53"/>
      <c r="O17" s="43"/>
      <c r="P17" s="43"/>
    </row>
    <row r="18" spans="2:16" x14ac:dyDescent="0.2">
      <c r="B18" s="53"/>
      <c r="C18" s="53"/>
      <c r="D18" s="53"/>
      <c r="E18" s="53"/>
      <c r="F18" s="53"/>
      <c r="G18" s="53"/>
      <c r="H18" s="53"/>
      <c r="I18" s="53"/>
      <c r="J18" s="53"/>
      <c r="K18" s="53"/>
      <c r="L18" s="53"/>
      <c r="M18" s="53"/>
      <c r="N18" s="53"/>
      <c r="O18" s="43"/>
      <c r="P18" s="43"/>
    </row>
    <row r="19" spans="2:16" x14ac:dyDescent="0.2">
      <c r="B19" s="53"/>
      <c r="C19" s="53"/>
      <c r="D19" s="53"/>
      <c r="E19" s="53"/>
      <c r="F19" s="53"/>
      <c r="G19" s="53"/>
      <c r="H19" s="53"/>
      <c r="I19" s="53"/>
      <c r="J19" s="53"/>
      <c r="K19" s="53"/>
      <c r="L19" s="53"/>
      <c r="M19" s="53"/>
      <c r="N19" s="53"/>
      <c r="O19" s="43"/>
      <c r="P19" s="43"/>
    </row>
    <row r="20" spans="2:16" x14ac:dyDescent="0.2">
      <c r="B20" s="53"/>
      <c r="C20" s="53"/>
      <c r="D20" s="53"/>
      <c r="E20" s="53"/>
      <c r="F20" s="53"/>
      <c r="G20" s="53"/>
      <c r="H20" s="53"/>
      <c r="I20" s="53"/>
      <c r="J20" s="53"/>
      <c r="K20" s="53"/>
      <c r="L20" s="53"/>
      <c r="M20" s="53"/>
      <c r="N20" s="53"/>
      <c r="O20" s="43"/>
      <c r="P20" s="43"/>
    </row>
    <row r="21" spans="2:16" x14ac:dyDescent="0.2">
      <c r="B21" s="53"/>
      <c r="C21" s="53"/>
      <c r="D21" s="53"/>
      <c r="E21" s="53"/>
      <c r="F21" s="53"/>
      <c r="G21" s="53"/>
      <c r="H21" s="53"/>
      <c r="I21" s="53"/>
      <c r="J21" s="53"/>
      <c r="K21" s="53"/>
      <c r="L21" s="53"/>
      <c r="M21" s="53"/>
      <c r="N21" s="53"/>
      <c r="O21" s="43"/>
      <c r="P21" s="43"/>
    </row>
    <row r="22" spans="2:16" x14ac:dyDescent="0.2">
      <c r="B22" s="53" t="s">
        <v>1647</v>
      </c>
      <c r="C22" s="53"/>
      <c r="D22" s="53"/>
      <c r="E22" s="53"/>
      <c r="F22" s="53"/>
      <c r="G22" s="53"/>
      <c r="H22" s="53"/>
      <c r="I22" s="53"/>
      <c r="J22" s="53"/>
      <c r="K22" s="53"/>
      <c r="L22" s="53"/>
      <c r="M22" s="53"/>
      <c r="N22" s="53"/>
      <c r="O22" s="43"/>
      <c r="P22" s="43"/>
    </row>
    <row r="23" spans="2:16" x14ac:dyDescent="0.2">
      <c r="B23" s="53"/>
      <c r="C23" s="53"/>
      <c r="D23" s="53"/>
      <c r="E23" s="53"/>
      <c r="F23" s="53"/>
      <c r="G23" s="53"/>
      <c r="H23" s="53"/>
      <c r="I23" s="53"/>
      <c r="J23" s="53"/>
      <c r="K23" s="53"/>
      <c r="L23" s="53"/>
      <c r="M23" s="53"/>
      <c r="N23" s="53"/>
      <c r="O23" s="43"/>
      <c r="P23" s="43"/>
    </row>
    <row r="24" spans="2:16" x14ac:dyDescent="0.2">
      <c r="B24" s="53"/>
      <c r="C24" s="53"/>
      <c r="D24" s="53"/>
      <c r="E24" s="53"/>
      <c r="F24" s="53"/>
      <c r="G24" s="53"/>
      <c r="H24" s="53"/>
      <c r="I24" s="53"/>
      <c r="J24" s="53"/>
      <c r="K24" s="53"/>
      <c r="L24" s="53"/>
      <c r="M24" s="53"/>
      <c r="N24" s="53"/>
      <c r="O24" s="43"/>
      <c r="P24" s="43"/>
    </row>
    <row r="25" spans="2:16" x14ac:dyDescent="0.2">
      <c r="B25" s="53"/>
      <c r="C25" s="53"/>
      <c r="D25" s="53"/>
      <c r="E25" s="53"/>
      <c r="F25" s="53"/>
      <c r="G25" s="53"/>
      <c r="H25" s="53"/>
      <c r="I25" s="53"/>
      <c r="J25" s="53"/>
      <c r="K25" s="53"/>
      <c r="L25" s="53"/>
      <c r="M25" s="53"/>
      <c r="N25" s="53"/>
      <c r="O25" s="43"/>
      <c r="P25" s="43"/>
    </row>
    <row r="26" spans="2:16" x14ac:dyDescent="0.2">
      <c r="B26" s="53"/>
      <c r="C26" s="53"/>
      <c r="D26" s="53"/>
      <c r="E26" s="53"/>
      <c r="F26" s="53"/>
      <c r="G26" s="53"/>
      <c r="H26" s="53"/>
      <c r="I26" s="53"/>
      <c r="J26" s="53"/>
      <c r="K26" s="53"/>
      <c r="L26" s="53"/>
      <c r="M26" s="53"/>
      <c r="N26" s="53"/>
      <c r="O26" s="43"/>
      <c r="P26" s="43"/>
    </row>
    <row r="27" spans="2:16" x14ac:dyDescent="0.2">
      <c r="B27" s="53"/>
      <c r="C27" s="53"/>
      <c r="D27" s="53"/>
      <c r="E27" s="53"/>
      <c r="F27" s="53"/>
      <c r="G27" s="53"/>
      <c r="H27" s="53"/>
      <c r="I27" s="53"/>
      <c r="J27" s="53"/>
      <c r="K27" s="53"/>
      <c r="L27" s="53"/>
      <c r="M27" s="53"/>
      <c r="N27" s="53"/>
      <c r="O27" s="43"/>
      <c r="P27" s="43"/>
    </row>
    <row r="28" spans="2:16" x14ac:dyDescent="0.2">
      <c r="B28" s="53"/>
      <c r="C28" s="53"/>
      <c r="D28" s="53"/>
      <c r="E28" s="53"/>
      <c r="F28" s="53"/>
      <c r="G28" s="53"/>
      <c r="H28" s="53"/>
      <c r="I28" s="53"/>
      <c r="J28" s="53"/>
      <c r="K28" s="53"/>
      <c r="L28" s="53"/>
      <c r="M28" s="53"/>
      <c r="N28" s="53"/>
      <c r="O28" s="43"/>
      <c r="P28" s="43"/>
    </row>
    <row r="29" spans="2:16" x14ac:dyDescent="0.2">
      <c r="B29" s="53"/>
      <c r="C29" s="53"/>
      <c r="D29" s="53"/>
      <c r="E29" s="53"/>
      <c r="F29" s="53"/>
      <c r="G29" s="53"/>
      <c r="H29" s="53"/>
      <c r="I29" s="53"/>
      <c r="J29" s="53"/>
      <c r="K29" s="53"/>
      <c r="L29" s="53"/>
      <c r="M29" s="53"/>
      <c r="N29" s="53"/>
      <c r="O29" s="43"/>
      <c r="P29" s="43"/>
    </row>
    <row r="30" spans="2:16" x14ac:dyDescent="0.2">
      <c r="B30" s="43"/>
      <c r="C30" s="43"/>
      <c r="D30" s="43"/>
      <c r="E30" s="43"/>
      <c r="F30" s="43"/>
      <c r="G30" s="43"/>
      <c r="H30" s="43"/>
      <c r="I30" s="43"/>
      <c r="J30" s="43"/>
      <c r="K30" s="43"/>
      <c r="L30" s="43"/>
      <c r="M30" s="43"/>
      <c r="N30" s="43"/>
      <c r="O30" s="43"/>
      <c r="P30" s="43"/>
    </row>
    <row r="31" spans="2:16" x14ac:dyDescent="0.2">
      <c r="B31" s="43"/>
      <c r="C31" s="43"/>
      <c r="D31" s="43"/>
      <c r="E31" s="43"/>
      <c r="F31" s="43"/>
      <c r="G31" s="43"/>
      <c r="H31" s="43"/>
      <c r="I31" s="43"/>
      <c r="J31" s="43"/>
      <c r="K31" s="43"/>
      <c r="L31" s="43"/>
      <c r="M31" s="43"/>
      <c r="N31" s="43"/>
      <c r="O31" s="43"/>
      <c r="P31" s="43"/>
    </row>
    <row r="32" spans="2:16" x14ac:dyDescent="0.2">
      <c r="B32" s="43"/>
      <c r="C32" s="43"/>
      <c r="D32" s="43"/>
      <c r="E32" s="43"/>
      <c r="F32" s="43"/>
      <c r="G32" s="43"/>
      <c r="H32" s="43"/>
      <c r="I32" s="43"/>
      <c r="J32" s="43"/>
      <c r="K32" s="43"/>
      <c r="L32" s="43"/>
      <c r="M32" s="43"/>
      <c r="N32" s="43"/>
      <c r="O32" s="43"/>
      <c r="P32" s="43"/>
    </row>
    <row r="33" spans="2:16" x14ac:dyDescent="0.2">
      <c r="B33" s="43"/>
      <c r="C33" s="43"/>
      <c r="D33" s="43"/>
      <c r="E33" s="43"/>
      <c r="F33" s="43"/>
      <c r="G33" s="43"/>
      <c r="H33" s="43"/>
      <c r="I33" s="43"/>
      <c r="J33" s="43"/>
      <c r="K33" s="43"/>
      <c r="L33" s="43"/>
      <c r="M33" s="43"/>
      <c r="N33" s="43"/>
      <c r="O33" s="43"/>
      <c r="P33" s="43"/>
    </row>
    <row r="34" spans="2:16" x14ac:dyDescent="0.2">
      <c r="B34" s="43"/>
      <c r="C34" s="43"/>
      <c r="D34" s="43"/>
      <c r="E34" s="43"/>
      <c r="F34" s="43"/>
      <c r="G34" s="43"/>
      <c r="H34" s="43"/>
      <c r="I34" s="43"/>
      <c r="J34" s="43"/>
      <c r="K34" s="43"/>
      <c r="L34" s="43"/>
      <c r="M34" s="43"/>
      <c r="N34" s="43"/>
      <c r="O34" s="43"/>
      <c r="P34" s="43"/>
    </row>
  </sheetData>
  <mergeCells count="3">
    <mergeCell ref="B22:N29"/>
    <mergeCell ref="B8:N12"/>
    <mergeCell ref="B13:N21"/>
  </mergeCells>
  <pageMargins left="0.7" right="0.7" top="0.75" bottom="0.75" header="0.3" footer="0.3"/>
  <pageSetup scale="62"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S201"/>
  <sheetViews>
    <sheetView showGridLines="0" tabSelected="1" view="pageBreakPreview" topLeftCell="D1" zoomScaleNormal="100" zoomScaleSheetLayoutView="100" workbookViewId="0">
      <pane ySplit="5" topLeftCell="A19" activePane="bottomLeft" state="frozen"/>
      <selection pane="bottomLeft" activeCell="K38" sqref="K38"/>
    </sheetView>
  </sheetViews>
  <sheetFormatPr defaultColWidth="8.7109375" defaultRowHeight="14.25" x14ac:dyDescent="0.2"/>
  <cols>
    <col min="1" max="1" width="8.140625" style="8" customWidth="1"/>
    <col min="2" max="2" width="33.5703125" style="8" customWidth="1"/>
    <col min="3" max="3" width="49" style="8" bestFit="1" customWidth="1"/>
    <col min="4" max="4" width="37.7109375" style="8" bestFit="1" customWidth="1"/>
    <col min="5" max="5" width="18.7109375" style="8" bestFit="1" customWidth="1"/>
    <col min="6" max="6" width="32" style="8" bestFit="1" customWidth="1"/>
    <col min="7" max="7" width="22.85546875" style="8" bestFit="1" customWidth="1"/>
    <col min="8" max="8" width="19.7109375" style="8" bestFit="1" customWidth="1"/>
    <col min="9" max="9" width="18" style="8" customWidth="1"/>
    <col min="10" max="10" width="18.140625" style="8" bestFit="1" customWidth="1"/>
    <col min="11" max="11" width="17.85546875" style="8" customWidth="1"/>
    <col min="12" max="12" width="17.7109375" style="8" customWidth="1"/>
    <col min="13" max="13" width="18" style="8" customWidth="1"/>
    <col min="14" max="14" width="32.7109375" style="8" bestFit="1" customWidth="1"/>
    <col min="15" max="15" width="20.5703125" style="8" bestFit="1" customWidth="1"/>
    <col min="16" max="16" width="20.140625" style="8" customWidth="1"/>
    <col min="17" max="17" width="18" style="8" customWidth="1"/>
    <col min="18" max="18" width="22.42578125" style="8" bestFit="1" customWidth="1"/>
    <col min="19" max="19" width="16.7109375" style="8" customWidth="1"/>
    <col min="20" max="21" width="8.7109375" style="8" customWidth="1"/>
    <col min="22" max="16384" width="8.7109375" style="8"/>
  </cols>
  <sheetData>
    <row r="1" spans="2:15" ht="27.95" customHeight="1" x14ac:dyDescent="0.4">
      <c r="B1" s="4" t="s">
        <v>0</v>
      </c>
    </row>
    <row r="2" spans="2:15" ht="23.1" customHeight="1" x14ac:dyDescent="0.35">
      <c r="B2" s="1" t="s">
        <v>1</v>
      </c>
      <c r="C2" s="1" t="s">
        <v>2</v>
      </c>
    </row>
    <row r="3" spans="2:15" ht="15" customHeight="1" x14ac:dyDescent="0.25">
      <c r="C3" s="7" t="s">
        <v>3</v>
      </c>
    </row>
    <row r="4" spans="2:15" ht="22.5" customHeight="1" x14ac:dyDescent="0.35">
      <c r="B4" s="2">
        <v>46142</v>
      </c>
      <c r="C4" s="3" t="s">
        <v>4</v>
      </c>
    </row>
    <row r="6" spans="2:15" ht="27.95" customHeight="1" x14ac:dyDescent="0.4">
      <c r="B6" s="4" t="s">
        <v>5</v>
      </c>
      <c r="D6" s="28"/>
    </row>
    <row r="7" spans="2:15" ht="15" customHeight="1" x14ac:dyDescent="0.25">
      <c r="B7" s="7"/>
      <c r="F7" s="12"/>
    </row>
    <row r="8" spans="2:15" ht="20.100000000000001" customHeight="1" x14ac:dyDescent="0.3">
      <c r="B8" s="11" t="s">
        <v>6</v>
      </c>
      <c r="C8" s="11"/>
      <c r="D8" s="11"/>
      <c r="E8" s="13" t="s">
        <v>7</v>
      </c>
      <c r="H8" s="13"/>
      <c r="K8" s="11" t="s">
        <v>8</v>
      </c>
      <c r="L8" s="11"/>
      <c r="M8" s="11"/>
    </row>
    <row r="9" spans="2:15" x14ac:dyDescent="0.2">
      <c r="B9" s="17" t="s">
        <v>1641</v>
      </c>
      <c r="C9" s="17" t="s">
        <v>41</v>
      </c>
      <c r="D9" s="9"/>
      <c r="E9" s="17" t="s">
        <v>7</v>
      </c>
      <c r="F9" s="9" t="s">
        <v>1648</v>
      </c>
      <c r="G9" s="9" t="s">
        <v>1649</v>
      </c>
      <c r="H9" s="17" t="s">
        <v>10</v>
      </c>
      <c r="I9" s="17" t="s">
        <v>11</v>
      </c>
      <c r="K9" s="17" t="s">
        <v>12</v>
      </c>
      <c r="L9" s="17" t="s">
        <v>1648</v>
      </c>
      <c r="M9" s="17" t="s">
        <v>1649</v>
      </c>
      <c r="N9" s="17" t="s">
        <v>10</v>
      </c>
      <c r="O9" s="17" t="s">
        <v>11</v>
      </c>
    </row>
    <row r="10" spans="2:15" x14ac:dyDescent="0.2">
      <c r="B10" s="17" t="s">
        <v>14</v>
      </c>
      <c r="C10" s="24">
        <f>C54</f>
        <v>1792045958.5669518</v>
      </c>
      <c r="D10" s="12"/>
      <c r="E10" s="17" t="s">
        <v>15</v>
      </c>
      <c r="F10" s="46">
        <f>Table13[[#This Row],[Portfolio % CF]]*$C$10/1000000</f>
        <v>5.25</v>
      </c>
      <c r="G10" s="46">
        <f>Table13[[#This Row],[Portfolio % MV]]*$C$11/1000000</f>
        <v>5.2668997500000003</v>
      </c>
      <c r="H10" s="20">
        <f>IFERROR(IF($C$4="All Portfolios",
   SUMIFS(tbl_rawhold[Current Face],tbl_rawhold[Tranche Rating],Table13[[#This Row],[Tranche Rating]])/$C$10,
   SUMIFS(tbl_rawhold[Current Face],tbl_rawhold[Tranche Rating],Table13[[#This Row],[Tranche Rating]],tbl_rawhold[Portfolio_Name],$C$4)/$C$10),0)</f>
        <v>2.9296123656327852E-3</v>
      </c>
      <c r="I10" s="20">
        <f>IFERROR(IF($C$4="All Portfolios",
   SUMIFS(tbl_rawhold[BASEMarket Value],tbl_rawhold[Tranche Rating],Table13[[#This Row],[Tranche Rating]])/$C$11,
   SUMIFS(tbl_rawhold[BASEMarket Value],tbl_rawhold[Tranche Rating],Table13[[#This Row],[Tranche Rating]],tbl_rawhold[Portfolio_Name],$C$4)/$C$11),0)</f>
        <v>2.9797986929207144E-3</v>
      </c>
      <c r="K10" s="17" t="s">
        <v>16</v>
      </c>
      <c r="L10" s="46">
        <f>Table14[[#This Row],[Portfolio % CF]]*$C$10/1000000</f>
        <v>181.502526441561</v>
      </c>
      <c r="M10" s="46">
        <f>Table14[[#This Row],[Portfolio % MV]]*$C$11/1000000</f>
        <v>175.65110712000001</v>
      </c>
      <c r="N10" s="20">
        <f>IFERROR(IF($C$4="All Portfolios",
   SUMIFS(Positions!$C$2:$C$644,Positions!$U$2:$U$644,Table14[[#This Row],[WAL]])/$C$10,
   SUMIFS(Positions!$C$2:$C$644,Positions!$U$2:$U$644,Table14[[#This Row],[WAL]],Positions!$M$2:$M$644,$C$4)/$C$10),0)</f>
        <v>0.10128229444891214</v>
      </c>
      <c r="O10" s="20">
        <f>IFERROR(IF($C$4="All Portfolios",
   SUMIFS(Positions!$D$2:$D$644,Positions!$U$2:$U$644,Table14[[#This Row],[WAL]])/$C$11,
   SUMIFS(Positions!$D$2:$D$644,Positions!$U$2:$U$644,Table14[[#This Row],[WAL]],Positions!$M$2:$M$644,$C$4)/$C$11),0)</f>
        <v>9.9376286667740801E-2</v>
      </c>
    </row>
    <row r="11" spans="2:15" x14ac:dyDescent="0.2">
      <c r="B11" s="17" t="s">
        <v>18</v>
      </c>
      <c r="C11" s="24">
        <f>D54</f>
        <v>1767535425.3000004</v>
      </c>
      <c r="D11" s="12"/>
      <c r="E11" s="17" t="s">
        <v>19</v>
      </c>
      <c r="F11" s="46">
        <f>Table13[[#This Row],[Portfolio % CF]]*$C$10/1000000</f>
        <v>120.497963</v>
      </c>
      <c r="G11" s="46">
        <f>Table13[[#This Row],[Portfolio % MV]]*$C$11/1000000</f>
        <v>120.65678206999999</v>
      </c>
      <c r="H11" s="20">
        <f>IFERROR(IF($C$4="All Portfolios",
   SUMIFS(tbl_rawhold[Current Face],tbl_rawhold[Tranche Rating],Table13[[#This Row],[Tranche Rating]])/$C$10,
   SUMIFS(tbl_rawhold[Current Face],tbl_rawhold[Tranche Rating],Table13[[#This Row],[Tranche Rating]],tbl_rawhold[Portfolio_Name],$C$4)/$C$10),0)</f>
        <v>6.7240442369211784E-2</v>
      </c>
      <c r="I11" s="20">
        <f>IFERROR(IF($C$4="All Portfolios",
   SUMIFS(tbl_rawhold[BASEMarket Value],tbl_rawhold[Tranche Rating],Table13[[#This Row],[Tranche Rating]])/$C$11,
   SUMIFS(tbl_rawhold[BASEMarket Value],tbl_rawhold[Tranche Rating],Table13[[#This Row],[Tranche Rating]],tbl_rawhold[Portfolio_Name],$C$4)/$C$11),0)</f>
        <v>6.8262723531847258E-2</v>
      </c>
      <c r="K11" s="17" t="s">
        <v>20</v>
      </c>
      <c r="L11" s="46">
        <f>Table14[[#This Row],[Portfolio % CF]]*$C$10/1000000</f>
        <v>424.41139310195086</v>
      </c>
      <c r="M11" s="46">
        <f>Table14[[#This Row],[Portfolio % MV]]*$C$11/1000000</f>
        <v>409.82270197000008</v>
      </c>
      <c r="N11" s="20">
        <f>IFERROR(IF($C$4="All Portfolios",
   SUMIFS(Positions!$C$2:$C$644,Positions!$U$2:$U$644,Table14[[#This Row],[WAL]])/$C$10,
   SUMIFS(Positions!$C$2:$C$644,Positions!$U$2:$U$644,Table14[[#This Row],[WAL]],Positions!$M$2:$M$644,$C$4)/$C$10),0)</f>
        <v>0.23683064101845949</v>
      </c>
      <c r="O11" s="20">
        <f>IFERROR(IF($C$4="All Portfolios",
   SUMIFS(Positions!$D$2:$D$644,Positions!$U$2:$U$644,Table14[[#This Row],[WAL]])/$C$11,
   SUMIFS(Positions!$D$2:$D$644,Positions!$U$2:$U$644,Table14[[#This Row],[WAL]],Positions!$M$2:$M$644,$C$4)/$C$11),0)</f>
        <v>0.23186109658902121</v>
      </c>
    </row>
    <row r="12" spans="2:15" x14ac:dyDescent="0.2">
      <c r="B12" s="17" t="s">
        <v>22</v>
      </c>
      <c r="C12" s="20" cm="1">
        <f t="array" ref="C12">IFERROR(IF( $C$4 = "All Portfolios",
  SUMPRODUCT( tbl_rawhold[Current Face] *  (tbl_rawhold[Coupon Rate] * 0.01) ) / SUMIFS(tbl_rawhold[Current Face], tbl_rawhold[Coupon Rate],"&gt; 0"),
  SUMPRODUCT((tbl_rawhold[Portfolio_Name] = $C$4) *  tbl_rawhold[Current Face] *  (tbl_rawhold[Coupon Rate] * 0.01) ) / SUMIFS(tbl_rawhold[Current Face], tbl_rawhold[Coupon Rate],"&gt; 0",tbl_rawhold[Portfolio_Name], $C$4)),0)</f>
        <v>7.1441016616218225E-2</v>
      </c>
      <c r="D12" s="12"/>
      <c r="E12" s="17" t="s">
        <v>23</v>
      </c>
      <c r="F12" s="46">
        <f>Table13[[#This Row],[Portfolio % CF]]*$C$10/1000000</f>
        <v>441.253722355609</v>
      </c>
      <c r="G12" s="46">
        <f>Table13[[#This Row],[Portfolio % MV]]*$C$11/1000000</f>
        <v>441.59184833</v>
      </c>
      <c r="H12" s="20">
        <f>IFERROR(IF($C$4="All Portfolios",
   SUMIFS(tbl_rawhold[Current Face],tbl_rawhold[Tranche Rating],Table13[[#This Row],[Tranche Rating]])/$C$10,
   SUMIFS(tbl_rawhold[Current Face],tbl_rawhold[Tranche Rating],Table13[[#This Row],[Tranche Rating]],tbl_rawhold[Portfolio_Name],$C$4)/$C$10),0)</f>
        <v>0.2462290212179977</v>
      </c>
      <c r="I12" s="20">
        <f>IFERROR(IF($C$4="All Portfolios",
   SUMIFS(tbl_rawhold[BASEMarket Value],tbl_rawhold[Tranche Rating],Table13[[#This Row],[Tranche Rating]])/$C$11,
   SUMIFS(tbl_rawhold[BASEMarket Value],tbl_rawhold[Tranche Rating],Table13[[#This Row],[Tranche Rating]],tbl_rawhold[Portfolio_Name],$C$4)/$C$11),0)</f>
        <v>0.2498347936958884</v>
      </c>
      <c r="K12" s="17" t="s">
        <v>24</v>
      </c>
      <c r="L12" s="46">
        <f>Table14[[#This Row],[Portfolio % CF]]*$C$10/1000000</f>
        <v>383.77552669656001</v>
      </c>
      <c r="M12" s="46">
        <f>Table14[[#This Row],[Portfolio % MV]]*$C$11/1000000</f>
        <v>375.77441422999993</v>
      </c>
      <c r="N12" s="20">
        <f>IFERROR(IF($C$4="All Portfolios",
   SUMIFS(Positions!$C$2:$C$644,Positions!$U$2:$U$644,Table14[[#This Row],[WAL]])/$C$10,
   SUMIFS(Positions!$C$2:$C$644,Positions!$U$2:$U$644,Table14[[#This Row],[WAL]],Positions!$M$2:$M$644,$C$4)/$C$10),0)</f>
        <v>0.21415495783570998</v>
      </c>
      <c r="O12" s="20">
        <f>IFERROR(IF($C$4="All Portfolios",
   SUMIFS(Positions!$D$2:$D$644,Positions!$U$2:$U$644,Table14[[#This Row],[WAL]])/$C$11,
   SUMIFS(Positions!$D$2:$D$644,Positions!$U$2:$U$644,Table14[[#This Row],[WAL]],Positions!$M$2:$M$644,$C$4)/$C$11),0)</f>
        <v>0.21259795354099931</v>
      </c>
    </row>
    <row r="13" spans="2:15" x14ac:dyDescent="0.2">
      <c r="B13" s="17" t="s">
        <v>26</v>
      </c>
      <c r="C13" s="20">
        <f>IFERROR(IF($C$4="All Portfolios",
   SUM(tbl_rawhold[BASEOriginal Cost])/C10,
   SUMIF(tbl_rawhold[Portfolio_Name],$C$4,tbl_rawhold[BASEOriginal Cost])/C10),0)</f>
        <v>1.7402396514505953</v>
      </c>
      <c r="D13" s="12"/>
      <c r="E13" s="17" t="s">
        <v>27</v>
      </c>
      <c r="F13" s="46">
        <f>Table13[[#This Row],[Portfolio % CF]]*$C$10/1000000</f>
        <v>2310.075090662257</v>
      </c>
      <c r="G13" s="46">
        <f>Table13[[#This Row],[Portfolio % MV]]*$C$11/1000000</f>
        <v>2302.270514450001</v>
      </c>
      <c r="H13" s="20">
        <f>IFERROR(IF($C$4="All Portfolios",
   SUMIFS(tbl_rawhold[Current Face],tbl_rawhold[Tranche Rating],Table13[[#This Row],[Tranche Rating]])/$C$10,
   SUMIFS(tbl_rawhold[Current Face],tbl_rawhold[Tranche Rating],Table13[[#This Row],[Tranche Rating]],tbl_rawhold[Portfolio_Name],$C$4)/$C$10),0)</f>
        <v>1.2890713430751288</v>
      </c>
      <c r="I13" s="20">
        <f>IFERROR(IF($C$4="All Portfolios",
   SUMIFS(tbl_rawhold[BASEMarket Value],tbl_rawhold[Tranche Rating],Table13[[#This Row],[Tranche Rating]])/$C$11,
   SUMIFS(tbl_rawhold[BASEMarket Value],tbl_rawhold[Tranche Rating],Table13[[#This Row],[Tranche Rating]],tbl_rawhold[Portfolio_Name],$C$4)/$C$11),0)</f>
        <v>1.3025314692401375</v>
      </c>
      <c r="K13" s="17" t="s">
        <v>28</v>
      </c>
      <c r="L13" s="46">
        <f>Table14[[#This Row],[Portfolio % CF]]*$C$10/1000000</f>
        <v>638.83394442855001</v>
      </c>
      <c r="M13" s="46">
        <f>Table14[[#This Row],[Portfolio % MV]]*$C$11/1000000</f>
        <v>633.56747860000041</v>
      </c>
      <c r="N13" s="20">
        <f>IFERROR(IF($C$4="All Portfolios",
   SUMIFS(Positions!$C$2:$C$644,Positions!$U$2:$U$644,Table14[[#This Row],[WAL]])/$C$10,
   SUMIFS(Positions!$C$2:$C$644,Positions!$U$2:$U$644,Table14[[#This Row],[WAL]],Positions!$M$2:$M$644,$C$4)/$C$10),0)</f>
        <v>0.35648301393978055</v>
      </c>
      <c r="O13" s="20">
        <f>IFERROR(IF($C$4="All Portfolios",
   SUMIFS(Positions!$D$2:$D$644,Positions!$U$2:$U$644,Table14[[#This Row],[WAL]])/$C$11,
   SUMIFS(Positions!$D$2:$D$644,Positions!$U$2:$U$644,Table14[[#This Row],[WAL]],Positions!$M$2:$M$644,$C$4)/$C$11),0)</f>
        <v>0.35844683480245731</v>
      </c>
    </row>
    <row r="14" spans="2:15" x14ac:dyDescent="0.2">
      <c r="B14" s="17" t="s">
        <v>30</v>
      </c>
      <c r="C14" s="20">
        <f>IFERROR(C11/C10,0)</f>
        <v>0.98632259783864484</v>
      </c>
      <c r="D14" s="12"/>
      <c r="E14" s="17" t="s">
        <v>31</v>
      </c>
      <c r="F14" s="46">
        <f>Table13[[#This Row],[Portfolio % CF]]*$C$10/1000000</f>
        <v>234.07858784198103</v>
      </c>
      <c r="G14" s="46">
        <f>Table13[[#This Row],[Portfolio % MV]]*$C$11/1000000</f>
        <v>214.66817902999995</v>
      </c>
      <c r="H14" s="20">
        <f>IFERROR(IF($C$4="All Portfolios",
   SUMIFS(tbl_rawhold[Current Face],tbl_rawhold[Tranche Rating],Table13[[#This Row],[Tranche Rating]])/$C$10,
   SUMIFS(tbl_rawhold[Current Face],tbl_rawhold[Tranche Rating],Table13[[#This Row],[Tranche Rating]],tbl_rawhold[Portfolio_Name],$C$4)/$C$10),0)</f>
        <v>0.13062086199461481</v>
      </c>
      <c r="I14" s="20">
        <f>IFERROR(IF($C$4="All Portfolios",
   SUMIFS(tbl_rawhold[BASEMarket Value],tbl_rawhold[Tranche Rating],Table13[[#This Row],[Tranche Rating]])/$C$11,
   SUMIFS(tbl_rawhold[BASEMarket Value],tbl_rawhold[Tranche Rating],Table13[[#This Row],[Tranche Rating]],tbl_rawhold[Portfolio_Name],$C$4)/$C$11),0)</f>
        <v>0.1214505666801924</v>
      </c>
      <c r="K14" s="17" t="s">
        <v>32</v>
      </c>
      <c r="L14" s="46">
        <f>Table14[[#This Row],[Portfolio % CF]]*$C$10/1000000</f>
        <v>1488.9836150000001</v>
      </c>
      <c r="M14" s="46">
        <f>Table14[[#This Row],[Portfolio % MV]]*$C$11/1000000</f>
        <v>1494.9255546599993</v>
      </c>
      <c r="N14" s="20">
        <f>IFERROR(IF($C$4="All Portfolios",
   SUMIFS(Positions!$C$2:$C$644,Positions!$U$2:$U$644,Table14[[#This Row],[WAL]])/$C$10,
   SUMIFS(Positions!$C$2:$C$644,Positions!$U$2:$U$644,Table14[[#This Row],[WAL]],Positions!$M$2:$M$644,$C$4)/$C$10),0)</f>
        <v>0.83088472585306794</v>
      </c>
      <c r="O14" s="20">
        <f>IFERROR(IF($C$4="All Portfolios",
   SUMIFS(Positions!$D$2:$D$644,Positions!$U$2:$U$644,Table14[[#This Row],[WAL]])/$C$11,
   SUMIFS(Positions!$D$2:$D$644,Positions!$U$2:$U$644,Table14[[#This Row],[WAL]],Positions!$M$2:$M$644,$C$4)/$C$11),0)</f>
        <v>0.84576836948332645</v>
      </c>
    </row>
    <row r="15" spans="2:15" x14ac:dyDescent="0.2">
      <c r="B15" s="17" t="s">
        <v>34</v>
      </c>
      <c r="C15" s="22" cm="1">
        <f t="array" ref="C15">IFERROR(IF( $C$4 = "All Portfolios",
  SUMPRODUCT( tbl_rawhold[Current Face]* tbl_rawhold[WAL] ) / SUMIFS(tbl_rawhold[Current Face], tbl_rawhold[WAL],"&gt; 0"),
  SUMPRODUCT((tbl_rawhold[Portfolio_Name] = $C$4) *  tbl_rawhold[Current Face] *  tbl_rawhold[WAL] ) / SUMIFS(tbl_rawhold[Current Face], tbl_rawhold[WAL],"&gt; 0",tbl_rawhold[Portfolio_Name], $C$4)),0)</f>
        <v>6.8734366006368868</v>
      </c>
      <c r="D15" s="12"/>
      <c r="E15" s="17" t="s">
        <v>35</v>
      </c>
      <c r="F15" s="46">
        <f>Table13[[#This Row],[Portfolio % CF]]*$C$10/1000000</f>
        <v>21.376474690810003</v>
      </c>
      <c r="G15" s="46">
        <f>Table13[[#This Row],[Portfolio % MV]]*$C$11/1000000</f>
        <v>20.7037455</v>
      </c>
      <c r="H15" s="20">
        <f>IFERROR(IF($C$4="All Portfolios",
   SUMIFS(tbl_rawhold[Current Face],tbl_rawhold[Tranche Rating],Table13[[#This Row],[Tranche Rating]])/$C$10,
   SUMIFS(tbl_rawhold[Current Face],tbl_rawhold[Tranche Rating],Table13[[#This Row],[Tranche Rating]],tbl_rawhold[Portfolio_Name],$C$4)/$C$10),0)</f>
        <v>1.1928530397682525E-2</v>
      </c>
      <c r="I15" s="20">
        <f>IFERROR(IF($C$4="All Portfolios",
   SUMIFS(tbl_rawhold[BASEMarket Value],tbl_rawhold[Tranche Rating],Table13[[#This Row],[Tranche Rating]])/$C$11,
   SUMIFS(tbl_rawhold[BASEMarket Value],tbl_rawhold[Tranche Rating],Table13[[#This Row],[Tranche Rating]],tbl_rawhold[Portfolio_Name],$C$4)/$C$11),0)</f>
        <v>1.1713341188896394E-2</v>
      </c>
      <c r="K15" s="17" t="s">
        <v>36</v>
      </c>
      <c r="L15" s="46">
        <f>Table14[[#This Row],[Portfolio % CF]]*$C$10/1000000</f>
        <v>4.4950000000000001</v>
      </c>
      <c r="M15" s="46">
        <f>Table14[[#This Row],[Portfolio % MV]]*$C$11/1000000</f>
        <v>4.5736304499999996</v>
      </c>
      <c r="N15" s="20">
        <f>IFERROR(IF($C$4="All Portfolios",
   SUMIFS(Positions!$C$2:$C$644,Positions!$U$2:$U$644,Table14[[#This Row],[WAL]])/$C$10,
   SUMIFS(Positions!$C$2:$C$644,Positions!$U$2:$U$644,Table14[[#This Row],[WAL]],Positions!$M$2:$M$644,$C$4)/$C$10),0)</f>
        <v>2.5083062063846421E-3</v>
      </c>
      <c r="O15" s="20">
        <f>IFERROR(IF($C$4="All Portfolios",
   SUMIFS(Positions!$D$2:$D$644,Positions!$U$2:$U$644,Table14[[#This Row],[WAL]])/$C$11,
   SUMIFS(Positions!$D$2:$D$644,Positions!$U$2:$U$644,Table14[[#This Row],[WAL]],Positions!$M$2:$M$644,$C$4)/$C$11),0)</f>
        <v>2.5875749840904749E-3</v>
      </c>
    </row>
    <row r="16" spans="2:15" x14ac:dyDescent="0.2">
      <c r="B16" s="17" t="s">
        <v>1638</v>
      </c>
      <c r="C16" s="15" cm="1">
        <f t="array" ref="C16">IFERROR(IF( $C$4 = "All Portfolios",
  SUMPRODUCT( tbl_rawhold[Current Face]* tbl_rawhold[Spread] ) /  SUMIFS(tbl_rawhold[Current Face], tbl_rawhold[Spread],"&gt; 0"),
  SUMPRODUCT((tbl_rawhold[Portfolio_Name] = $C$4) *  tbl_rawhold[Current Face] *  tbl_rawhold[Spread] ) / SUMIFS(tbl_rawhold[Current Face], tbl_rawhold[Spread],"&gt; 0",tbl_rawhold[Portfolio_Name], $C$4)),0)</f>
        <v>320.40240329958971</v>
      </c>
      <c r="D16" s="12"/>
      <c r="E16" s="17" t="s">
        <v>39</v>
      </c>
      <c r="F16" s="46">
        <f>Table13[[#This Row],[Portfolio % CF]]*$C$10/1000000</f>
        <v>1.2030000000000001</v>
      </c>
      <c r="G16" s="46">
        <f>Table13[[#This Row],[Portfolio % MV]]*$C$11/1000000</f>
        <v>0.80212671999999996</v>
      </c>
      <c r="H16" s="20">
        <f>IFERROR(IF($C$4="All Portfolios",
   SUMIFS(tbl_rawhold[Current Face],tbl_rawhold[Tranche Rating],Table13[[#This Row],[Tranche Rating]])/$C$10,
   SUMIFS(tbl_rawhold[Current Face],tbl_rawhold[Tranche Rating],Table13[[#This Row],[Tranche Rating]],tbl_rawhold[Portfolio_Name],$C$4)/$C$10),0)</f>
        <v>6.712997477821411E-4</v>
      </c>
      <c r="I16" s="20">
        <f>IFERROR(IF($C$4="All Portfolios",
   SUMIFS(tbl_rawhold[BASEMarket Value],tbl_rawhold[Tranche Rating],Table13[[#This Row],[Tranche Rating]])/$C$11,
   SUMIFS(tbl_rawhold[BASEMarket Value],tbl_rawhold[Tranche Rating],Table13[[#This Row],[Tranche Rating]],tbl_rawhold[Portfolio_Name],$C$4)/$C$11),0)</f>
        <v>4.5381083089967293E-4</v>
      </c>
      <c r="K16" s="17" t="s">
        <v>40</v>
      </c>
      <c r="L16" s="46">
        <f>Table14[[#This Row],[Portfolio % CF]]*$C$10/1000000</f>
        <v>11.732832882035</v>
      </c>
      <c r="M16" s="46">
        <f>Table14[[#This Row],[Portfolio % MV]]*$C$11/1000000</f>
        <v>11.645208820000001</v>
      </c>
      <c r="N16" s="20">
        <f>IFERROR(IF($C$4="All Portfolios",
   SUMIFS(Positions!$C$2:$C$644,Positions!$U$2:$U$644,Table14[[#This Row],[WAL]])/$C$10,
   SUMIFS(Positions!$C$2:$C$644,Positions!$U$2:$U$644,Table14[[#This Row],[WAL]],Positions!$M$2:$M$644,$C$4)/$C$10),0)</f>
        <v>6.5471718657357505E-3</v>
      </c>
      <c r="O16" s="20">
        <f>IFERROR(IF($C$4="All Portfolios",
   SUMIFS(Positions!$D$2:$D$644,Positions!$U$2:$U$644,Table14[[#This Row],[WAL]])/$C$11,
   SUMIFS(Positions!$D$2:$D$644,Positions!$U$2:$U$644,Table14[[#This Row],[WAL]],Positions!$M$2:$M$644,$C$4)/$C$11),0)</f>
        <v>6.5883877931462E-3</v>
      </c>
    </row>
    <row r="17" spans="2:18" x14ac:dyDescent="0.2">
      <c r="B17" s="17" t="s">
        <v>1639</v>
      </c>
      <c r="C17" s="15" cm="1">
        <f t="array" ref="C17">IFERROR(IF( $C$4 = "All Portfolios",
  SUMPRODUCT( tbl_rawhold[Current Face]* tbl_rawhold[Implied DM] ) / SUMIFS(tbl_rawhold[Current Face], tbl_rawhold[Implied DM],"&gt; 0"),
  SUMPRODUCT((tbl_rawhold[Portfolio_Name] = $C$4) *  tbl_rawhold[Current Face] *  tbl_rawhold[Implied DM] ) / SUMIFS(tbl_rawhold[Current Face], tbl_rawhold[Implied DM],"&gt; 0",tbl_rawhold[Portfolio_Name], $C$4)),0)</f>
        <v>350.95738328101999</v>
      </c>
      <c r="D17" s="12"/>
      <c r="E17" s="17" t="s">
        <v>43</v>
      </c>
      <c r="F17" s="46">
        <f>Table13[[#This Row],[Portfolio % CF]]*$C$10/1000000</f>
        <v>0</v>
      </c>
      <c r="G17" s="46">
        <f>Table13[[#This Row],[Portfolio % MV]]*$C$11/1000000</f>
        <v>0</v>
      </c>
      <c r="H17" s="20">
        <f>IFERROR(IF($C$4="All Portfolios",
   SUMIFS(tbl_rawhold[Current Face],tbl_rawhold[Tranche Rating],Table13[[#This Row],[Tranche Rating]])/$C$10,
   SUMIFS(tbl_rawhold[Current Face],tbl_rawhold[Tranche Rating],Table13[[#This Row],[Tranche Rating]],tbl_rawhold[Portfolio_Name],$C$4)/$C$10),0)</f>
        <v>0</v>
      </c>
      <c r="I17" s="20">
        <f>IFERROR(IF($C$4="All Portfolios",
   SUMIFS(tbl_rawhold[BASEMarket Value],tbl_rawhold[Tranche Rating],Table13[[#This Row],[Tranche Rating]])/$C$11,
   SUMIFS(tbl_rawhold[BASEMarket Value],tbl_rawhold[Tranche Rating],Table13[[#This Row],[Tranche Rating]],tbl_rawhold[Portfolio_Name],$C$4)/$C$11),0)</f>
        <v>0</v>
      </c>
      <c r="K17" s="17" t="s">
        <v>41</v>
      </c>
      <c r="L17" s="46">
        <f>SUBTOTAL(109,Table14[Current Face (M)])</f>
        <v>3133.7348385506566</v>
      </c>
      <c r="M17" s="46">
        <f>SUBTOTAL(109,Table14[Market Value (M)])</f>
        <v>3105.9600958499996</v>
      </c>
      <c r="N17" s="16">
        <f>SUBTOTAL(109,Table14[Portfolio % CF])</f>
        <v>1.7486911111680505</v>
      </c>
      <c r="O17" s="16">
        <f>SUBTOTAL(109,Table14[Portfolio % MV])</f>
        <v>1.7572265038607819</v>
      </c>
    </row>
    <row r="18" spans="2:18" x14ac:dyDescent="0.2">
      <c r="B18" s="17" t="s">
        <v>1640</v>
      </c>
      <c r="C18" s="14" cm="1">
        <f t="array" ref="C18">IFERROR(IF( $C$4 = "All Portfolios",
  SUMPRODUCT( tbl_rawhold[Current Face]* tbl_rawhold[Yield] ) / SUMIFS(tbl_rawhold[Current Face], tbl_rawhold[Yield],"&gt; 0"),
  SUMPRODUCT((tbl_rawhold[Portfolio_Name] = $C$4) *  tbl_rawhold[Current Face] *  tbl_rawhold[Yield] ) / SUMIFS(tbl_rawhold[Current Face], tbl_rawhold[Yield],"&gt; 0",tbl_rawhold[Portfolio_Name], $C$4)),0)</f>
        <v>7.1814734993389191</v>
      </c>
      <c r="D18" s="12"/>
      <c r="E18" s="17" t="s">
        <v>41</v>
      </c>
      <c r="F18" s="47">
        <f>SUBTOTAL(109,Table13[Current Face (M)])</f>
        <v>3133.7348385506571</v>
      </c>
      <c r="G18" s="47">
        <f>SUBTOTAL(109,Table13[Market Value (M)])</f>
        <v>3105.9600958500009</v>
      </c>
      <c r="H18" s="16">
        <f>SUBTOTAL(109,Table13[Portfolio % CF])</f>
        <v>1.7486911111680508</v>
      </c>
      <c r="I18" s="16">
        <f>SUBTOTAL(109,Table13[Portfolio % MV])</f>
        <v>1.7572265038607822</v>
      </c>
    </row>
    <row r="19" spans="2:18" x14ac:dyDescent="0.2">
      <c r="B19" s="17" t="s">
        <v>38</v>
      </c>
      <c r="C19" s="15">
        <f>G54</f>
        <v>37</v>
      </c>
      <c r="D19" s="12"/>
      <c r="E19" s="17"/>
      <c r="F19" s="16"/>
      <c r="G19" s="16"/>
    </row>
    <row r="20" spans="2:18" x14ac:dyDescent="0.2">
      <c r="B20" s="17" t="s">
        <v>42</v>
      </c>
      <c r="C20" s="15">
        <f>COUNTIFS(tbl_report_manager[Current Face],"&lt;&gt;0")</f>
        <v>16</v>
      </c>
      <c r="D20" s="12"/>
      <c r="E20" s="17"/>
      <c r="F20" s="16"/>
      <c r="G20" s="16"/>
    </row>
    <row r="21" spans="2:18" x14ac:dyDescent="0.2">
      <c r="B21" s="17" t="s">
        <v>44</v>
      </c>
      <c r="C21" s="15">
        <f>H54</f>
        <v>226</v>
      </c>
      <c r="D21" s="12"/>
      <c r="E21" s="17"/>
      <c r="F21" s="16"/>
      <c r="G21" s="16"/>
    </row>
    <row r="22" spans="2:18" x14ac:dyDescent="0.2">
      <c r="D22" s="12"/>
      <c r="E22" s="17"/>
      <c r="F22" s="16"/>
      <c r="G22" s="16"/>
    </row>
    <row r="23" spans="2:18" ht="20.45" customHeight="1" x14ac:dyDescent="0.2"/>
    <row r="24" spans="2:18" ht="14.45" customHeight="1" x14ac:dyDescent="0.2"/>
    <row r="25" spans="2:18" ht="20.25" x14ac:dyDescent="0.3">
      <c r="B25" s="11" t="s">
        <v>9</v>
      </c>
      <c r="C25" s="11"/>
      <c r="D25" s="11"/>
      <c r="H25" s="11" t="s">
        <v>1642</v>
      </c>
      <c r="I25" s="11"/>
      <c r="J25" s="11"/>
      <c r="N25" s="11" t="s">
        <v>1519</v>
      </c>
      <c r="O25" s="11"/>
      <c r="P25" s="11"/>
    </row>
    <row r="26" spans="2:18" x14ac:dyDescent="0.2">
      <c r="B26" s="17" t="s">
        <v>13</v>
      </c>
      <c r="C26" s="17" t="s">
        <v>1648</v>
      </c>
      <c r="D26" s="17" t="s">
        <v>1649</v>
      </c>
      <c r="E26" s="17" t="s">
        <v>10</v>
      </c>
      <c r="F26" s="17" t="s">
        <v>11</v>
      </c>
      <c r="H26" s="17" t="s">
        <v>1518</v>
      </c>
      <c r="I26" s="17" t="s">
        <v>1648</v>
      </c>
      <c r="J26" s="17" t="s">
        <v>1649</v>
      </c>
      <c r="K26" s="17" t="s">
        <v>10</v>
      </c>
      <c r="L26" s="17" t="s">
        <v>11</v>
      </c>
      <c r="N26" s="17" t="s">
        <v>1519</v>
      </c>
      <c r="O26" s="17" t="s">
        <v>1648</v>
      </c>
      <c r="P26" s="17" t="s">
        <v>1649</v>
      </c>
      <c r="Q26" s="17" t="s">
        <v>10</v>
      </c>
      <c r="R26" s="17" t="s">
        <v>11</v>
      </c>
    </row>
    <row r="27" spans="2:18" x14ac:dyDescent="0.2">
      <c r="B27" s="17" t="s">
        <v>17</v>
      </c>
      <c r="C27" s="46">
        <f>Table15[[#This Row],[Portfolio % CF]]*$C$10/1000000</f>
        <v>172.57906060606203</v>
      </c>
      <c r="D27" s="46">
        <f>Table15[[#This Row],[Portfolio % MV]]*$C$11/1000000</f>
        <v>157.63821225999996</v>
      </c>
      <c r="E27" s="20">
        <f>IFERROR(IF($C$4="All Portfolios",
   SUMIFS(Positions!$C$2:$C$644,Positions!$V$2:$V$644,Table15[[#This Row],[Coupon]])/$C$10,
   SUMIFS(Positions!$C$2:$C$644,Positions!$V$2:$V$644,Table15[[#This Row],[Coupon]],Positions!$M$2:$M$644,$C$4)/$C$10),0)</f>
        <v>9.6302809523963653E-2</v>
      </c>
      <c r="F27" s="20">
        <f>IFERROR(IF($C$4="All Portfolios",
   SUMIFS(Positions!$D$2:$D$644,Positions!$V$2:$V$644,Table15[[#This Row],[Coupon]])/$C$11,
   SUMIFS(Positions!$D$2:$D$644,Positions!$V$2:$V$644,Table15[[#This Row],[Coupon]],Positions!$M$2:$M$644,$C$4)/$C$11),0)</f>
        <v>8.9185319854760095E-2</v>
      </c>
      <c r="H27" s="17">
        <v>2017</v>
      </c>
      <c r="I27" s="46">
        <f>Table20[[#This Row],[Portfolio % CF]]*$C$10/1000000</f>
        <v>8.1250000000000018</v>
      </c>
      <c r="J27" s="46">
        <f>Table20[[#This Row],[Portfolio % MV]]*$C$11/1000000</f>
        <v>8.1479043799999999</v>
      </c>
      <c r="K27" s="20">
        <f>IFERROR(IF($C$4="All Portfolios",
   SUMIFS(Positions!$C$2:$C$644,tbl_rawhold[Vintage],Table20[[#This Row],[Vintage]])/$C$10,
   SUMIFS(Positions!$C$2:$C$644,tbl_rawhold[Vintage],Table20[[#This Row],[Vintage]],Positions!$M$2:$M$644,$C$4)/$C$10),0)</f>
        <v>4.5339238991935968E-3</v>
      </c>
      <c r="L27" s="20">
        <f>IFERROR(IF($C$4="All Portfolios",
   SUMIFS(Positions!$D$2:$D$644,tbl_rawhold[Vintage],Table20[[#This Row],[Vintage]])/$C$11,
   SUMIFS(Positions!$D$2:$D$644,tbl_rawhold[Vintage],Table20[[#This Row],[Vintage]],Positions!$M$2:$M$644,$C$4)/$C$11),0)</f>
        <v>4.6097544996118378E-3</v>
      </c>
      <c r="N27" s="17" t="s">
        <v>1524</v>
      </c>
      <c r="O27" s="46">
        <f>Table21[[#This Row],[Portfolio % CF]]*$C$10/1000000</f>
        <v>4.8109239958999996E-2</v>
      </c>
      <c r="P27" s="46">
        <f>Table21[[#This Row],[Portfolio % MV]]*$C$11/1000000</f>
        <v>4.7836699999999996E-2</v>
      </c>
      <c r="Q27" s="20">
        <f>IFERROR(IF($C$4="All Portfolios",
   SUMIFS(Positions!$C$2:$C$644,tbl_rawhold[Collateral Type],Table21[[#This Row],[Collateral Type]])/$C$10,
   SUMIFS(Positions!$C$2:$C$644,tbl_rawhold[Collateral Type],Table21[[#This Row],[Collateral Type]],Positions!$M$2:$M$644,$C$4)/$C$10),0)</f>
        <v>2.6845985578110726E-5</v>
      </c>
      <c r="R27" s="20">
        <f>IFERROR(IF($C$4="All Portfolios",
   SUMIFS(Positions!$D$2:$D$644,tbl_rawhold[Collateral Type],Table21[[#This Row],[Collateral Type]])/$C$11,
   SUMIFS(Positions!$D$2:$D$644,tbl_rawhold[Collateral Type],Table21[[#This Row],[Collateral Type]],Positions!$M$2:$M$644,$C$4)/$C$11),0)</f>
        <v>2.7064068598161626E-5</v>
      </c>
    </row>
    <row r="28" spans="2:18" x14ac:dyDescent="0.2">
      <c r="B28" s="17" t="s">
        <v>21</v>
      </c>
      <c r="C28" s="46">
        <f>Table15[[#This Row],[Portfolio % CF]]*$C$10/1000000</f>
        <v>14.192843110149997</v>
      </c>
      <c r="D28" s="46">
        <f>Table15[[#This Row],[Portfolio % MV]]*$C$11/1000000</f>
        <v>13.527958649999999</v>
      </c>
      <c r="E28" s="20">
        <f>IFERROR(IF($C$4="All Portfolios",
   SUMIFS(Positions!$C$2:$C$644,Positions!$V$2:$V$644,Table15[[#This Row],[Coupon]])/$C$10,
   SUMIFS(Positions!$C$2:$C$644,Positions!$V$2:$V$644,Table15[[#This Row],[Coupon]],Positions!$M$2:$M$644,$C$4)/$C$10),0)</f>
        <v>7.9199102245679082E-3</v>
      </c>
      <c r="F28" s="20">
        <f>IFERROR(IF($C$4="All Portfolios",
   SUMIFS(Positions!$D$2:$D$644,Positions!$V$2:$V$644,Table15[[#This Row],[Coupon]])/$C$11,
   SUMIFS(Positions!$D$2:$D$644,Positions!$V$2:$V$644,Table15[[#This Row],[Coupon]],Positions!$M$2:$M$644,$C$4)/$C$11),0)</f>
        <v>7.6535714398504482E-3</v>
      </c>
      <c r="H28" s="17">
        <v>2018</v>
      </c>
      <c r="I28" s="46">
        <f>Table20[[#This Row],[Portfolio % CF]]*$C$10/1000000</f>
        <v>209.575963</v>
      </c>
      <c r="J28" s="46">
        <f>Table20[[#This Row],[Portfolio % MV]]*$C$11/1000000</f>
        <v>209.49103614000001</v>
      </c>
      <c r="K28" s="20">
        <f>IFERROR(IF($C$4="All Portfolios",
   SUMIFS(Positions!$C$2:$C$644,tbl_rawhold[Vintage],Table20[[#This Row],[Vintage]])/$C$10,
   SUMIFS(Positions!$C$2:$C$644,tbl_rawhold[Vintage],Table20[[#This Row],[Vintage]],Positions!$M$2:$M$644,$C$4)/$C$10),0)</f>
        <v>0.11694787290365698</v>
      </c>
      <c r="L28" s="20">
        <f>IFERROR(IF($C$4="All Portfolios",
   SUMIFS(Positions!$D$2:$D$644,tbl_rawhold[Vintage],Table20[[#This Row],[Vintage]])/$C$11,
   SUMIFS(Positions!$D$2:$D$644,tbl_rawhold[Vintage],Table20[[#This Row],[Vintage]],Positions!$M$2:$M$644,$C$4)/$C$11),0)</f>
        <v>0.11852154878561684</v>
      </c>
      <c r="N28" s="17" t="s">
        <v>1527</v>
      </c>
      <c r="O28" s="46">
        <f>Table21[[#This Row],[Portfolio % CF]]*$C$10/1000000</f>
        <v>8</v>
      </c>
      <c r="P28" s="46">
        <f>Table21[[#This Row],[Portfolio % MV]]*$C$11/1000000</f>
        <v>7.9699828599999991</v>
      </c>
      <c r="Q28" s="20">
        <f>IFERROR(IF($C$4="All Portfolios",
   SUMIFS(Positions!$C$2:$C$644,tbl_rawhold[Collateral Type],Table21[[#This Row],[Collateral Type]])/$C$10,
   SUMIFS(Positions!$C$2:$C$644,tbl_rawhold[Collateral Type],Table21[[#This Row],[Collateral Type]],Positions!$M$2:$M$644,$C$4)/$C$10),0)</f>
        <v>4.4641712238213871E-3</v>
      </c>
      <c r="R28" s="20">
        <f>IFERROR(IF($C$4="All Portfolios",
   SUMIFS(Positions!$D$2:$D$644,tbl_rawhold[Collateral Type],Table21[[#This Row],[Collateral Type]])/$C$11,
   SUMIFS(Positions!$D$2:$D$644,tbl_rawhold[Collateral Type],Table21[[#This Row],[Collateral Type]],Positions!$M$2:$M$644,$C$4)/$C$11),0)</f>
        <v>4.509093705234943E-3</v>
      </c>
    </row>
    <row r="29" spans="2:18" x14ac:dyDescent="0.2">
      <c r="B29" s="17" t="s">
        <v>25</v>
      </c>
      <c r="C29" s="46">
        <f>Table15[[#This Row],[Portfolio % CF]]*$C$10/1000000</f>
        <v>54.176261301654002</v>
      </c>
      <c r="D29" s="46">
        <f>Table15[[#This Row],[Portfolio % MV]]*$C$11/1000000</f>
        <v>52.133453090000003</v>
      </c>
      <c r="E29" s="20">
        <f>IFERROR(IF($C$4="All Portfolios",
   SUMIFS(Positions!$C$2:$C$644,Positions!$V$2:$V$644,Table15[[#This Row],[Coupon]])/$C$10,
   SUMIFS(Positions!$C$2:$C$644,Positions!$V$2:$V$644,Table15[[#This Row],[Coupon]],Positions!$M$2:$M$644,$C$4)/$C$10),0)</f>
        <v>3.0231513339634003E-2</v>
      </c>
      <c r="F29" s="20">
        <f>IFERROR(IF($C$4="All Portfolios",
   SUMIFS(Positions!$D$2:$D$644,Positions!$V$2:$V$644,Table15[[#This Row],[Coupon]])/$C$11,
   SUMIFS(Positions!$D$2:$D$644,Positions!$V$2:$V$644,Table15[[#This Row],[Coupon]],Positions!$M$2:$M$644,$C$4)/$C$11),0)</f>
        <v>2.9494997578988547E-2</v>
      </c>
      <c r="H29" s="17">
        <v>2019</v>
      </c>
      <c r="I29" s="46">
        <f>Table20[[#This Row],[Portfolio % CF]]*$C$10/1000000</f>
        <v>28.777249999999999</v>
      </c>
      <c r="J29" s="46">
        <f>Table20[[#This Row],[Portfolio % MV]]*$C$11/1000000</f>
        <v>28.817042860000004</v>
      </c>
      <c r="K29" s="20">
        <f>IFERROR(IF($C$4="All Portfolios",
   SUMIFS(Positions!$C$2:$C$644,tbl_rawhold[Vintage],Table20[[#This Row],[Vintage]])/$C$10,
   SUMIFS(Positions!$C$2:$C$644,tbl_rawhold[Vintage],Table20[[#This Row],[Vintage]],Positions!$M$2:$M$644,$C$4)/$C$10),0)</f>
        <v>1.6058321418839252E-2</v>
      </c>
      <c r="L29" s="20">
        <f>IFERROR(IF($C$4="All Portfolios",
   SUMIFS(Positions!$D$2:$D$644,tbl_rawhold[Vintage],Table20[[#This Row],[Vintage]])/$C$11,
   SUMIFS(Positions!$D$2:$D$644,tbl_rawhold[Vintage],Table20[[#This Row],[Vintage]],Positions!$M$2:$M$644,$C$4)/$C$11),0)</f>
        <v>1.6303516437363025E-2</v>
      </c>
      <c r="N29" s="17" t="s">
        <v>1523</v>
      </c>
      <c r="O29" s="46">
        <f>Table21[[#This Row],[Portfolio % CF]]*$C$10/1000000</f>
        <v>9.5500000000000007</v>
      </c>
      <c r="P29" s="46">
        <f>Table21[[#This Row],[Portfolio % MV]]*$C$11/1000000</f>
        <v>9.3323762100000014</v>
      </c>
      <c r="Q29" s="20">
        <f>IFERROR(IF($C$4="All Portfolios",
   SUMIFS(Positions!$C$2:$C$644,tbl_rawhold[Collateral Type],Table21[[#This Row],[Collateral Type]])/$C$10,
   SUMIFS(Positions!$C$2:$C$644,tbl_rawhold[Collateral Type],Table21[[#This Row],[Collateral Type]],Positions!$M$2:$M$644,$C$4)/$C$10),0)</f>
        <v>5.3291043984367813E-3</v>
      </c>
      <c r="R29" s="20">
        <f>IFERROR(IF($C$4="All Portfolios",
   SUMIFS(Positions!$D$2:$D$644,tbl_rawhold[Collateral Type],Table21[[#This Row],[Collateral Type]])/$C$11,
   SUMIFS(Positions!$D$2:$D$644,tbl_rawhold[Collateral Type],Table21[[#This Row],[Collateral Type]],Positions!$M$2:$M$644,$C$4)/$C$11),0)</f>
        <v>5.2798807177604568E-3</v>
      </c>
    </row>
    <row r="30" spans="2:18" x14ac:dyDescent="0.2">
      <c r="B30" s="17" t="s">
        <v>29</v>
      </c>
      <c r="C30" s="46">
        <f>Table15[[#This Row],[Portfolio % CF]]*$C$10/1000000</f>
        <v>124.03283288203498</v>
      </c>
      <c r="D30" s="46">
        <f>Table15[[#This Row],[Portfolio % MV]]*$C$11/1000000</f>
        <v>108.48834606</v>
      </c>
      <c r="E30" s="20">
        <f>IFERROR(IF($C$4="All Portfolios",
   SUMIFS(Positions!$C$2:$C$644,Positions!$V$2:$V$644,Table15[[#This Row],[Coupon]])/$C$10,
   SUMIFS(Positions!$C$2:$C$644,Positions!$V$2:$V$644,Table15[[#This Row],[Coupon]],Positions!$M$2:$M$644,$C$4)/$C$10),0)</f>
        <v>6.921297542012847E-2</v>
      </c>
      <c r="F30" s="20">
        <f>IFERROR(IF($C$4="All Portfolios",
   SUMIFS(Positions!$D$2:$D$644,Positions!$V$2:$V$644,Table15[[#This Row],[Coupon]])/$C$11,
   SUMIFS(Positions!$D$2:$D$644,Positions!$V$2:$V$644,Table15[[#This Row],[Coupon]],Positions!$M$2:$M$644,$C$4)/$C$11),0)</f>
        <v>6.13783149730006E-2</v>
      </c>
      <c r="H30" s="17">
        <v>2020</v>
      </c>
      <c r="I30" s="46">
        <f>Table20[[#This Row],[Portfolio % CF]]*$C$10/1000000</f>
        <v>134.447910706838</v>
      </c>
      <c r="J30" s="46">
        <f>Table20[[#This Row],[Portfolio % MV]]*$C$11/1000000</f>
        <v>122.69999589999999</v>
      </c>
      <c r="K30" s="20">
        <f>IFERROR(IF($C$4="All Portfolios",
   SUMIFS(Positions!$C$2:$C$644,tbl_rawhold[Vintage],Table20[[#This Row],[Vintage]])/$C$10,
   SUMIFS(Positions!$C$2:$C$644,tbl_rawhold[Vintage],Table20[[#This Row],[Vintage]],Positions!$M$2:$M$644,$C$4)/$C$10),0)</f>
        <v>7.5024811760046703E-2</v>
      </c>
      <c r="L30" s="20">
        <f>IFERROR(IF($C$4="All Portfolios",
   SUMIFS(Positions!$D$2:$D$644,tbl_rawhold[Vintage],Table20[[#This Row],[Vintage]])/$C$11,
   SUMIFS(Positions!$D$2:$D$644,tbl_rawhold[Vintage],Table20[[#This Row],[Vintage]],Positions!$M$2:$M$644,$C$4)/$C$11),0)</f>
        <v>6.9418691214731584E-2</v>
      </c>
      <c r="N30" s="17" t="s">
        <v>1651</v>
      </c>
      <c r="O30" s="46">
        <f>Table21[[#This Row],[Portfolio % CF]]*$C$10/1000000</f>
        <v>0</v>
      </c>
      <c r="P30" s="46">
        <f>Table21[[#This Row],[Portfolio % MV]]*$C$11/1000000</f>
        <v>0</v>
      </c>
      <c r="Q30" s="20">
        <f>IFERROR(IF($C$4="All Portfolios",
   SUMIFS(Positions!$C$2:$C$644,tbl_rawhold[Collateral Type],Table21[[#This Row],[Collateral Type]])/$C$10,
   SUMIFS(Positions!$C$2:$C$644,tbl_rawhold[Collateral Type],Table21[[#This Row],[Collateral Type]],Positions!$M$2:$M$644,$C$4)/$C$10),0)</f>
        <v>0</v>
      </c>
      <c r="R30" s="20">
        <f>IFERROR(IF($C$4="All Portfolios",
   SUMIFS(Positions!$D$2:$D$644,tbl_rawhold[Collateral Type],Table21[[#This Row],[Collateral Type]])/$C$11,
   SUMIFS(Positions!$D$2:$D$644,tbl_rawhold[Collateral Type],Table21[[#This Row],[Collateral Type]],Positions!$M$2:$M$644,$C$4)/$C$11),0)</f>
        <v>0</v>
      </c>
    </row>
    <row r="31" spans="2:18" x14ac:dyDescent="0.2">
      <c r="B31" s="17" t="s">
        <v>33</v>
      </c>
      <c r="C31" s="46">
        <f>Table15[[#This Row],[Portfolio % CF]]*$C$10/1000000</f>
        <v>737.01685399999997</v>
      </c>
      <c r="D31" s="46">
        <f>Table15[[#This Row],[Portfolio % MV]]*$C$11/1000000</f>
        <v>738.86286153999993</v>
      </c>
      <c r="E31" s="20">
        <f>IFERROR(IF($C$4="All Portfolios",
   SUMIFS(Positions!$C$2:$C$644,Positions!$V$2:$V$644,Table15[[#This Row],[Coupon]])/$C$10,
   SUMIFS(Positions!$C$2:$C$644,Positions!$V$2:$V$644,Table15[[#This Row],[Coupon]],Positions!$M$2:$M$644,$C$4)/$C$10),0)</f>
        <v>0.4112711788872711</v>
      </c>
      <c r="F31" s="20">
        <f>IFERROR(IF($C$4="All Portfolios",
   SUMIFS(Positions!$D$2:$D$644,Positions!$V$2:$V$644,Table15[[#This Row],[Coupon]])/$C$11,
   SUMIFS(Positions!$D$2:$D$644,Positions!$V$2:$V$644,Table15[[#This Row],[Coupon]],Positions!$M$2:$M$644,$C$4)/$C$11),0)</f>
        <v>0.41801870048211009</v>
      </c>
      <c r="H31" s="17">
        <v>2021</v>
      </c>
      <c r="I31" s="46">
        <f>Table20[[#This Row],[Portfolio % CF]]*$C$10/1000000</f>
        <v>807.27463803592491</v>
      </c>
      <c r="J31" s="46">
        <f>Table20[[#This Row],[Portfolio % MV]]*$C$11/1000000</f>
        <v>787.99578979000046</v>
      </c>
      <c r="K31" s="20">
        <f>IFERROR(IF($C$4="All Portfolios",
   SUMIFS(Positions!$C$2:$C$644,tbl_rawhold[Vintage],Table20[[#This Row],[Vintage]])/$C$10,
   SUMIFS(Positions!$C$2:$C$644,tbl_rawhold[Vintage],Table20[[#This Row],[Vintage]],Positions!$M$2:$M$644,$C$4)/$C$10),0)</f>
        <v>0.45047652610510031</v>
      </c>
      <c r="L31" s="20">
        <f>IFERROR(IF($C$4="All Portfolios",
   SUMIFS(Positions!$D$2:$D$644,tbl_rawhold[Vintage],Table20[[#This Row],[Vintage]])/$C$11,
   SUMIFS(Positions!$D$2:$D$644,tbl_rawhold[Vintage],Table20[[#This Row],[Vintage]],Positions!$M$2:$M$644,$C$4)/$C$11),0)</f>
        <v>0.4458161225573487</v>
      </c>
      <c r="N31" s="17" t="s">
        <v>1526</v>
      </c>
      <c r="O31" s="46">
        <f>Table21[[#This Row],[Portfolio % CF]]*$C$10/1000000</f>
        <v>4.7190395619350003</v>
      </c>
      <c r="P31" s="46">
        <f>Table21[[#This Row],[Portfolio % MV]]*$C$11/1000000</f>
        <v>4.3788522800000003</v>
      </c>
      <c r="Q31" s="20">
        <f>IFERROR(IF($C$4="All Portfolios",
   SUMIFS(Positions!$C$2:$C$644,tbl_rawhold[Collateral Type],Table21[[#This Row],[Collateral Type]])/$C$10,
   SUMIFS(Positions!$C$2:$C$644,tbl_rawhold[Collateral Type],Table21[[#This Row],[Collateral Type]],Positions!$M$2:$M$644,$C$4)/$C$10),0)</f>
        <v>2.633325077058114E-3</v>
      </c>
      <c r="R31" s="20">
        <f>IFERROR(IF($C$4="All Portfolios",
   SUMIFS(Positions!$D$2:$D$644,tbl_rawhold[Collateral Type],Table21[[#This Row],[Collateral Type]])/$C$11,
   SUMIFS(Positions!$D$2:$D$644,tbl_rawhold[Collateral Type],Table21[[#This Row],[Collateral Type]],Positions!$M$2:$M$644,$C$4)/$C$11),0)</f>
        <v>2.4773773794416515E-3</v>
      </c>
    </row>
    <row r="32" spans="2:18" ht="14.45" customHeight="1" x14ac:dyDescent="0.2">
      <c r="B32" s="17" t="s">
        <v>37</v>
      </c>
      <c r="C32" s="46">
        <f>Table15[[#This Row],[Portfolio % CF]]*$C$10/1000000</f>
        <v>2031.7369866507561</v>
      </c>
      <c r="D32" s="46">
        <f>Table15[[#This Row],[Portfolio % MV]]*$C$11/1000000</f>
        <v>2035.3092642500005</v>
      </c>
      <c r="E32" s="20">
        <f>IFERROR(IF($C$4="All Portfolios",
   SUMIFS(Positions!$C$2:$C$644,Positions!$V$2:$V$644,Table15[[#This Row],[Coupon]])/$C$10,
   SUMIFS(Positions!$C$2:$C$644,Positions!$V$2:$V$644,Table15[[#This Row],[Coupon]],Positions!$M$2:$M$644,$C$4)/$C$10),0)</f>
        <v>1.1337527237724854</v>
      </c>
      <c r="F32" s="20">
        <f>IFERROR(IF($C$4="All Portfolios",
   SUMIFS(Positions!$D$2:$D$644,Positions!$V$2:$V$644,Table15[[#This Row],[Coupon]])/$C$11,
   SUMIFS(Positions!$D$2:$D$644,Positions!$V$2:$V$644,Table15[[#This Row],[Coupon]],Positions!$M$2:$M$644,$C$4)/$C$11),0)</f>
        <v>1.1514955995320724</v>
      </c>
      <c r="H32" s="17">
        <v>2022</v>
      </c>
      <c r="I32" s="46">
        <f>Table20[[#This Row],[Portfolio % CF]]*$C$10/1000000</f>
        <v>47.458557999999996</v>
      </c>
      <c r="J32" s="46">
        <f>Table20[[#This Row],[Portfolio % MV]]*$C$11/1000000</f>
        <v>47.150560979999995</v>
      </c>
      <c r="K32" s="20">
        <f>IFERROR(IF($C$4="All Portfolios",
   SUMIFS(Positions!$C$2:$C$644,tbl_rawhold[Vintage],Table20[[#This Row],[Vintage]])/$C$10,
   SUMIFS(Positions!$C$2:$C$644,tbl_rawhold[Vintage],Table20[[#This Row],[Vintage]],Positions!$M$2:$M$644,$C$4)/$C$10),0)</f>
        <v>2.6482891118457287E-2</v>
      </c>
      <c r="L32" s="20">
        <f>IFERROR(IF($C$4="All Portfolios",
   SUMIFS(Positions!$D$2:$D$644,tbl_rawhold[Vintage],Table20[[#This Row],[Vintage]])/$C$11,
   SUMIFS(Positions!$D$2:$D$644,tbl_rawhold[Vintage],Table20[[#This Row],[Vintage]],Positions!$M$2:$M$644,$C$4)/$C$11),0)</f>
        <v>2.6675878913146663E-2</v>
      </c>
      <c r="N32" s="17" t="s">
        <v>1522</v>
      </c>
      <c r="O32" s="46">
        <f>Table21[[#This Row],[Portfolio % CF]]*$C$10/1000000</f>
        <v>40.100505005999999</v>
      </c>
      <c r="P32" s="46">
        <f>Table21[[#This Row],[Portfolio % MV]]*$C$11/1000000</f>
        <v>37.168121200000002</v>
      </c>
      <c r="Q32" s="20">
        <f>IFERROR(IF($C$4="All Portfolios",
   SUMIFS(Positions!$C$2:$C$644,tbl_rawhold[Collateral Type],Table21[[#This Row],[Collateral Type]])/$C$10,
   SUMIFS(Positions!$C$2:$C$644,tbl_rawhold[Collateral Type],Table21[[#This Row],[Collateral Type]],Positions!$M$2:$M$644,$C$4)/$C$10),0)</f>
        <v>2.2376940063561335E-2</v>
      </c>
      <c r="R32" s="20">
        <f>IFERROR(IF($C$4="All Portfolios",
   SUMIFS(Positions!$D$2:$D$644,tbl_rawhold[Collateral Type],Table21[[#This Row],[Collateral Type]])/$C$11,
   SUMIFS(Positions!$D$2:$D$644,tbl_rawhold[Collateral Type],Table21[[#This Row],[Collateral Type]],Positions!$M$2:$M$644,$C$4)/$C$11),0)</f>
        <v>2.1028218539773554E-2</v>
      </c>
    </row>
    <row r="33" spans="2:18" ht="15" customHeight="1" x14ac:dyDescent="0.2">
      <c r="B33" s="17" t="s">
        <v>41</v>
      </c>
      <c r="C33" s="46">
        <f>SUBTOTAL(109,Table15[Current Face (M)])</f>
        <v>3133.7348385506571</v>
      </c>
      <c r="D33" s="46">
        <f>SUBTOTAL(109,Table15[Market Value (M)])</f>
        <v>3105.9600958500005</v>
      </c>
      <c r="E33" s="16">
        <f>SUBTOTAL(109,Table15[Portfolio % CF])</f>
        <v>1.7486911111680505</v>
      </c>
      <c r="F33" s="16">
        <f>SUBTOTAL(109,Table15[Portfolio % MV])</f>
        <v>1.7572265038607822</v>
      </c>
      <c r="H33" s="17">
        <v>2023</v>
      </c>
      <c r="I33" s="46">
        <f>Table20[[#This Row],[Portfolio % CF]]*$C$10/1000000</f>
        <v>68.270809</v>
      </c>
      <c r="J33" s="46">
        <f>Table20[[#This Row],[Portfolio % MV]]*$C$11/1000000</f>
        <v>68.656142710000012</v>
      </c>
      <c r="K33" s="20">
        <f>IFERROR(IF($C$4="All Portfolios",
   SUMIFS(Positions!$C$2:$C$644,tbl_rawhold[Vintage],Table20[[#This Row],[Vintage]])/$C$10,
   SUMIFS(Positions!$C$2:$C$644,tbl_rawhold[Vintage],Table20[[#This Row],[Vintage]],Positions!$M$2:$M$644,$C$4)/$C$10),0)</f>
        <v>3.8096572620600774E-2</v>
      </c>
      <c r="L33" s="20">
        <f>IFERROR(IF($C$4="All Portfolios",
   SUMIFS(Positions!$D$2:$D$644,tbl_rawhold[Vintage],Table20[[#This Row],[Vintage]])/$C$11,
   SUMIFS(Positions!$D$2:$D$644,tbl_rawhold[Vintage],Table20[[#This Row],[Vintage]],Positions!$M$2:$M$644,$C$4)/$C$11),0)</f>
        <v>3.8842866585458748E-2</v>
      </c>
      <c r="N33" s="17" t="s">
        <v>41</v>
      </c>
      <c r="O33" s="50">
        <f>SUBTOTAL(109,Table21[Current Face (M)])</f>
        <v>62.417653807893998</v>
      </c>
      <c r="P33" s="50">
        <f>SUBTOTAL(109,Table21[Market Value (M)])</f>
        <v>58.897169250000005</v>
      </c>
      <c r="Q33" s="16">
        <f>SUBTOTAL(109,Table21[Portfolio % CF])</f>
        <v>3.4830386748455726E-2</v>
      </c>
      <c r="R33" s="16">
        <f>SUBTOTAL(109,Table21[Portfolio % MV])</f>
        <v>3.3321634410808765E-2</v>
      </c>
    </row>
    <row r="34" spans="2:18" ht="15" x14ac:dyDescent="0.25">
      <c r="H34" s="17">
        <v>2024</v>
      </c>
      <c r="I34" s="46">
        <f>Table20[[#This Row],[Portfolio % CF]]*$C$10/1000000</f>
        <v>830.65161000000001</v>
      </c>
      <c r="J34" s="46">
        <f>Table20[[#This Row],[Portfolio % MV]]*$C$11/1000000</f>
        <v>834.23875928999996</v>
      </c>
      <c r="K34" s="20">
        <f>IFERROR(IF($C$4="All Portfolios",
   SUMIFS(Positions!$C$2:$C$644,tbl_rawhold[Vintage],Table20[[#This Row],[Vintage]])/$C$10,
   SUMIFS(Positions!$C$2:$C$644,tbl_rawhold[Vintage],Table20[[#This Row],[Vintage]],Positions!$M$2:$M$644,$C$4)/$C$10),0)</f>
        <v>0.4635213767978632</v>
      </c>
      <c r="L34" s="20">
        <f>IFERROR(IF($C$4="All Portfolios",
   SUMIFS(Positions!$D$2:$D$644,tbl_rawhold[Vintage],Table20[[#This Row],[Vintage]])/$C$11,
   SUMIFS(Positions!$D$2:$D$644,tbl_rawhold[Vintage],Table20[[#This Row],[Vintage]],Positions!$M$2:$M$644,$C$4)/$C$11),0)</f>
        <v>0.47197852294723103</v>
      </c>
      <c r="N34"/>
      <c r="O34"/>
      <c r="P34"/>
      <c r="Q34"/>
      <c r="R34"/>
    </row>
    <row r="35" spans="2:18" x14ac:dyDescent="0.2">
      <c r="H35" s="17">
        <v>2025</v>
      </c>
      <c r="I35" s="46">
        <f>Table20[[#This Row],[Portfolio % CF]]*$C$10/1000000</f>
        <v>935.73544600000014</v>
      </c>
      <c r="J35" s="46">
        <f>Table20[[#This Row],[Portfolio % MV]]*$C$11/1000000</f>
        <v>938.96049455000013</v>
      </c>
      <c r="K35" s="20">
        <f>IFERROR(IF($C$4="All Portfolios",
   SUMIFS(Positions!$C$2:$C$644,tbl_rawhold[Vintage],Table20[[#This Row],[Vintage]])/$C$10,
   SUMIFS(Positions!$C$2:$C$644,tbl_rawhold[Vintage],Table20[[#This Row],[Vintage]],Positions!$M$2:$M$644,$C$4)/$C$10),0)</f>
        <v>0.52216040639285899</v>
      </c>
      <c r="L35" s="20">
        <f>IFERROR(IF($C$4="All Portfolios",
   SUMIFS(Positions!$D$2:$D$644,tbl_rawhold[Vintage],Table20[[#This Row],[Vintage]])/$C$11,
   SUMIFS(Positions!$D$2:$D$644,tbl_rawhold[Vintage],Table20[[#This Row],[Vintage]],Positions!$M$2:$M$644,$C$4)/$C$11),0)</f>
        <v>0.53122584198878631</v>
      </c>
      <c r="N35" s="17"/>
      <c r="O35" s="45"/>
      <c r="P35" s="45"/>
      <c r="Q35" s="20"/>
      <c r="R35" s="20"/>
    </row>
    <row r="36" spans="2:18" x14ac:dyDescent="0.2">
      <c r="H36" s="17">
        <v>2026</v>
      </c>
      <c r="I36" s="51">
        <f>Table20[[#This Row],[Portfolio % CF]]*$C$10/1000000</f>
        <v>0</v>
      </c>
      <c r="J36" s="51">
        <f>Table20[[#This Row],[Portfolio % MV]]*$C$11/1000000</f>
        <v>0</v>
      </c>
      <c r="K36" s="52">
        <f>IFERROR(IF($C$4="All Portfolios",
   SUMIFS(Positions!$C$2:$C$644,tbl_rawhold[Vintage],Table20[[#This Row],[Vintage]])/$C$10,
   SUMIFS(Positions!$C$2:$C$644,tbl_rawhold[Vintage],Table20[[#This Row],[Vintage]],Positions!$M$2:$M$644,$C$4)/$C$10),0)</f>
        <v>0</v>
      </c>
      <c r="L36" s="52">
        <f>IFERROR(IF($C$4="All Portfolios",
   SUMIFS(Positions!$D$2:$D$644,tbl_rawhold[Vintage],Table20[[#This Row],[Vintage]])/$C$11,
   SUMIFS(Positions!$D$2:$D$644,tbl_rawhold[Vintage],Table20[[#This Row],[Vintage]],Positions!$M$2:$M$644,$C$4)/$C$11),0)</f>
        <v>0</v>
      </c>
    </row>
    <row r="37" spans="2:18" x14ac:dyDescent="0.2">
      <c r="H37" s="17" t="s">
        <v>1650</v>
      </c>
      <c r="I37" s="46">
        <f>Table20[[#This Row],[Portfolio % CF]]*$C$10/1000000</f>
        <v>0</v>
      </c>
      <c r="J37" s="46">
        <f>Table20[[#This Row],[Portfolio % MV]]*$C$11/1000000</f>
        <v>0</v>
      </c>
      <c r="K37" s="20">
        <f>IFERROR(IF($C$4="All Portfolios",
   SUMIFS(Positions!$C$2:$C$644,tbl_rawhold[Vintage],Table20[[#This Row],[Vintage]])/$C$10,
   SUMIFS(Positions!$C$2:$C$644,tbl_rawhold[Vintage],Table20[[#This Row],[Vintage]],Positions!$M$2:$M$644,$C$4)/$C$10),0)</f>
        <v>0</v>
      </c>
      <c r="L37" s="20">
        <f>IFERROR(IF($C$4="All Portfolios",
   SUMIFS(Positions!$D$2:$D$644,tbl_rawhold[Vintage],Table20[[#This Row],[Vintage]])/$C$11,
   SUMIFS(Positions!$D$2:$D$644,tbl_rawhold[Vintage],Table20[[#This Row],[Vintage]],Positions!$M$2:$M$644,$C$4)/$C$11),0)</f>
        <v>0</v>
      </c>
    </row>
    <row r="38" spans="2:18" x14ac:dyDescent="0.2">
      <c r="H38" s="17" t="s">
        <v>41</v>
      </c>
      <c r="I38" s="50">
        <f>SUBTOTAL(109,Table20[Current Face (M)])</f>
        <v>3070.3171847427634</v>
      </c>
      <c r="J38" s="50">
        <f>SUBTOTAL(109,Table20[Market Value (M)])</f>
        <v>3046.1577266000004</v>
      </c>
      <c r="K38" s="16">
        <f>SUBTOTAL(109,Table20[Portfolio % CF])</f>
        <v>1.713302703016617</v>
      </c>
      <c r="L38" s="16">
        <f>SUBTOTAL(109,Table20[Portfolio % MV])</f>
        <v>1.7233927439292949</v>
      </c>
    </row>
    <row r="39" spans="2:18" x14ac:dyDescent="0.2">
      <c r="I39" s="17"/>
      <c r="J39" s="16"/>
      <c r="K39" s="16"/>
    </row>
    <row r="40" spans="2:18" ht="21" thickBot="1" x14ac:dyDescent="0.35">
      <c r="B40" s="11" t="s">
        <v>45</v>
      </c>
      <c r="C40" s="24"/>
      <c r="D40" s="12"/>
      <c r="E40" s="24"/>
      <c r="I40" s="17"/>
      <c r="J40" s="16"/>
      <c r="K40" s="16"/>
    </row>
    <row r="41" spans="2:18" ht="15.75" thickBot="1" x14ac:dyDescent="0.3">
      <c r="B41" s="29" t="s">
        <v>7</v>
      </c>
      <c r="C41" s="30" t="s">
        <v>22</v>
      </c>
      <c r="D41" s="31" t="s">
        <v>46</v>
      </c>
      <c r="E41" s="29" t="s">
        <v>47</v>
      </c>
      <c r="F41" s="30" t="s">
        <v>18</v>
      </c>
      <c r="G41" s="31" t="s">
        <v>48</v>
      </c>
      <c r="I41" s="17"/>
      <c r="J41" s="16"/>
      <c r="K41" s="16"/>
    </row>
    <row r="42" spans="2:18" x14ac:dyDescent="0.2">
      <c r="B42" s="39" t="s">
        <v>49</v>
      </c>
      <c r="C42" s="18">
        <f>IFERROR(SUMPRODUCT(tbl_hold_aaa[Coupon],tbl_hold_aaa[Current Face])/SUM(tbl_hold_aaa[Current Face]),0)</f>
        <v>0</v>
      </c>
      <c r="D42" s="18">
        <f>IFERROR(SUMPRODUCT(tbl_hold_aaa[WAL],tbl_hold_aaa[Current Face])/SUM(tbl_hold_aaa[Current Face]),0)</f>
        <v>0</v>
      </c>
      <c r="E42" s="33">
        <f>SUM(tbl_hold_aaa[Current Face])</f>
        <v>0</v>
      </c>
      <c r="F42" s="33">
        <f>SUM(tbl_hold_aaa[Market Value])</f>
        <v>0</v>
      </c>
      <c r="G42" s="41">
        <f>IFERROR(Report!$F42/Report!$E42,0)</f>
        <v>0</v>
      </c>
      <c r="I42" s="17"/>
      <c r="J42" s="16"/>
      <c r="K42" s="16"/>
    </row>
    <row r="43" spans="2:18" x14ac:dyDescent="0.2">
      <c r="B43" s="40" t="s">
        <v>50</v>
      </c>
      <c r="C43" s="14">
        <f>IFERROR(SUMPRODUCT(tbl_hold_aa[Coupon],tbl_hold_aa[Current Face])/SUM(tbl_hold_aa[Current Face]),0)</f>
        <v>0</v>
      </c>
      <c r="D43" s="14">
        <f>IFERROR(SUMPRODUCT(tbl_hold_aa[WAL],tbl_hold_aa[Current Face])/SUM(tbl_hold_aa[Current Face]),0)</f>
        <v>0</v>
      </c>
      <c r="E43" s="34">
        <f>SUM(tbl_hold_aa[Current Face])</f>
        <v>0</v>
      </c>
      <c r="F43" s="34">
        <f>SUM(tbl_hold_aa[Market Value])</f>
        <v>0</v>
      </c>
      <c r="G43" s="42">
        <f>IFERROR(Report!$F43/Report!$E43,0)</f>
        <v>0</v>
      </c>
      <c r="I43" s="17"/>
      <c r="J43" s="16"/>
      <c r="K43" s="16"/>
    </row>
    <row r="44" spans="2:18" x14ac:dyDescent="0.2">
      <c r="B44" s="39" t="s">
        <v>51</v>
      </c>
      <c r="C44" s="18">
        <f>IFERROR(SUMPRODUCT(tbl_hold_a[Coupon],tbl_hold_a[Current Face])/SUM(tbl_hold_a[Current Face]),0)</f>
        <v>0</v>
      </c>
      <c r="D44" s="18">
        <f>IFERROR(SUMPRODUCT(tbl_hold_a[WAL],tbl_hold_a[Current Face])/SUM(tbl_hold_a[Current Face]),0)</f>
        <v>0</v>
      </c>
      <c r="E44" s="33">
        <f>SUM(tbl_hold_a[Current Face])</f>
        <v>0</v>
      </c>
      <c r="F44" s="33">
        <f>SUM(tbl_hold_a[Market Value])</f>
        <v>0</v>
      </c>
      <c r="G44" s="41">
        <f>IFERROR(Report!$F44/Report!$E44,0)</f>
        <v>0</v>
      </c>
      <c r="I44" s="17"/>
      <c r="J44" s="16"/>
      <c r="K44" s="16"/>
    </row>
    <row r="45" spans="2:18" x14ac:dyDescent="0.2">
      <c r="B45" s="40" t="s">
        <v>52</v>
      </c>
      <c r="C45" s="14">
        <f>IFERROR(SUMPRODUCT(tbl_hold_bbb[Coupon],tbl_hold_bbb[Current Face])/SUM(tbl_hold_bbb[Current Face]),0)</f>
        <v>0</v>
      </c>
      <c r="D45" s="14">
        <f>IFERROR(SUMPRODUCT(tbl_hold_bbb[WAL],tbl_hold_bbb[Current Face])/SUM(tbl_hold_bbb[Current Face]),0)</f>
        <v>0</v>
      </c>
      <c r="E45" s="34">
        <f>SUM(tbl_hold_bbb[Current Face])</f>
        <v>0</v>
      </c>
      <c r="F45" s="34">
        <f>SUM(tbl_hold_bbb[Market Value])</f>
        <v>0</v>
      </c>
      <c r="G45" s="42">
        <f>IFERROR(Report!$F45/Report!$E45,0)</f>
        <v>0</v>
      </c>
      <c r="I45" s="17"/>
      <c r="J45" s="16"/>
      <c r="K45" s="16"/>
    </row>
    <row r="46" spans="2:18" x14ac:dyDescent="0.2">
      <c r="B46" s="39" t="s">
        <v>53</v>
      </c>
      <c r="C46" s="18">
        <f>IFERROR(SUMPRODUCT(tbl_hold_bb[Coupon],tbl_hold_bb[Current Face])/SUM(tbl_hold_bb[Current Face]),0)</f>
        <v>0</v>
      </c>
      <c r="D46" s="18">
        <f>IFERROR(SUMPRODUCT(tbl_hold_bb[WAL],tbl_hold_bb[Current Face])/SUM(tbl_hold_bb[Current Face]),0)</f>
        <v>0</v>
      </c>
      <c r="E46" s="33">
        <f>SUM(tbl_hold_bb[Current Face])</f>
        <v>0</v>
      </c>
      <c r="F46" s="33">
        <f>SUM(tbl_hold_bb[Market Value])</f>
        <v>0</v>
      </c>
      <c r="G46" s="41">
        <f>IFERROR(Report!$F46/Report!$E46,0)</f>
        <v>0</v>
      </c>
      <c r="I46" s="17"/>
      <c r="J46" s="16"/>
      <c r="K46" s="16"/>
    </row>
    <row r="47" spans="2:18" x14ac:dyDescent="0.2">
      <c r="B47" s="40" t="s">
        <v>54</v>
      </c>
      <c r="C47" s="14">
        <f>IFERROR(SUMPRODUCT(tbl_hold_b[Coupon],tbl_hold_b[Current Face])/SUM(tbl_hold_b[Current Face]),0)</f>
        <v>0</v>
      </c>
      <c r="D47" s="14">
        <f>IFERROR(SUMPRODUCT(tbl_hold_b[WAL],tbl_hold_b[Current Face])/SUM(tbl_hold_b[Current Face]),0)</f>
        <v>0</v>
      </c>
      <c r="E47" s="34">
        <f>SUM(tbl_hold_b[Current Face])</f>
        <v>0</v>
      </c>
      <c r="F47" s="34">
        <f>SUM(tbl_hold_b[Market Value])</f>
        <v>0</v>
      </c>
      <c r="G47" s="42">
        <f>IFERROR(Report!$F47/Report!$E47,0)</f>
        <v>0</v>
      </c>
      <c r="I47" s="17"/>
      <c r="J47" s="16"/>
      <c r="K47" s="16"/>
    </row>
    <row r="48" spans="2:18" x14ac:dyDescent="0.2">
      <c r="B48" s="39" t="s">
        <v>55</v>
      </c>
      <c r="C48" s="18">
        <f>IFERROR(SUMPRODUCT(tbl_hold_ccc[Coupon],tbl_hold_ccc[Current Face])/SUM(tbl_hold_ccc[Current Face]),0)</f>
        <v>0</v>
      </c>
      <c r="D48" s="18">
        <f>IFERROR(SUMPRODUCT(tbl_hold_ccc[WAL],tbl_hold_ccc[Current Face])/SUM(tbl_hold_ccc[Current Face]),0)</f>
        <v>0</v>
      </c>
      <c r="E48" s="33">
        <f>SUM(tbl_hold_ccc[Current Face])</f>
        <v>0</v>
      </c>
      <c r="F48" s="33">
        <f>SUM(tbl_hold_ccc[Market Value])</f>
        <v>0</v>
      </c>
      <c r="G48" s="41">
        <f>IFERROR(Report!$F48/Report!$E48,0)</f>
        <v>0</v>
      </c>
      <c r="I48" s="17"/>
      <c r="J48" s="16"/>
      <c r="K48" s="16"/>
    </row>
    <row r="49" spans="2:11" ht="15" thickBot="1" x14ac:dyDescent="0.25">
      <c r="B49" s="40" t="s">
        <v>56</v>
      </c>
      <c r="C49" s="14">
        <f>IFERROR(SUMPRODUCT(tbl_hold_nr[Coupon],tbl_hold_nr[Current Face])/SUM(tbl_hold_nr[Current Face]),0)</f>
        <v>0</v>
      </c>
      <c r="D49" s="14">
        <f>IFERROR(SUMPRODUCT(tbl_hold_nr[WAL],tbl_hold_nr[Current Face])/SUM(tbl_hold_nr[Current Face]),0)</f>
        <v>0</v>
      </c>
      <c r="E49" s="34">
        <f>SUM(tbl_hold_nr[Current Face])</f>
        <v>0</v>
      </c>
      <c r="F49" s="34">
        <f>SUM(tbl_hold_nr[Market Value])</f>
        <v>0</v>
      </c>
      <c r="G49" s="42">
        <f>IFERROR(Report!$F49/Report!$E49,0)</f>
        <v>0</v>
      </c>
      <c r="I49" s="17"/>
      <c r="J49" s="16"/>
      <c r="K49" s="16"/>
    </row>
    <row r="50" spans="2:11" ht="15.75" thickBot="1" x14ac:dyDescent="0.3">
      <c r="B50" s="29" t="s">
        <v>41</v>
      </c>
      <c r="C50" s="32">
        <f>IFERROR(SUMPRODUCT(Report!$C$42:$C$49,Report!$E$42:$E$49)/Report!$E$50,0)</f>
        <v>0</v>
      </c>
      <c r="D50" s="38">
        <f>IFERROR(SUMPRODUCT(Report!$D$42:$D$49,Report!$E$42:$E$49)/Report!$E$50,0)</f>
        <v>0</v>
      </c>
      <c r="E50" s="35">
        <f>SUBTOTAL(109,Report!$E$42:$E$49)</f>
        <v>0</v>
      </c>
      <c r="F50" s="36">
        <f>SUBTOTAL(109,Report!$F$42:$F$49)</f>
        <v>0</v>
      </c>
      <c r="G50" s="37">
        <f>IFERROR(Report!$F$50/Report!$E$50,0)</f>
        <v>0</v>
      </c>
      <c r="I50" s="17"/>
      <c r="J50" s="16"/>
      <c r="K50" s="16"/>
    </row>
    <row r="51" spans="2:11" x14ac:dyDescent="0.2">
      <c r="I51" s="17"/>
      <c r="J51" s="16"/>
      <c r="K51" s="16"/>
    </row>
    <row r="53" spans="2:11" ht="20.100000000000001" customHeight="1" x14ac:dyDescent="0.3">
      <c r="B53" s="11" t="s">
        <v>57</v>
      </c>
    </row>
    <row r="54" spans="2:11" ht="14.45" customHeight="1" thickBot="1" x14ac:dyDescent="0.3">
      <c r="B54" s="5" t="s">
        <v>58</v>
      </c>
      <c r="C54" s="6">
        <f>SUM(tbl_report_manager[Current Face])</f>
        <v>1792045958.5669518</v>
      </c>
      <c r="D54" s="6">
        <f>SUM(tbl_report_manager[Market Value])</f>
        <v>1767535425.3000004</v>
      </c>
      <c r="E54" s="19">
        <f>SUM(tbl_report_manager[Current Face %])</f>
        <v>1.0000000000000002</v>
      </c>
      <c r="F54" s="19">
        <f>SUM(tbl_report_manager[Market Value %])</f>
        <v>0.99999999999999978</v>
      </c>
      <c r="G54" s="21">
        <f>SUM(tbl_report_manager[No. of Issuers])</f>
        <v>37</v>
      </c>
      <c r="H54" s="21">
        <f>SUM(tbl_report_manager[No. of Cusips])</f>
        <v>226</v>
      </c>
      <c r="I54" s="21">
        <f>SUM(tbl_report_manager[No. of Positions])</f>
        <v>288</v>
      </c>
    </row>
    <row r="55" spans="2:11" x14ac:dyDescent="0.2">
      <c r="B55" s="8" t="s">
        <v>1643</v>
      </c>
      <c r="C55" s="9" t="s">
        <v>47</v>
      </c>
      <c r="D55" s="9" t="s">
        <v>18</v>
      </c>
      <c r="E55" s="17" t="s">
        <v>59</v>
      </c>
      <c r="F55" s="17" t="s">
        <v>60</v>
      </c>
      <c r="G55" s="17" t="s">
        <v>61</v>
      </c>
      <c r="H55" s="17" t="s">
        <v>62</v>
      </c>
      <c r="I55" s="17" t="s">
        <v>63</v>
      </c>
    </row>
    <row r="56" spans="2:11" x14ac:dyDescent="0.2">
      <c r="B56" s="8" t="s">
        <v>82</v>
      </c>
      <c r="C56" s="10">
        <f>IF($C$4="All Portfolios",
   SUMIFS(tbl_rawhold[Current Face],tbl_rawhold[Manager], tbl_report_manager[[#This Row],[Manager Name]]),
   SUMIFS(tbl_rawhold[Current Face], tbl_rawhold[Portfolio_Name], $C$4,tbl_rawhold[Manager], tbl_report_manager[[#This Row],[Manager Name]]))</f>
        <v>557372676.60031199</v>
      </c>
      <c r="D56" s="10">
        <f>IF($C$4="All Portfolios",
   SUMIFS(tbl_rawhold[BASEMarket Value],tbl_rawhold[Manager], tbl_report_manager[[#This Row],[Manager Name]]),
   SUMIFS(tbl_rawhold[BASEMarket Value], tbl_rawhold[Portfolio_Name], $C$4,tbl_rawhold[Manager], tbl_report_manager[[#This Row],[Manager Name]]))</f>
        <v>531998804.68999982</v>
      </c>
      <c r="E56" s="20">
        <f>IFERROR(tbl_report_manager[[#This Row],[Current Face]]/$C$54,0)</f>
        <v>0.31102588297792716</v>
      </c>
      <c r="F56" s="20">
        <f>IFERROR(tbl_report_manager[[#This Row],[Market Value]]/$D$54,0)</f>
        <v>0.30098339024786713</v>
      </c>
      <c r="G56" s="17" cm="1">
        <f t="array" ref="G56">IF($C$4="All Portfolios",
   IFERROR(ROWS(_xlfn.UNIQUE(_xlfn._xlws.FILTER(Positions!$F$2:$F$644, Positions!$O$2:$O$644=tbl_report_manager[[#This Row],[Manager Name]]))),0),
   IFERROR(ROWS(_xlfn.UNIQUE(_xlfn._xlws.FILTER(Positions!$F$2:$F$644, (Positions!$O$2:$O$644=tbl_report_manager[[#This Row],[Manager Name]])*(Positions!$M$2:$M$644=$C$4)))),0)
)</f>
        <v>4</v>
      </c>
      <c r="H56" s="17" cm="1">
        <f t="array" ref="H56">IF($C$4="All Portfolios",
   IFERROR(ROWS(_xlfn.UNIQUE(_xlfn._xlws.FILTER(Positions!$B$2:$B$644, Positions!$O$2:$O$644=tbl_report_manager[[#This Row],[Manager Name]]))),0),
   IFERROR(ROWS(_xlfn.UNIQUE(_xlfn._xlws.FILTER(Positions!$B$2:$B$644, (Positions!$O$2:$O$644=tbl_report_manager[[#This Row],[Manager Name]])*(Positions!$M$2:$M$644=$C$4)))),0)
)</f>
        <v>43</v>
      </c>
      <c r="I56" s="17">
        <f>IF($C$4="All Portfolios",
   COUNTIFS(Positions!$O$2:$O$644, tbl_report_manager[[#This Row],[Manager Name]]),
   COUNTIFS(Positions!$M$2:$M$644, $C$4,Positions!$O$2:$O$644, tbl_report_manager[[#This Row],[Manager Name]])
)</f>
        <v>58</v>
      </c>
    </row>
    <row r="57" spans="2:11" ht="14.45" customHeight="1" x14ac:dyDescent="0.2">
      <c r="B57" s="8" t="s">
        <v>68</v>
      </c>
      <c r="C57" s="10">
        <f>IF($C$4="All Portfolios",
   SUMIFS(tbl_rawhold[Current Face],tbl_rawhold[Manager], tbl_report_manager[[#This Row],[Manager Name]]),
   SUMIFS(tbl_rawhold[Current Face], tbl_rawhold[Portfolio_Name], $C$4,tbl_rawhold[Manager], tbl_report_manager[[#This Row],[Manager Name]]))</f>
        <v>172943485</v>
      </c>
      <c r="D57" s="10">
        <f>IF($C$4="All Portfolios",
   SUMIFS(tbl_rawhold[BASEMarket Value],tbl_rawhold[Manager], tbl_report_manager[[#This Row],[Manager Name]]),
   SUMIFS(tbl_rawhold[BASEMarket Value], tbl_rawhold[Portfolio_Name], $C$4,tbl_rawhold[Manager], tbl_report_manager[[#This Row],[Manager Name]]))</f>
        <v>173758270.77000001</v>
      </c>
      <c r="E57" s="20">
        <f>IFERROR(tbl_report_manager[[#This Row],[Current Face]]/$C$54,0)</f>
        <v>9.6506166135548216E-2</v>
      </c>
      <c r="F57" s="20">
        <f>IFERROR(tbl_report_manager[[#This Row],[Market Value]]/$D$54,0)</f>
        <v>9.8305396476287513E-2</v>
      </c>
      <c r="G57" s="17" cm="1">
        <f t="array" ref="G57">IF($C$4="All Portfolios",
   IFERROR(ROWS(_xlfn.UNIQUE(_xlfn._xlws.FILTER(Positions!$F$2:$F$644, Positions!$O$2:$O$644=tbl_report_manager[[#This Row],[Manager Name]]))),0),
   IFERROR(ROWS(_xlfn.UNIQUE(_xlfn._xlws.FILTER(Positions!$F$2:$F$644, (Positions!$O$2:$O$644=tbl_report_manager[[#This Row],[Manager Name]])*(Positions!$M$2:$M$644=$C$4)))),0)
)</f>
        <v>1</v>
      </c>
      <c r="H57" s="17" cm="1">
        <f t="array" ref="H57">IF($C$4="All Portfolios",
   IFERROR(ROWS(_xlfn.UNIQUE(_xlfn._xlws.FILTER(Positions!$B$2:$B$644, Positions!$O$2:$O$644=tbl_report_manager[[#This Row],[Manager Name]]))),0),
   IFERROR(ROWS(_xlfn.UNIQUE(_xlfn._xlws.FILTER(Positions!$B$2:$B$644, (Positions!$O$2:$O$644=tbl_report_manager[[#This Row],[Manager Name]])*(Positions!$M$2:$M$644=$C$4)))),0)
)</f>
        <v>19</v>
      </c>
      <c r="I57" s="17">
        <f>IF($C$4="All Portfolios",
   COUNTIFS(Positions!$O$2:$O$644, tbl_report_manager[[#This Row],[Manager Name]]),
   COUNTIFS(Positions!$M$2:$M$644, $C$4,Positions!$O$2:$O$644, tbl_report_manager[[#This Row],[Manager Name]])
)</f>
        <v>27</v>
      </c>
    </row>
    <row r="58" spans="2:11" x14ac:dyDescent="0.2">
      <c r="B58" s="8" t="s">
        <v>109</v>
      </c>
      <c r="C58" s="10">
        <f>IF($C$4="All Portfolios",
   SUMIFS(tbl_rawhold[Current Face],tbl_rawhold[Manager], tbl_report_manager[[#This Row],[Manager Name]]),
   SUMIFS(tbl_rawhold[Current Face], tbl_rawhold[Portfolio_Name], $C$4,tbl_rawhold[Manager], tbl_report_manager[[#This Row],[Manager Name]]))</f>
        <v>129707963</v>
      </c>
      <c r="D58" s="10">
        <f>IF($C$4="All Portfolios",
   SUMIFS(tbl_rawhold[BASEMarket Value],tbl_rawhold[Manager], tbl_report_manager[[#This Row],[Manager Name]]),
   SUMIFS(tbl_rawhold[BASEMarket Value], tbl_rawhold[Portfolio_Name], $C$4,tbl_rawhold[Manager], tbl_report_manager[[#This Row],[Manager Name]]))</f>
        <v>129486718.70999999</v>
      </c>
      <c r="E58" s="20">
        <f>IFERROR(tbl_report_manager[[#This Row],[Current Face]]/$C$54,0)</f>
        <v>7.2379819490636155E-2</v>
      </c>
      <c r="F58" s="20">
        <f>IFERROR(tbl_report_manager[[#This Row],[Market Value]]/$D$54,0)</f>
        <v>7.3258344277893309E-2</v>
      </c>
      <c r="G58" s="17" cm="1">
        <f t="array" ref="G58">IF($C$4="All Portfolios",
   IFERROR(ROWS(_xlfn.UNIQUE(_xlfn._xlws.FILTER(Positions!$F$2:$F$644, Positions!$O$2:$O$644=tbl_report_manager[[#This Row],[Manager Name]]))),0),
   IFERROR(ROWS(_xlfn.UNIQUE(_xlfn._xlws.FILTER(Positions!$F$2:$F$644, (Positions!$O$2:$O$644=tbl_report_manager[[#This Row],[Manager Name]])*(Positions!$M$2:$M$644=$C$4)))),0)
)</f>
        <v>2</v>
      </c>
      <c r="H58" s="17" cm="1">
        <f t="array" ref="H58">IF($C$4="All Portfolios",
   IFERROR(ROWS(_xlfn.UNIQUE(_xlfn._xlws.FILTER(Positions!$B$2:$B$644, Positions!$O$2:$O$644=tbl_report_manager[[#This Row],[Manager Name]]))),0),
   IFERROR(ROWS(_xlfn.UNIQUE(_xlfn._xlws.FILTER(Positions!$B$2:$B$644, (Positions!$O$2:$O$644=tbl_report_manager[[#This Row],[Manager Name]])*(Positions!$M$2:$M$644=$C$4)))),0)
)</f>
        <v>20</v>
      </c>
      <c r="I58" s="17">
        <f>IF($C$4="All Portfolios",
   COUNTIFS(Positions!$O$2:$O$644, tbl_report_manager[[#This Row],[Manager Name]]),
   COUNTIFS(Positions!$M$2:$M$644, $C$4,Positions!$O$2:$O$644, tbl_report_manager[[#This Row],[Manager Name]])
)</f>
        <v>27</v>
      </c>
    </row>
    <row r="59" spans="2:11" ht="14.45" customHeight="1" x14ac:dyDescent="0.2">
      <c r="B59" s="8" t="s">
        <v>111</v>
      </c>
      <c r="C59" s="10">
        <f>IF($C$4="All Portfolios",
   SUMIFS(tbl_rawhold[Current Face],tbl_rawhold[Manager], tbl_report_manager[[#This Row],[Manager Name]]),
   SUMIFS(tbl_rawhold[Current Face], tbl_rawhold[Portfolio_Name], $C$4,tbl_rawhold[Manager], tbl_report_manager[[#This Row],[Manager Name]]))</f>
        <v>103700000</v>
      </c>
      <c r="D59" s="10">
        <f>IF($C$4="All Portfolios",
   SUMIFS(tbl_rawhold[BASEMarket Value],tbl_rawhold[Manager], tbl_report_manager[[#This Row],[Manager Name]]),
   SUMIFS(tbl_rawhold[BASEMarket Value], tbl_rawhold[Portfolio_Name], $C$4,tbl_rawhold[Manager], tbl_report_manager[[#This Row],[Manager Name]]))</f>
        <v>104137427.5</v>
      </c>
      <c r="E59" s="20">
        <f>IFERROR(tbl_report_manager[[#This Row],[Current Face]]/$C$54,0)</f>
        <v>5.7866819488784735E-2</v>
      </c>
      <c r="F59" s="20">
        <f>IFERROR(tbl_report_manager[[#This Row],[Market Value]]/$D$54,0)</f>
        <v>5.8916741361675934E-2</v>
      </c>
      <c r="G59" s="17" cm="1">
        <f t="array" ref="G59">IF($C$4="All Portfolios",
   IFERROR(ROWS(_xlfn.UNIQUE(_xlfn._xlws.FILTER(Positions!$F$2:$F$644, Positions!$O$2:$O$644=tbl_report_manager[[#This Row],[Manager Name]]))),0),
   IFERROR(ROWS(_xlfn.UNIQUE(_xlfn._xlws.FILTER(Positions!$F$2:$F$644, (Positions!$O$2:$O$644=tbl_report_manager[[#This Row],[Manager Name]])*(Positions!$M$2:$M$644=$C$4)))),0)
)</f>
        <v>1</v>
      </c>
      <c r="H59" s="17" cm="1">
        <f t="array" ref="H59">IF($C$4="All Portfolios",
   IFERROR(ROWS(_xlfn.UNIQUE(_xlfn._xlws.FILTER(Positions!$B$2:$B$644, Positions!$O$2:$O$644=tbl_report_manager[[#This Row],[Manager Name]]))),0),
   IFERROR(ROWS(_xlfn.UNIQUE(_xlfn._xlws.FILTER(Positions!$B$2:$B$644, (Positions!$O$2:$O$644=tbl_report_manager[[#This Row],[Manager Name]])*(Positions!$M$2:$M$644=$C$4)))),0)
)</f>
        <v>15</v>
      </c>
      <c r="I59" s="17">
        <f>IF($C$4="All Portfolios",
   COUNTIFS(Positions!$O$2:$O$644, tbl_report_manager[[#This Row],[Manager Name]]),
   COUNTIFS(Positions!$M$2:$M$644, $C$4,Positions!$O$2:$O$644, tbl_report_manager[[#This Row],[Manager Name]])
)</f>
        <v>16</v>
      </c>
    </row>
    <row r="60" spans="2:11" x14ac:dyDescent="0.2">
      <c r="B60" s="8" t="s">
        <v>160</v>
      </c>
      <c r="C60" s="10">
        <f>IF($C$4="All Portfolios",
   SUMIFS(tbl_rawhold[Current Face],tbl_rawhold[Manager], tbl_report_manager[[#This Row],[Manager Name]]),
   SUMIFS(tbl_rawhold[Current Face], tbl_rawhold[Portfolio_Name], $C$4,tbl_rawhold[Manager], tbl_report_manager[[#This Row],[Manager Name]]))</f>
        <v>102461689.22220601</v>
      </c>
      <c r="D60" s="10">
        <f>IF($C$4="All Portfolios",
   SUMIFS(tbl_rawhold[BASEMarket Value],tbl_rawhold[Manager], tbl_report_manager[[#This Row],[Manager Name]]),
   SUMIFS(tbl_rawhold[BASEMarket Value], tbl_rawhold[Portfolio_Name], $C$4,tbl_rawhold[Manager], tbl_report_manager[[#This Row],[Manager Name]]))</f>
        <v>100921273.54000001</v>
      </c>
      <c r="E60" s="20">
        <f>IFERROR(tbl_report_manager[[#This Row],[Current Face]]/$C$54,0)</f>
        <v>5.7175815571237756E-2</v>
      </c>
      <c r="F60" s="20">
        <f>IFERROR(tbl_report_manager[[#This Row],[Market Value]]/$D$54,0)</f>
        <v>5.7097171629740227E-2</v>
      </c>
      <c r="G60" s="17" cm="1">
        <f t="array" ref="G60">IF($C$4="All Portfolios",
   IFERROR(ROWS(_xlfn.UNIQUE(_xlfn._xlws.FILTER(Positions!$F$2:$F$644, Positions!$O$2:$O$644=tbl_report_manager[[#This Row],[Manager Name]]))),0),
   IFERROR(ROWS(_xlfn.UNIQUE(_xlfn._xlws.FILTER(Positions!$F$2:$F$644, (Positions!$O$2:$O$644=tbl_report_manager[[#This Row],[Manager Name]])*(Positions!$M$2:$M$644=$C$4)))),0)
)</f>
        <v>4</v>
      </c>
      <c r="H60" s="17" cm="1">
        <f t="array" ref="H60">IF($C$4="All Portfolios",
   IFERROR(ROWS(_xlfn.UNIQUE(_xlfn._xlws.FILTER(Positions!$B$2:$B$644, Positions!$O$2:$O$644=tbl_report_manager[[#This Row],[Manager Name]]))),0),
   IFERROR(ROWS(_xlfn.UNIQUE(_xlfn._xlws.FILTER(Positions!$B$2:$B$644, (Positions!$O$2:$O$644=tbl_report_manager[[#This Row],[Manager Name]])*(Positions!$M$2:$M$644=$C$4)))),0)
)</f>
        <v>9</v>
      </c>
      <c r="I60" s="17">
        <f>IF($C$4="All Portfolios",
   COUNTIFS(Positions!$O$2:$O$644, tbl_report_manager[[#This Row],[Manager Name]]),
   COUNTIFS(Positions!$M$2:$M$644, $C$4,Positions!$O$2:$O$644, tbl_report_manager[[#This Row],[Manager Name]])
)</f>
        <v>13</v>
      </c>
    </row>
    <row r="61" spans="2:11" x14ac:dyDescent="0.2">
      <c r="B61" s="8" t="s">
        <v>164</v>
      </c>
      <c r="C61" s="10">
        <f>IF($C$4="All Portfolios",
   SUMIFS(tbl_rawhold[Current Face],tbl_rawhold[Manager], tbl_report_manager[[#This Row],[Manager Name]]),
   SUMIFS(tbl_rawhold[Current Face], tbl_rawhold[Portfolio_Name], $C$4,tbl_rawhold[Manager], tbl_report_manager[[#This Row],[Manager Name]]))</f>
        <v>93016501</v>
      </c>
      <c r="D61" s="10">
        <f>IF($C$4="All Portfolios",
   SUMIFS(tbl_rawhold[BASEMarket Value],tbl_rawhold[Manager], tbl_report_manager[[#This Row],[Manager Name]]),
   SUMIFS(tbl_rawhold[BASEMarket Value], tbl_rawhold[Portfolio_Name], $C$4,tbl_rawhold[Manager], tbl_report_manager[[#This Row],[Manager Name]]))</f>
        <v>92565340.939999998</v>
      </c>
      <c r="E61" s="20">
        <f>IFERROR(tbl_report_manager[[#This Row],[Current Face]]/$C$54,0)</f>
        <v>5.1905198388094161E-2</v>
      </c>
      <c r="F61" s="20">
        <f>IFERROR(tbl_report_manager[[#This Row],[Market Value]]/$D$54,0)</f>
        <v>5.2369723183505107E-2</v>
      </c>
      <c r="G61" s="17" cm="1">
        <f t="array" ref="G61">IF($C$4="All Portfolios",
   IFERROR(ROWS(_xlfn.UNIQUE(_xlfn._xlws.FILTER(Positions!$F$2:$F$644, Positions!$O$2:$O$644=tbl_report_manager[[#This Row],[Manager Name]]))),0),
   IFERROR(ROWS(_xlfn.UNIQUE(_xlfn._xlws.FILTER(Positions!$F$2:$F$644, (Positions!$O$2:$O$644=tbl_report_manager[[#This Row],[Manager Name]])*(Positions!$M$2:$M$644=$C$4)))),0)
)</f>
        <v>2</v>
      </c>
      <c r="H61" s="17" cm="1">
        <f t="array" ref="H61">IF($C$4="All Portfolios",
   IFERROR(ROWS(_xlfn.UNIQUE(_xlfn._xlws.FILTER(Positions!$B$2:$B$644, Positions!$O$2:$O$644=tbl_report_manager[[#This Row],[Manager Name]]))),0),
   IFERROR(ROWS(_xlfn.UNIQUE(_xlfn._xlws.FILTER(Positions!$B$2:$B$644, (Positions!$O$2:$O$644=tbl_report_manager[[#This Row],[Manager Name]])*(Positions!$M$2:$M$644=$C$4)))),0)
)</f>
        <v>14</v>
      </c>
      <c r="I61" s="17">
        <f>IF($C$4="All Portfolios",
   COUNTIFS(Positions!$O$2:$O$644, tbl_report_manager[[#This Row],[Manager Name]]),
   COUNTIFS(Positions!$M$2:$M$644, $C$4,Positions!$O$2:$O$644, tbl_report_manager[[#This Row],[Manager Name]])
)</f>
        <v>25</v>
      </c>
    </row>
    <row r="62" spans="2:11" x14ac:dyDescent="0.2">
      <c r="B62" s="8" t="s">
        <v>181</v>
      </c>
      <c r="C62" s="10">
        <f>IF($C$4="All Portfolios",
   SUMIFS(tbl_rawhold[Current Face],tbl_rawhold[Manager], tbl_report_manager[[#This Row],[Manager Name]]),
   SUMIFS(tbl_rawhold[Current Face], tbl_rawhold[Portfolio_Name], $C$4,tbl_rawhold[Manager], tbl_report_manager[[#This Row],[Manager Name]]))</f>
        <v>77462000</v>
      </c>
      <c r="D62" s="10">
        <f>IF($C$4="All Portfolios",
   SUMIFS(tbl_rawhold[BASEMarket Value],tbl_rawhold[Manager], tbl_report_manager[[#This Row],[Manager Name]]),
   SUMIFS(tbl_rawhold[BASEMarket Value], tbl_rawhold[Portfolio_Name], $C$4,tbl_rawhold[Manager], tbl_report_manager[[#This Row],[Manager Name]]))</f>
        <v>77803793.910000011</v>
      </c>
      <c r="E62" s="20">
        <f>IFERROR(tbl_report_manager[[#This Row],[Current Face]]/$C$54,0)</f>
        <v>4.3225453917456538E-2</v>
      </c>
      <c r="F62" s="20">
        <f>IFERROR(tbl_report_manager[[#This Row],[Market Value]]/$D$54,0)</f>
        <v>4.4018237369581728E-2</v>
      </c>
      <c r="G62" s="17" cm="1">
        <f t="array" ref="G62">IF($C$4="All Portfolios",
   IFERROR(ROWS(_xlfn.UNIQUE(_xlfn._xlws.FILTER(Positions!$F$2:$F$644, Positions!$O$2:$O$644=tbl_report_manager[[#This Row],[Manager Name]]))),0),
   IFERROR(ROWS(_xlfn.UNIQUE(_xlfn._xlws.FILTER(Positions!$F$2:$F$644, (Positions!$O$2:$O$644=tbl_report_manager[[#This Row],[Manager Name]])*(Positions!$M$2:$M$644=$C$4)))),0)
)</f>
        <v>3</v>
      </c>
      <c r="H62" s="17" cm="1">
        <f t="array" ref="H62">IF($C$4="All Portfolios",
   IFERROR(ROWS(_xlfn.UNIQUE(_xlfn._xlws.FILTER(Positions!$B$2:$B$644, Positions!$O$2:$O$644=tbl_report_manager[[#This Row],[Manager Name]]))),0),
   IFERROR(ROWS(_xlfn.UNIQUE(_xlfn._xlws.FILTER(Positions!$B$2:$B$644, (Positions!$O$2:$O$644=tbl_report_manager[[#This Row],[Manager Name]])*(Positions!$M$2:$M$644=$C$4)))),0)
)</f>
        <v>17</v>
      </c>
      <c r="I62" s="17">
        <f>IF($C$4="All Portfolios",
   COUNTIFS(Positions!$O$2:$O$644, tbl_report_manager[[#This Row],[Manager Name]]),
   COUNTIFS(Positions!$M$2:$M$644, $C$4,Positions!$O$2:$O$644, tbl_report_manager[[#This Row],[Manager Name]])
)</f>
        <v>21</v>
      </c>
    </row>
    <row r="63" spans="2:11" ht="14.45" customHeight="1" x14ac:dyDescent="0.2">
      <c r="B63" s="8" t="s">
        <v>124</v>
      </c>
      <c r="C63" s="10">
        <f>IF($C$4="All Portfolios",
   SUMIFS(tbl_rawhold[Current Face],tbl_rawhold[Manager], tbl_report_manager[[#This Row],[Manager Name]]),
   SUMIFS(tbl_rawhold[Current Face], tbl_rawhold[Portfolio_Name], $C$4,tbl_rawhold[Manager], tbl_report_manager[[#This Row],[Manager Name]]))</f>
        <v>74904404.744433999</v>
      </c>
      <c r="D63" s="10">
        <f>IF($C$4="All Portfolios",
   SUMIFS(tbl_rawhold[BASEMarket Value],tbl_rawhold[Manager], tbl_report_manager[[#This Row],[Manager Name]]),
   SUMIFS(tbl_rawhold[BASEMarket Value], tbl_rawhold[Portfolio_Name], $C$4,tbl_rawhold[Manager], tbl_report_manager[[#This Row],[Manager Name]]))</f>
        <v>74467667.170000002</v>
      </c>
      <c r="E63" s="20">
        <f>IFERROR(tbl_report_manager[[#This Row],[Current Face]]/$C$54,0)</f>
        <v>4.1798261024696554E-2</v>
      </c>
      <c r="F63" s="20">
        <f>IFERROR(tbl_report_manager[[#This Row],[Market Value]]/$D$54,0)</f>
        <v>4.213079189479936E-2</v>
      </c>
      <c r="G63" s="17" cm="1">
        <f t="array" ref="G63">IF($C$4="All Portfolios",
   IFERROR(ROWS(_xlfn.UNIQUE(_xlfn._xlws.FILTER(Positions!$F$2:$F$644, Positions!$O$2:$O$644=tbl_report_manager[[#This Row],[Manager Name]]))),0),
   IFERROR(ROWS(_xlfn.UNIQUE(_xlfn._xlws.FILTER(Positions!$F$2:$F$644, (Positions!$O$2:$O$644=tbl_report_manager[[#This Row],[Manager Name]])*(Positions!$M$2:$M$644=$C$4)))),0)
)</f>
        <v>1</v>
      </c>
      <c r="H63" s="17" cm="1">
        <f t="array" ref="H63">IF($C$4="All Portfolios",
   IFERROR(ROWS(_xlfn.UNIQUE(_xlfn._xlws.FILTER(Positions!$B$2:$B$644, Positions!$O$2:$O$644=tbl_report_manager[[#This Row],[Manager Name]]))),0),
   IFERROR(ROWS(_xlfn.UNIQUE(_xlfn._xlws.FILTER(Positions!$B$2:$B$644, (Positions!$O$2:$O$644=tbl_report_manager[[#This Row],[Manager Name]])*(Positions!$M$2:$M$644=$C$4)))),0)
)</f>
        <v>5</v>
      </c>
      <c r="I63" s="17">
        <f>IF($C$4="All Portfolios",
   COUNTIFS(Positions!$O$2:$O$644, tbl_report_manager[[#This Row],[Manager Name]]),
   COUNTIFS(Positions!$M$2:$M$644, $C$4,Positions!$O$2:$O$644, tbl_report_manager[[#This Row],[Manager Name]])
)</f>
        <v>5</v>
      </c>
    </row>
    <row r="64" spans="2:11" x14ac:dyDescent="0.2">
      <c r="B64" s="8" t="s">
        <v>130</v>
      </c>
      <c r="C64" s="10">
        <f>IF($C$4="All Portfolios",
   SUMIFS(tbl_rawhold[Current Face],tbl_rawhold[Manager], tbl_report_manager[[#This Row],[Manager Name]]),
   SUMIFS(tbl_rawhold[Current Face], tbl_rawhold[Portfolio_Name], $C$4,tbl_rawhold[Manager], tbl_report_manager[[#This Row],[Manager Name]]))</f>
        <v>70255823</v>
      </c>
      <c r="D64" s="10">
        <f>IF($C$4="All Portfolios",
   SUMIFS(tbl_rawhold[BASEMarket Value],tbl_rawhold[Manager], tbl_report_manager[[#This Row],[Manager Name]]),
   SUMIFS(tbl_rawhold[BASEMarket Value], tbl_rawhold[Portfolio_Name], $C$4,tbl_rawhold[Manager], tbl_report_manager[[#This Row],[Manager Name]]))</f>
        <v>70471703.699999988</v>
      </c>
      <c r="E64" s="20">
        <f>IFERROR(tbl_report_manager[[#This Row],[Current Face]]/$C$54,0)</f>
        <v>3.9204252917811093E-2</v>
      </c>
      <c r="F64" s="20">
        <f>IFERROR(tbl_report_manager[[#This Row],[Market Value]]/$D$54,0)</f>
        <v>3.987003750605958E-2</v>
      </c>
      <c r="G64" s="17" cm="1">
        <f t="array" ref="G64">IF($C$4="All Portfolios",
   IFERROR(ROWS(_xlfn.UNIQUE(_xlfn._xlws.FILTER(Positions!$F$2:$F$644, Positions!$O$2:$O$644=tbl_report_manager[[#This Row],[Manager Name]]))),0),
   IFERROR(ROWS(_xlfn.UNIQUE(_xlfn._xlws.FILTER(Positions!$F$2:$F$644, (Positions!$O$2:$O$644=tbl_report_manager[[#This Row],[Manager Name]])*(Positions!$M$2:$M$644=$C$4)))),0)
)</f>
        <v>2</v>
      </c>
      <c r="H64" s="17" cm="1">
        <f t="array" ref="H64">IF($C$4="All Portfolios",
   IFERROR(ROWS(_xlfn.UNIQUE(_xlfn._xlws.FILTER(Positions!$B$2:$B$644, Positions!$O$2:$O$644=tbl_report_manager[[#This Row],[Manager Name]]))),0),
   IFERROR(ROWS(_xlfn.UNIQUE(_xlfn._xlws.FILTER(Positions!$B$2:$B$644, (Positions!$O$2:$O$644=tbl_report_manager[[#This Row],[Manager Name]])*(Positions!$M$2:$M$644=$C$4)))),0)
)</f>
        <v>13</v>
      </c>
      <c r="I64" s="17">
        <f>IF($C$4="All Portfolios",
   COUNTIFS(Positions!$O$2:$O$644, tbl_report_manager[[#This Row],[Manager Name]]),
   COUNTIFS(Positions!$M$2:$M$644, $C$4,Positions!$O$2:$O$644, tbl_report_manager[[#This Row],[Manager Name]])
)</f>
        <v>17</v>
      </c>
    </row>
    <row r="65" spans="2:9" ht="14.25" customHeight="1" x14ac:dyDescent="0.2">
      <c r="B65" s="8" t="s">
        <v>127</v>
      </c>
      <c r="C65" s="10">
        <f>IF($C$4="All Portfolios",
   SUMIFS(tbl_rawhold[Current Face],tbl_rawhold[Manager], tbl_report_manager[[#This Row],[Manager Name]]),
   SUMIFS(tbl_rawhold[Current Face], tbl_rawhold[Portfolio_Name], $C$4,tbl_rawhold[Manager], tbl_report_manager[[#This Row],[Manager Name]]))</f>
        <v>68165000</v>
      </c>
      <c r="D65" s="10">
        <f>IF($C$4="All Portfolios",
   SUMIFS(tbl_rawhold[BASEMarket Value],tbl_rawhold[Manager], tbl_report_manager[[#This Row],[Manager Name]]),
   SUMIFS(tbl_rawhold[BASEMarket Value], tbl_rawhold[Portfolio_Name], $C$4,tbl_rawhold[Manager], tbl_report_manager[[#This Row],[Manager Name]]))</f>
        <v>68505232.25</v>
      </c>
      <c r="E65" s="20">
        <f>IFERROR(tbl_report_manager[[#This Row],[Current Face]]/$C$54,0)</f>
        <v>3.8037528933973108E-2</v>
      </c>
      <c r="F65" s="20">
        <f>IFERROR(tbl_report_manager[[#This Row],[Market Value]]/$D$54,0)</f>
        <v>3.8757487555516876E-2</v>
      </c>
      <c r="G65" s="17" cm="1">
        <f t="array" ref="G65">IF($C$4="All Portfolios",
   IFERROR(ROWS(_xlfn.UNIQUE(_xlfn._xlws.FILTER(Positions!$F$2:$F$644, Positions!$O$2:$O$644=tbl_report_manager[[#This Row],[Manager Name]]))),0),
   IFERROR(ROWS(_xlfn.UNIQUE(_xlfn._xlws.FILTER(Positions!$F$2:$F$644, (Positions!$O$2:$O$644=tbl_report_manager[[#This Row],[Manager Name]])*(Positions!$M$2:$M$644=$C$4)))),0)
)</f>
        <v>4</v>
      </c>
      <c r="H65" s="17" cm="1">
        <f t="array" ref="H65">IF($C$4="All Portfolios",
   IFERROR(ROWS(_xlfn.UNIQUE(_xlfn._xlws.FILTER(Positions!$B$2:$B$644, Positions!$O$2:$O$644=tbl_report_manager[[#This Row],[Manager Name]]))),0),
   IFERROR(ROWS(_xlfn.UNIQUE(_xlfn._xlws.FILTER(Positions!$B$2:$B$644, (Positions!$O$2:$O$644=tbl_report_manager[[#This Row],[Manager Name]])*(Positions!$M$2:$M$644=$C$4)))),0)
)</f>
        <v>13</v>
      </c>
      <c r="I65" s="17">
        <f>IF($C$4="All Portfolios",
   COUNTIFS(Positions!$O$2:$O$644, tbl_report_manager[[#This Row],[Manager Name]]),
   COUNTIFS(Positions!$M$2:$M$644, $C$4,Positions!$O$2:$O$644, tbl_report_manager[[#This Row],[Manager Name]])
)</f>
        <v>13</v>
      </c>
    </row>
    <row r="66" spans="2:9" ht="14.45" customHeight="1" x14ac:dyDescent="0.2">
      <c r="B66" s="8" t="s">
        <v>67</v>
      </c>
      <c r="C66" s="10">
        <f>IF($C$4="All Portfolios",
   SUMIFS(tbl_rawhold[Current Face],tbl_rawhold[Manager], tbl_report_manager[[#This Row],[Manager Name]]),
   SUMIFS(tbl_rawhold[Current Face], tbl_rawhold[Portfolio_Name], $C$4,tbl_rawhold[Manager], tbl_report_manager[[#This Row],[Manager Name]]))</f>
        <v>67496000</v>
      </c>
      <c r="D66" s="10">
        <f>IF($C$4="All Portfolios",
   SUMIFS(tbl_rawhold[BASEMarket Value],tbl_rawhold[Manager], tbl_report_manager[[#This Row],[Manager Name]]),
   SUMIFS(tbl_rawhold[BASEMarket Value], tbl_rawhold[Portfolio_Name], $C$4,tbl_rawhold[Manager], tbl_report_manager[[#This Row],[Manager Name]]))</f>
        <v>67720521.980000004</v>
      </c>
      <c r="E66" s="20">
        <f>IFERROR(tbl_report_manager[[#This Row],[Current Face]]/$C$54,0)</f>
        <v>3.7664212615381047E-2</v>
      </c>
      <c r="F66" s="20">
        <f>IFERROR(tbl_report_manager[[#This Row],[Market Value]]/$D$54,0)</f>
        <v>3.8313530247070397E-2</v>
      </c>
      <c r="G66" s="17" cm="1">
        <f t="array" ref="G66">IF($C$4="All Portfolios",
   IFERROR(ROWS(_xlfn.UNIQUE(_xlfn._xlws.FILTER(Positions!$F$2:$F$644, Positions!$O$2:$O$644=tbl_report_manager[[#This Row],[Manager Name]]))),0),
   IFERROR(ROWS(_xlfn.UNIQUE(_xlfn._xlws.FILTER(Positions!$F$2:$F$644, (Positions!$O$2:$O$644=tbl_report_manager[[#This Row],[Manager Name]])*(Positions!$M$2:$M$644=$C$4)))),0)
)</f>
        <v>1</v>
      </c>
      <c r="H66" s="17" cm="1">
        <f t="array" ref="H66">IF($C$4="All Portfolios",
   IFERROR(ROWS(_xlfn.UNIQUE(_xlfn._xlws.FILTER(Positions!$B$2:$B$644, Positions!$O$2:$O$644=tbl_report_manager[[#This Row],[Manager Name]]))),0),
   IFERROR(ROWS(_xlfn.UNIQUE(_xlfn._xlws.FILTER(Positions!$B$2:$B$644, (Positions!$O$2:$O$644=tbl_report_manager[[#This Row],[Manager Name]])*(Positions!$M$2:$M$644=$C$4)))),0)
)</f>
        <v>13</v>
      </c>
      <c r="I66" s="17">
        <f>IF($C$4="All Portfolios",
   COUNTIFS(Positions!$O$2:$O$644, tbl_report_manager[[#This Row],[Manager Name]]),
   COUNTIFS(Positions!$M$2:$M$644, $C$4,Positions!$O$2:$O$644, tbl_report_manager[[#This Row],[Manager Name]])
)</f>
        <v>15</v>
      </c>
    </row>
    <row r="67" spans="2:9" x14ac:dyDescent="0.2">
      <c r="B67" s="8" t="s">
        <v>86</v>
      </c>
      <c r="C67" s="10">
        <f>IF($C$4="All Portfolios",
   SUMIFS(tbl_rawhold[Current Face],tbl_rawhold[Manager], tbl_report_manager[[#This Row],[Manager Name]]),
   SUMIFS(tbl_rawhold[Current Face], tbl_rawhold[Portfolio_Name], $C$4,tbl_rawhold[Manager], tbl_report_manager[[#This Row],[Manager Name]]))</f>
        <v>66637000</v>
      </c>
      <c r="D67" s="10">
        <f>IF($C$4="All Portfolios",
   SUMIFS(tbl_rawhold[BASEMarket Value],tbl_rawhold[Manager], tbl_report_manager[[#This Row],[Manager Name]]),
   SUMIFS(tbl_rawhold[BASEMarket Value], tbl_rawhold[Portfolio_Name], $C$4,tbl_rawhold[Manager], tbl_report_manager[[#This Row],[Manager Name]]))</f>
        <v>67014235.649999999</v>
      </c>
      <c r="E67" s="20">
        <f>IFERROR(tbl_report_manager[[#This Row],[Current Face]]/$C$54,0)</f>
        <v>3.7184872230223223E-2</v>
      </c>
      <c r="F67" s="20">
        <f>IFERROR(tbl_report_manager[[#This Row],[Market Value]]/$D$54,0)</f>
        <v>3.7913942029549876E-2</v>
      </c>
      <c r="G67" s="17" cm="1">
        <f t="array" ref="G67">IF($C$4="All Portfolios",
   IFERROR(ROWS(_xlfn.UNIQUE(_xlfn._xlws.FILTER(Positions!$F$2:$F$644, Positions!$O$2:$O$644=tbl_report_manager[[#This Row],[Manager Name]]))),0),
   IFERROR(ROWS(_xlfn.UNIQUE(_xlfn._xlws.FILTER(Positions!$F$2:$F$644, (Positions!$O$2:$O$644=tbl_report_manager[[#This Row],[Manager Name]])*(Positions!$M$2:$M$644=$C$4)))),0)
)</f>
        <v>1</v>
      </c>
      <c r="H67" s="17" cm="1">
        <f t="array" ref="H67">IF($C$4="All Portfolios",
   IFERROR(ROWS(_xlfn.UNIQUE(_xlfn._xlws.FILTER(Positions!$B$2:$B$644, Positions!$O$2:$O$644=tbl_report_manager[[#This Row],[Manager Name]]))),0),
   IFERROR(ROWS(_xlfn.UNIQUE(_xlfn._xlws.FILTER(Positions!$B$2:$B$644, (Positions!$O$2:$O$644=tbl_report_manager[[#This Row],[Manager Name]])*(Positions!$M$2:$M$644=$C$4)))),0)
)</f>
        <v>14</v>
      </c>
      <c r="I67" s="17">
        <f>IF($C$4="All Portfolios",
   COUNTIFS(Positions!$O$2:$O$644, tbl_report_manager[[#This Row],[Manager Name]]),
   COUNTIFS(Positions!$M$2:$M$644, $C$4,Positions!$O$2:$O$644, tbl_report_manager[[#This Row],[Manager Name]])
)</f>
        <v>14</v>
      </c>
    </row>
    <row r="68" spans="2:9" ht="15" customHeight="1" x14ac:dyDescent="0.2">
      <c r="B68" s="8" t="s">
        <v>110</v>
      </c>
      <c r="C68" s="10">
        <f>IF($C$4="All Portfolios",
   SUMIFS(tbl_rawhold[Current Face],tbl_rawhold[Manager], tbl_report_manager[[#This Row],[Manager Name]]),
   SUMIFS(tbl_rawhold[Current Face], tbl_rawhold[Portfolio_Name], $C$4,tbl_rawhold[Manager], tbl_report_manager[[#This Row],[Manager Name]]))</f>
        <v>55200000</v>
      </c>
      <c r="D68" s="10">
        <f>IF($C$4="All Portfolios",
   SUMIFS(tbl_rawhold[BASEMarket Value],tbl_rawhold[Manager], tbl_report_manager[[#This Row],[Manager Name]]),
   SUMIFS(tbl_rawhold[BASEMarket Value], tbl_rawhold[Portfolio_Name], $C$4,tbl_rawhold[Manager], tbl_report_manager[[#This Row],[Manager Name]]))</f>
        <v>55362960.400000006</v>
      </c>
      <c r="E68" s="20">
        <f>IFERROR(tbl_report_manager[[#This Row],[Current Face]]/$C$54,0)</f>
        <v>3.0802781444367572E-2</v>
      </c>
      <c r="F68" s="20">
        <f>IFERROR(tbl_report_manager[[#This Row],[Market Value]]/$D$54,0)</f>
        <v>3.1322122095857489E-2</v>
      </c>
      <c r="G68" s="17" cm="1">
        <f t="array" ref="G68">IF($C$4="All Portfolios",
   IFERROR(ROWS(_xlfn.UNIQUE(_xlfn._xlws.FILTER(Positions!$F$2:$F$644, Positions!$O$2:$O$644=tbl_report_manager[[#This Row],[Manager Name]]))),0),
   IFERROR(ROWS(_xlfn.UNIQUE(_xlfn._xlws.FILTER(Positions!$F$2:$F$644, (Positions!$O$2:$O$644=tbl_report_manager[[#This Row],[Manager Name]])*(Positions!$M$2:$M$644=$C$4)))),0)
)</f>
        <v>3</v>
      </c>
      <c r="H68" s="17" cm="1">
        <f t="array" ref="H68">IF($C$4="All Portfolios",
   IFERROR(ROWS(_xlfn.UNIQUE(_xlfn._xlws.FILTER(Positions!$B$2:$B$644, Positions!$O$2:$O$644=tbl_report_manager[[#This Row],[Manager Name]]))),0),
   IFERROR(ROWS(_xlfn.UNIQUE(_xlfn._xlws.FILTER(Positions!$B$2:$B$644, (Positions!$O$2:$O$644=tbl_report_manager[[#This Row],[Manager Name]])*(Positions!$M$2:$M$644=$C$4)))),0)
)</f>
        <v>5</v>
      </c>
      <c r="I68" s="17">
        <f>IF($C$4="All Portfolios",
   COUNTIFS(Positions!$O$2:$O$644, tbl_report_manager[[#This Row],[Manager Name]]),
   COUNTIFS(Positions!$M$2:$M$644, $C$4,Positions!$O$2:$O$644, tbl_report_manager[[#This Row],[Manager Name]])
)</f>
        <v>5</v>
      </c>
    </row>
    <row r="69" spans="2:9" ht="15" customHeight="1" x14ac:dyDescent="0.2">
      <c r="B69" s="8" t="s">
        <v>173</v>
      </c>
      <c r="C69" s="10">
        <f>IF($C$4="All Portfolios",
   SUMIFS(tbl_rawhold[Current Face],tbl_rawhold[Manager], tbl_report_manager[[#This Row],[Manager Name]]),
   SUMIFS(tbl_rawhold[Current Face], tbl_rawhold[Portfolio_Name], $C$4,tbl_rawhold[Manager], tbl_report_manager[[#This Row],[Manager Name]]))</f>
        <v>53144619</v>
      </c>
      <c r="D69" s="10">
        <f>IF($C$4="All Portfolios",
   SUMIFS(tbl_rawhold[BASEMarket Value],tbl_rawhold[Manager], tbl_report_manager[[#This Row],[Manager Name]]),
   SUMIFS(tbl_rawhold[BASEMarket Value], tbl_rawhold[Portfolio_Name], $C$4,tbl_rawhold[Manager], tbl_report_manager[[#This Row],[Manager Name]]))</f>
        <v>53403021.159999996</v>
      </c>
      <c r="E69" s="20">
        <f>IFERROR(tbl_report_manager[[#This Row],[Current Face]]/$C$54,0)</f>
        <v>2.9655834855093918E-2</v>
      </c>
      <c r="F69" s="20">
        <f>IFERROR(tbl_report_manager[[#This Row],[Market Value]]/$D$54,0)</f>
        <v>3.0213267805331824E-2</v>
      </c>
      <c r="G69" s="17" cm="1">
        <f t="array" ref="G69">IF($C$4="All Portfolios",
   IFERROR(ROWS(_xlfn.UNIQUE(_xlfn._xlws.FILTER(Positions!$F$2:$F$644, Positions!$O$2:$O$644=tbl_report_manager[[#This Row],[Manager Name]]))),0),
   IFERROR(ROWS(_xlfn.UNIQUE(_xlfn._xlws.FILTER(Positions!$F$2:$F$644, (Positions!$O$2:$O$644=tbl_report_manager[[#This Row],[Manager Name]])*(Positions!$M$2:$M$644=$C$4)))),0)
)</f>
        <v>1</v>
      </c>
      <c r="H69" s="17" cm="1">
        <f t="array" ref="H69">IF($C$4="All Portfolios",
   IFERROR(ROWS(_xlfn.UNIQUE(_xlfn._xlws.FILTER(Positions!$B$2:$B$644, Positions!$O$2:$O$644=tbl_report_manager[[#This Row],[Manager Name]]))),0),
   IFERROR(ROWS(_xlfn.UNIQUE(_xlfn._xlws.FILTER(Positions!$B$2:$B$644, (Positions!$O$2:$O$644=tbl_report_manager[[#This Row],[Manager Name]])*(Positions!$M$2:$M$644=$C$4)))),0)
)</f>
        <v>10</v>
      </c>
      <c r="I69" s="17">
        <f>IF($C$4="All Portfolios",
   COUNTIFS(Positions!$O$2:$O$644, tbl_report_manager[[#This Row],[Manager Name]]),
   COUNTIFS(Positions!$M$2:$M$644, $C$4,Positions!$O$2:$O$644, tbl_report_manager[[#This Row],[Manager Name]])
)</f>
        <v>16</v>
      </c>
    </row>
    <row r="70" spans="2:9" ht="15" customHeight="1" x14ac:dyDescent="0.2">
      <c r="B70" s="8" t="s">
        <v>64</v>
      </c>
      <c r="C70" s="10">
        <f>IF($C$4="All Portfolios",
   SUMIFS(tbl_rawhold[Current Face],tbl_rawhold[Manager], tbl_report_manager[[#This Row],[Manager Name]]),
   SUMIFS(tbl_rawhold[Current Face], tbl_rawhold[Portfolio_Name], $C$4,tbl_rawhold[Manager], tbl_report_manager[[#This Row],[Manager Name]]))</f>
        <v>50828267</v>
      </c>
      <c r="D70" s="10">
        <f>IF($C$4="All Portfolios",
   SUMIFS(tbl_rawhold[BASEMarket Value],tbl_rawhold[Manager], tbl_report_manager[[#This Row],[Manager Name]]),
   SUMIFS(tbl_rawhold[BASEMarket Value], tbl_rawhold[Portfolio_Name], $C$4,tbl_rawhold[Manager], tbl_report_manager[[#This Row],[Manager Name]]))</f>
        <v>50989095.75</v>
      </c>
      <c r="E70" s="20">
        <f>IFERROR(tbl_report_manager[[#This Row],[Current Face]]/$C$54,0)</f>
        <v>2.8363260862263779E-2</v>
      </c>
      <c r="F70" s="20">
        <f>IFERROR(tbl_report_manager[[#This Row],[Market Value]]/$D$54,0)</f>
        <v>2.8847566515588063E-2</v>
      </c>
      <c r="G70" s="17" cm="1">
        <f t="array" ref="G70">IF($C$4="All Portfolios",
   IFERROR(ROWS(_xlfn.UNIQUE(_xlfn._xlws.FILTER(Positions!$F$2:$F$644, Positions!$O$2:$O$644=tbl_report_manager[[#This Row],[Manager Name]]))),0),
   IFERROR(ROWS(_xlfn.UNIQUE(_xlfn._xlws.FILTER(Positions!$F$2:$F$644, (Positions!$O$2:$O$644=tbl_report_manager[[#This Row],[Manager Name]])*(Positions!$M$2:$M$644=$C$4)))),0)
)</f>
        <v>1</v>
      </c>
      <c r="H70" s="17" cm="1">
        <f t="array" ref="H70">IF($C$4="All Portfolios",
   IFERROR(ROWS(_xlfn.UNIQUE(_xlfn._xlws.FILTER(Positions!$B$2:$B$644, Positions!$O$2:$O$644=tbl_report_manager[[#This Row],[Manager Name]]))),0),
   IFERROR(ROWS(_xlfn.UNIQUE(_xlfn._xlws.FILTER(Positions!$B$2:$B$644, (Positions!$O$2:$O$644=tbl_report_manager[[#This Row],[Manager Name]])*(Positions!$M$2:$M$644=$C$4)))),0)
)</f>
        <v>8</v>
      </c>
      <c r="I70" s="17">
        <f>IF($C$4="All Portfolios",
   COUNTIFS(Positions!$O$2:$O$644, tbl_report_manager[[#This Row],[Manager Name]]),
   COUNTIFS(Positions!$M$2:$M$644, $C$4,Positions!$O$2:$O$644, tbl_report_manager[[#This Row],[Manager Name]])
)</f>
        <v>8</v>
      </c>
    </row>
    <row r="71" spans="2:9" x14ac:dyDescent="0.2">
      <c r="B71" s="8" t="s">
        <v>101</v>
      </c>
      <c r="C71" s="10">
        <f>IF($C$4="All Portfolios",
   SUMIFS(tbl_rawhold[Current Face],tbl_rawhold[Manager], tbl_report_manager[[#This Row],[Manager Name]]),
   SUMIFS(tbl_rawhold[Current Face], tbl_rawhold[Portfolio_Name], $C$4,tbl_rawhold[Manager], tbl_report_manager[[#This Row],[Manager Name]]))</f>
        <v>48750530</v>
      </c>
      <c r="D71" s="10">
        <f>IF($C$4="All Portfolios",
   SUMIFS(tbl_rawhold[BASEMarket Value],tbl_rawhold[Manager], tbl_report_manager[[#This Row],[Manager Name]]),
   SUMIFS(tbl_rawhold[BASEMarket Value], tbl_rawhold[Portfolio_Name], $C$4,tbl_rawhold[Manager], tbl_report_manager[[#This Row],[Manager Name]]))</f>
        <v>48929357.179999992</v>
      </c>
      <c r="E71" s="20">
        <f>IFERROR(tbl_report_manager[[#This Row],[Current Face]]/$C$54,0)</f>
        <v>2.7203839146505156E-2</v>
      </c>
      <c r="F71" s="20">
        <f>IFERROR(tbl_report_manager[[#This Row],[Market Value]]/$D$54,0)</f>
        <v>2.7682249803675254E-2</v>
      </c>
      <c r="G71" s="17" cm="1">
        <f t="array" ref="G71">IF($C$4="All Portfolios",
   IFERROR(ROWS(_xlfn.UNIQUE(_xlfn._xlws.FILTER(Positions!$F$2:$F$644, Positions!$O$2:$O$644=tbl_report_manager[[#This Row],[Manager Name]]))),0),
   IFERROR(ROWS(_xlfn.UNIQUE(_xlfn._xlws.FILTER(Positions!$F$2:$F$644, (Positions!$O$2:$O$644=tbl_report_manager[[#This Row],[Manager Name]])*(Positions!$M$2:$M$644=$C$4)))),0)
)</f>
        <v>6</v>
      </c>
      <c r="H71" s="17" cm="1">
        <f t="array" ref="H71">IF($C$4="All Portfolios",
   IFERROR(ROWS(_xlfn.UNIQUE(_xlfn._xlws.FILTER(Positions!$B$2:$B$644, Positions!$O$2:$O$644=tbl_report_manager[[#This Row],[Manager Name]]))),0),
   IFERROR(ROWS(_xlfn.UNIQUE(_xlfn._xlws.FILTER(Positions!$B$2:$B$644, (Positions!$O$2:$O$644=tbl_report_manager[[#This Row],[Manager Name]])*(Positions!$M$2:$M$644=$C$4)))),0)
)</f>
        <v>8</v>
      </c>
      <c r="I71" s="17">
        <f>IF($C$4="All Portfolios",
   COUNTIFS(Positions!$O$2:$O$644, tbl_report_manager[[#This Row],[Manager Name]]),
   COUNTIFS(Positions!$M$2:$M$644, $C$4,Positions!$O$2:$O$644, tbl_report_manager[[#This Row],[Manager Name]])
)</f>
        <v>8</v>
      </c>
    </row>
    <row r="73" spans="2:9" x14ac:dyDescent="0.2">
      <c r="B73" s="17"/>
    </row>
    <row r="77" spans="2:9" x14ac:dyDescent="0.2">
      <c r="B77" s="17"/>
    </row>
    <row r="78" spans="2:9" x14ac:dyDescent="0.2">
      <c r="B78" s="17" t="s">
        <v>243</v>
      </c>
      <c r="C78" s="17" t="s">
        <v>78</v>
      </c>
      <c r="D78" s="17" t="s">
        <v>79</v>
      </c>
      <c r="E78" s="17" t="s">
        <v>80</v>
      </c>
      <c r="F78" s="17" t="s">
        <v>81</v>
      </c>
      <c r="G78" s="8" t="s">
        <v>14</v>
      </c>
      <c r="H78" s="17" t="s">
        <v>7</v>
      </c>
    </row>
    <row r="79" spans="2:9" x14ac:dyDescent="0.2">
      <c r="B79" s="17"/>
      <c r="C79" s="17"/>
      <c r="D79" s="17"/>
      <c r="E79" s="17"/>
      <c r="F79" s="17"/>
      <c r="G79" s="10"/>
      <c r="H79" s="17"/>
    </row>
    <row r="80" spans="2:9" x14ac:dyDescent="0.2">
      <c r="B80" s="17"/>
      <c r="C80" s="17"/>
      <c r="D80" s="17"/>
      <c r="E80" s="17"/>
      <c r="F80" s="17"/>
      <c r="G80" s="10"/>
      <c r="H80" s="17"/>
    </row>
    <row r="85" spans="2:10" x14ac:dyDescent="0.2">
      <c r="B85" s="17"/>
    </row>
    <row r="86" spans="2:10" x14ac:dyDescent="0.2">
      <c r="B86" s="17" t="s">
        <v>78</v>
      </c>
      <c r="C86" s="17" t="s">
        <v>79</v>
      </c>
      <c r="D86" s="17" t="s">
        <v>80</v>
      </c>
      <c r="E86" s="17" t="s">
        <v>91</v>
      </c>
      <c r="F86" s="17" t="s">
        <v>81</v>
      </c>
      <c r="G86" s="17" t="s">
        <v>14</v>
      </c>
      <c r="H86" s="17" t="s">
        <v>92</v>
      </c>
      <c r="I86" s="17" t="s">
        <v>93</v>
      </c>
      <c r="J86" s="17" t="s">
        <v>7</v>
      </c>
    </row>
    <row r="87" spans="2:10" x14ac:dyDescent="0.2">
      <c r="B87" s="17"/>
      <c r="C87" s="17"/>
      <c r="D87" s="17"/>
      <c r="E87" s="17"/>
      <c r="F87" s="17"/>
      <c r="G87" s="17"/>
      <c r="H87" s="17"/>
      <c r="I87" s="17"/>
      <c r="J87" s="17"/>
    </row>
    <row r="93" spans="2:10" x14ac:dyDescent="0.2">
      <c r="B93" s="17"/>
    </row>
    <row r="94" spans="2:10" x14ac:dyDescent="0.2">
      <c r="B94" s="17" t="s">
        <v>78</v>
      </c>
      <c r="C94" s="17" t="s">
        <v>79</v>
      </c>
      <c r="D94" s="17" t="s">
        <v>80</v>
      </c>
      <c r="E94" s="17" t="s">
        <v>91</v>
      </c>
      <c r="F94" s="17" t="s">
        <v>81</v>
      </c>
      <c r="G94" s="10" t="s">
        <v>14</v>
      </c>
      <c r="H94" s="8" t="s">
        <v>103</v>
      </c>
      <c r="I94" s="17" t="s">
        <v>93</v>
      </c>
      <c r="J94" s="17" t="s">
        <v>7</v>
      </c>
    </row>
    <row r="95" spans="2:10" x14ac:dyDescent="0.2">
      <c r="B95" s="17"/>
      <c r="C95" s="17"/>
      <c r="D95" s="17"/>
      <c r="E95" s="17"/>
      <c r="F95" s="17"/>
      <c r="G95" s="10"/>
      <c r="H95" s="48"/>
      <c r="I95" s="17"/>
      <c r="J95" s="17"/>
    </row>
    <row r="96" spans="2:10" x14ac:dyDescent="0.2">
      <c r="B96" s="17"/>
      <c r="C96" s="17"/>
      <c r="D96" s="17"/>
      <c r="E96" s="17"/>
      <c r="F96" s="17"/>
      <c r="G96" s="10"/>
      <c r="H96" s="48"/>
      <c r="I96" s="17"/>
      <c r="J96" s="17"/>
    </row>
    <row r="98" spans="2:19" x14ac:dyDescent="0.2">
      <c r="B98" s="17"/>
    </row>
    <row r="102" spans="2:19" x14ac:dyDescent="0.2">
      <c r="B102" s="17"/>
    </row>
    <row r="103" spans="2:19" x14ac:dyDescent="0.2">
      <c r="B103" s="17" t="s">
        <v>80</v>
      </c>
      <c r="C103" s="17" t="s">
        <v>78</v>
      </c>
      <c r="D103" s="17" t="s">
        <v>79</v>
      </c>
      <c r="E103" s="17" t="s">
        <v>115</v>
      </c>
      <c r="F103" s="17" t="s">
        <v>93</v>
      </c>
      <c r="G103" s="22" t="s">
        <v>13</v>
      </c>
      <c r="H103" s="49" t="s">
        <v>116</v>
      </c>
      <c r="I103" s="34" t="s">
        <v>47</v>
      </c>
      <c r="J103" s="22" t="s">
        <v>117</v>
      </c>
      <c r="K103" s="22" t="s">
        <v>48</v>
      </c>
      <c r="L103" s="34" t="s">
        <v>18</v>
      </c>
      <c r="M103" s="17" t="s">
        <v>118</v>
      </c>
      <c r="N103" s="17" t="s">
        <v>119</v>
      </c>
      <c r="O103" s="22" t="s">
        <v>12</v>
      </c>
      <c r="P103" s="16" t="s">
        <v>120</v>
      </c>
      <c r="Q103" s="49" t="s">
        <v>121</v>
      </c>
      <c r="R103" s="17" t="s">
        <v>122</v>
      </c>
      <c r="S103" s="17" t="s">
        <v>123</v>
      </c>
    </row>
    <row r="104" spans="2:19" x14ac:dyDescent="0.2">
      <c r="B104" s="17"/>
      <c r="C104" s="17"/>
      <c r="D104" s="17"/>
      <c r="E104" s="17"/>
      <c r="F104" s="17"/>
      <c r="G104" s="22"/>
      <c r="H104" s="49"/>
      <c r="I104" s="34"/>
      <c r="J104" s="22"/>
      <c r="K104" s="22"/>
      <c r="L104" s="34"/>
      <c r="M104" s="17"/>
      <c r="N104" s="17"/>
      <c r="O104" s="22"/>
      <c r="P104" s="16"/>
      <c r="Q104" s="49"/>
      <c r="R104" s="17"/>
      <c r="S104" s="17"/>
    </row>
    <row r="105" spans="2:19" x14ac:dyDescent="0.2">
      <c r="B105" s="17"/>
      <c r="C105" s="17"/>
      <c r="D105" s="17"/>
      <c r="E105" s="17"/>
      <c r="F105" s="17"/>
      <c r="G105" s="22"/>
      <c r="H105" s="49"/>
      <c r="I105" s="34"/>
      <c r="J105" s="22"/>
      <c r="K105" s="22"/>
      <c r="L105" s="34"/>
      <c r="M105" s="17"/>
      <c r="N105" s="17"/>
      <c r="O105" s="22"/>
      <c r="P105" s="16"/>
      <c r="Q105" s="49"/>
      <c r="R105" s="17"/>
      <c r="S105" s="17"/>
    </row>
    <row r="106" spans="2:19" x14ac:dyDescent="0.2">
      <c r="B106" s="17"/>
      <c r="C106" s="17"/>
      <c r="D106" s="17"/>
      <c r="E106" s="17"/>
      <c r="F106" s="17"/>
      <c r="G106" s="22"/>
      <c r="H106" s="49"/>
      <c r="I106" s="34"/>
      <c r="J106" s="22"/>
      <c r="K106" s="22"/>
      <c r="L106" s="34"/>
      <c r="M106" s="17"/>
      <c r="N106" s="17"/>
      <c r="O106" s="22"/>
      <c r="P106" s="16"/>
      <c r="Q106" s="49"/>
      <c r="R106" s="17"/>
      <c r="S106" s="17"/>
    </row>
    <row r="107" spans="2:19" x14ac:dyDescent="0.2">
      <c r="B107" s="17"/>
      <c r="C107" s="17"/>
      <c r="D107" s="17"/>
      <c r="E107" s="17"/>
      <c r="F107" s="17"/>
      <c r="G107" s="22"/>
      <c r="H107" s="49"/>
      <c r="I107" s="34"/>
      <c r="J107" s="22"/>
      <c r="K107" s="22"/>
      <c r="L107" s="34"/>
      <c r="M107" s="17"/>
      <c r="N107" s="17"/>
      <c r="O107" s="22"/>
      <c r="P107" s="16"/>
      <c r="Q107" s="49"/>
      <c r="R107" s="17"/>
      <c r="S107" s="17"/>
    </row>
    <row r="108" spans="2:19" x14ac:dyDescent="0.2">
      <c r="B108" s="17"/>
      <c r="C108" s="17"/>
      <c r="D108" s="17"/>
      <c r="E108" s="17"/>
      <c r="F108" s="17"/>
      <c r="G108" s="22"/>
      <c r="H108" s="49"/>
      <c r="I108" s="34"/>
      <c r="J108" s="22"/>
      <c r="K108" s="22"/>
      <c r="L108" s="34"/>
      <c r="M108" s="17"/>
      <c r="N108" s="17"/>
      <c r="O108" s="22"/>
      <c r="P108" s="16"/>
      <c r="Q108" s="49"/>
      <c r="R108" s="17"/>
      <c r="S108" s="17"/>
    </row>
    <row r="109" spans="2:19" x14ac:dyDescent="0.2">
      <c r="B109" s="17"/>
      <c r="C109" s="17"/>
      <c r="D109" s="17"/>
      <c r="E109" s="17"/>
      <c r="F109" s="17"/>
      <c r="G109" s="22"/>
      <c r="H109" s="49"/>
      <c r="I109" s="34"/>
      <c r="J109" s="22"/>
      <c r="K109" s="22"/>
      <c r="L109" s="34"/>
      <c r="M109" s="17"/>
      <c r="N109" s="17"/>
      <c r="O109" s="22"/>
      <c r="P109" s="16"/>
      <c r="Q109" s="49"/>
      <c r="R109" s="17"/>
      <c r="S109" s="17"/>
    </row>
    <row r="110" spans="2:19" x14ac:dyDescent="0.2">
      <c r="B110" s="17"/>
      <c r="C110" s="17"/>
      <c r="D110" s="17"/>
      <c r="E110" s="17"/>
      <c r="F110" s="17"/>
      <c r="G110" s="22"/>
      <c r="H110" s="49"/>
      <c r="I110" s="34"/>
      <c r="J110" s="22"/>
      <c r="K110" s="22"/>
      <c r="L110" s="34"/>
      <c r="M110" s="17"/>
      <c r="N110" s="17"/>
      <c r="O110" s="22"/>
      <c r="P110" s="16"/>
      <c r="Q110" s="49"/>
      <c r="R110" s="17"/>
      <c r="S110" s="17"/>
    </row>
    <row r="111" spans="2:19" x14ac:dyDescent="0.2">
      <c r="B111" s="17" t="s">
        <v>80</v>
      </c>
      <c r="C111" s="17" t="s">
        <v>78</v>
      </c>
      <c r="D111" s="17" t="s">
        <v>79</v>
      </c>
      <c r="E111" s="17" t="s">
        <v>115</v>
      </c>
      <c r="F111" s="17" t="s">
        <v>93</v>
      </c>
      <c r="G111" s="22" t="s">
        <v>13</v>
      </c>
      <c r="H111" s="49" t="s">
        <v>116</v>
      </c>
      <c r="I111" s="34" t="s">
        <v>47</v>
      </c>
      <c r="J111" s="22" t="s">
        <v>117</v>
      </c>
      <c r="K111" s="22" t="s">
        <v>48</v>
      </c>
      <c r="L111" s="34" t="s">
        <v>18</v>
      </c>
      <c r="M111" s="17" t="s">
        <v>118</v>
      </c>
      <c r="N111" s="17" t="s">
        <v>119</v>
      </c>
      <c r="O111" s="22" t="s">
        <v>12</v>
      </c>
      <c r="P111" s="16" t="s">
        <v>120</v>
      </c>
      <c r="Q111" s="49" t="s">
        <v>121</v>
      </c>
      <c r="R111" s="17" t="s">
        <v>122</v>
      </c>
      <c r="S111" s="17" t="s">
        <v>123</v>
      </c>
    </row>
    <row r="112" spans="2:19" x14ac:dyDescent="0.2">
      <c r="B112" s="17"/>
      <c r="C112" s="17"/>
      <c r="D112" s="17"/>
      <c r="E112" s="17"/>
      <c r="F112" s="17"/>
      <c r="G112" s="22"/>
      <c r="H112" s="49"/>
      <c r="I112" s="34"/>
      <c r="J112" s="22"/>
      <c r="K112" s="22"/>
      <c r="L112" s="34"/>
      <c r="M112" s="17"/>
      <c r="N112" s="17"/>
      <c r="O112" s="22"/>
      <c r="P112" s="16"/>
      <c r="Q112" s="49"/>
      <c r="R112" s="17"/>
      <c r="S112" s="17"/>
    </row>
    <row r="113" spans="2:19" x14ac:dyDescent="0.2">
      <c r="B113" s="17"/>
      <c r="C113" s="17"/>
      <c r="D113" s="17"/>
      <c r="E113" s="17"/>
      <c r="F113" s="17"/>
      <c r="G113" s="22"/>
      <c r="H113" s="49"/>
      <c r="I113" s="34"/>
      <c r="J113" s="22"/>
      <c r="K113" s="22"/>
      <c r="L113" s="34"/>
      <c r="M113" s="17"/>
      <c r="N113" s="17"/>
      <c r="O113" s="22"/>
      <c r="P113" s="16"/>
      <c r="Q113" s="49"/>
      <c r="R113" s="17"/>
      <c r="S113" s="17"/>
    </row>
    <row r="114" spans="2:19" x14ac:dyDescent="0.2">
      <c r="B114" s="17"/>
      <c r="C114" s="17"/>
      <c r="D114" s="17"/>
      <c r="E114" s="17"/>
      <c r="F114" s="17"/>
      <c r="G114" s="22"/>
      <c r="H114" s="49"/>
      <c r="I114" s="34"/>
      <c r="J114" s="22"/>
      <c r="K114" s="22"/>
      <c r="L114" s="34"/>
      <c r="M114" s="17"/>
      <c r="N114" s="17"/>
      <c r="O114" s="22"/>
      <c r="P114" s="16"/>
      <c r="Q114" s="49"/>
      <c r="R114" s="17"/>
      <c r="S114" s="17"/>
    </row>
    <row r="115" spans="2:19" x14ac:dyDescent="0.2">
      <c r="B115" s="17"/>
      <c r="C115" s="17"/>
      <c r="D115" s="17"/>
      <c r="E115" s="17"/>
      <c r="F115" s="17"/>
      <c r="G115" s="22"/>
      <c r="H115" s="49"/>
      <c r="I115" s="34"/>
      <c r="J115" s="22"/>
      <c r="K115" s="22"/>
      <c r="L115" s="34"/>
      <c r="M115" s="17"/>
      <c r="N115" s="17"/>
      <c r="O115" s="22"/>
      <c r="P115" s="16"/>
      <c r="Q115" s="49"/>
      <c r="R115" s="17"/>
      <c r="S115" s="17"/>
    </row>
    <row r="116" spans="2:19" x14ac:dyDescent="0.2">
      <c r="B116" s="17"/>
      <c r="C116" s="17"/>
      <c r="D116" s="17"/>
      <c r="E116" s="17"/>
      <c r="F116" s="17"/>
      <c r="G116" s="22"/>
      <c r="H116" s="49"/>
      <c r="I116" s="34"/>
      <c r="J116" s="22"/>
      <c r="K116" s="22"/>
      <c r="L116" s="34"/>
      <c r="M116" s="17"/>
      <c r="N116" s="17"/>
      <c r="O116" s="22"/>
      <c r="P116" s="16"/>
      <c r="Q116" s="49"/>
      <c r="R116" s="17"/>
      <c r="S116" s="17"/>
    </row>
    <row r="117" spans="2:19" x14ac:dyDescent="0.2">
      <c r="B117" s="17"/>
      <c r="C117" s="17"/>
      <c r="D117" s="17"/>
      <c r="E117" s="17"/>
      <c r="F117" s="17"/>
      <c r="G117" s="22"/>
      <c r="H117" s="49"/>
      <c r="I117" s="34"/>
      <c r="J117" s="22"/>
      <c r="K117" s="22"/>
      <c r="L117" s="34"/>
      <c r="M117" s="17"/>
      <c r="N117" s="17"/>
      <c r="O117" s="22"/>
      <c r="P117" s="16"/>
      <c r="Q117" s="49"/>
      <c r="R117" s="17"/>
      <c r="S117" s="17"/>
    </row>
    <row r="118" spans="2:19" x14ac:dyDescent="0.2">
      <c r="B118" s="17"/>
      <c r="C118" s="17"/>
      <c r="D118" s="17"/>
      <c r="E118" s="17"/>
      <c r="F118" s="17"/>
      <c r="G118" s="22"/>
      <c r="H118" s="49"/>
      <c r="I118" s="34"/>
      <c r="J118" s="22"/>
      <c r="K118" s="22"/>
      <c r="L118" s="34"/>
      <c r="M118" s="17"/>
      <c r="N118" s="17"/>
      <c r="O118" s="22"/>
      <c r="P118" s="16"/>
      <c r="Q118" s="49"/>
      <c r="R118" s="17"/>
      <c r="S118" s="17"/>
    </row>
    <row r="119" spans="2:19" x14ac:dyDescent="0.2">
      <c r="B119" s="17"/>
      <c r="C119" s="17"/>
      <c r="D119" s="17"/>
      <c r="E119" s="17"/>
      <c r="F119" s="17"/>
      <c r="G119" s="22"/>
      <c r="H119" s="49"/>
      <c r="I119" s="34"/>
      <c r="J119" s="22"/>
      <c r="K119" s="22"/>
      <c r="L119" s="34"/>
      <c r="M119" s="17"/>
      <c r="N119" s="17"/>
      <c r="O119" s="22"/>
      <c r="P119" s="16"/>
      <c r="Q119" s="49"/>
      <c r="R119" s="17"/>
      <c r="S119" s="17"/>
    </row>
    <row r="120" spans="2:19" x14ac:dyDescent="0.2">
      <c r="B120" s="17"/>
      <c r="C120" s="17"/>
      <c r="D120" s="17"/>
      <c r="E120" s="17"/>
      <c r="F120" s="17"/>
      <c r="G120" s="22"/>
      <c r="H120" s="49"/>
      <c r="I120" s="34"/>
      <c r="J120" s="22"/>
      <c r="K120" s="22"/>
      <c r="L120" s="34"/>
      <c r="M120" s="17"/>
      <c r="N120" s="17"/>
      <c r="O120" s="22"/>
      <c r="P120" s="16"/>
      <c r="Q120" s="49"/>
      <c r="R120" s="17"/>
      <c r="S120" s="17"/>
    </row>
    <row r="121" spans="2:19" x14ac:dyDescent="0.2">
      <c r="B121" s="17"/>
      <c r="C121" s="17"/>
      <c r="D121" s="17"/>
      <c r="E121" s="17"/>
      <c r="F121" s="17"/>
      <c r="G121" s="22"/>
      <c r="H121" s="49"/>
      <c r="I121" s="34"/>
      <c r="J121" s="22"/>
      <c r="K121" s="22"/>
      <c r="L121" s="34"/>
      <c r="M121" s="17"/>
      <c r="N121" s="17"/>
      <c r="O121" s="22"/>
      <c r="P121" s="16"/>
      <c r="Q121" s="49"/>
      <c r="R121" s="17"/>
      <c r="S121" s="17"/>
    </row>
    <row r="122" spans="2:19" x14ac:dyDescent="0.2">
      <c r="B122" s="17"/>
      <c r="C122" s="17"/>
      <c r="D122" s="17"/>
      <c r="E122" s="17"/>
      <c r="F122" s="17"/>
      <c r="G122" s="22"/>
      <c r="H122" s="49"/>
      <c r="I122" s="34"/>
      <c r="J122" s="22"/>
      <c r="K122" s="22"/>
      <c r="L122" s="34"/>
      <c r="M122" s="17"/>
      <c r="N122" s="17"/>
      <c r="O122" s="22"/>
      <c r="P122" s="16"/>
      <c r="Q122" s="49"/>
      <c r="R122" s="17"/>
      <c r="S122" s="17"/>
    </row>
    <row r="123" spans="2:19" x14ac:dyDescent="0.2">
      <c r="B123" s="17"/>
      <c r="C123" s="17"/>
      <c r="D123" s="17"/>
      <c r="E123" s="17"/>
      <c r="F123" s="17"/>
      <c r="G123" s="22"/>
      <c r="H123" s="49"/>
      <c r="I123" s="34"/>
      <c r="J123" s="22"/>
      <c r="K123" s="22"/>
      <c r="L123" s="34"/>
      <c r="M123" s="17"/>
      <c r="N123" s="17"/>
      <c r="O123" s="22"/>
      <c r="P123" s="16"/>
      <c r="Q123" s="49"/>
      <c r="R123" s="17"/>
      <c r="S123" s="17"/>
    </row>
    <row r="124" spans="2:19" x14ac:dyDescent="0.2">
      <c r="B124" s="17" t="s">
        <v>80</v>
      </c>
      <c r="C124" s="17" t="s">
        <v>78</v>
      </c>
      <c r="D124" s="17" t="s">
        <v>79</v>
      </c>
      <c r="E124" s="17" t="s">
        <v>115</v>
      </c>
      <c r="F124" s="17" t="s">
        <v>93</v>
      </c>
      <c r="G124" s="22" t="s">
        <v>13</v>
      </c>
      <c r="H124" s="49" t="s">
        <v>116</v>
      </c>
      <c r="I124" s="34" t="s">
        <v>47</v>
      </c>
      <c r="J124" s="22" t="s">
        <v>117</v>
      </c>
      <c r="K124" s="22" t="s">
        <v>48</v>
      </c>
      <c r="L124" s="34" t="s">
        <v>18</v>
      </c>
      <c r="M124" s="17" t="s">
        <v>118</v>
      </c>
      <c r="N124" s="17" t="s">
        <v>119</v>
      </c>
      <c r="O124" s="22" t="s">
        <v>12</v>
      </c>
      <c r="P124" s="16" t="s">
        <v>120</v>
      </c>
      <c r="Q124" s="49" t="s">
        <v>121</v>
      </c>
      <c r="R124" s="17" t="s">
        <v>122</v>
      </c>
      <c r="S124" s="17" t="s">
        <v>123</v>
      </c>
    </row>
    <row r="125" spans="2:19" x14ac:dyDescent="0.2">
      <c r="B125" s="17"/>
      <c r="C125" s="17"/>
      <c r="D125" s="17"/>
      <c r="E125" s="17"/>
      <c r="F125" s="17"/>
      <c r="G125" s="22"/>
      <c r="H125" s="49"/>
      <c r="I125" s="34"/>
      <c r="J125" s="22"/>
      <c r="K125" s="22"/>
      <c r="L125" s="34"/>
      <c r="M125" s="17"/>
      <c r="N125" s="17"/>
      <c r="O125" s="22"/>
      <c r="P125" s="16"/>
      <c r="Q125" s="49"/>
      <c r="R125" s="17"/>
      <c r="S125" s="17"/>
    </row>
    <row r="126" spans="2:19" x14ac:dyDescent="0.2">
      <c r="B126" s="17"/>
      <c r="C126" s="17"/>
      <c r="D126" s="17"/>
      <c r="E126" s="17"/>
      <c r="F126" s="17"/>
      <c r="G126" s="22"/>
      <c r="H126" s="49"/>
      <c r="I126" s="34"/>
      <c r="J126" s="22"/>
      <c r="K126" s="22"/>
      <c r="L126" s="34"/>
      <c r="M126" s="17"/>
      <c r="N126" s="17"/>
      <c r="O126" s="22"/>
      <c r="P126" s="16"/>
      <c r="Q126" s="49"/>
      <c r="R126" s="17"/>
      <c r="S126" s="17"/>
    </row>
    <row r="127" spans="2:19" x14ac:dyDescent="0.2">
      <c r="B127" s="17"/>
      <c r="C127" s="17"/>
      <c r="D127" s="17"/>
      <c r="E127" s="17"/>
      <c r="F127" s="17"/>
      <c r="G127" s="22"/>
      <c r="H127" s="49"/>
      <c r="I127" s="34"/>
      <c r="J127" s="22"/>
      <c r="K127" s="22"/>
      <c r="L127" s="34"/>
      <c r="M127" s="17"/>
      <c r="N127" s="17"/>
      <c r="O127" s="22"/>
      <c r="P127" s="16"/>
      <c r="Q127" s="49"/>
      <c r="R127" s="17"/>
      <c r="S127" s="17"/>
    </row>
    <row r="128" spans="2:19" x14ac:dyDescent="0.2">
      <c r="B128" s="17"/>
      <c r="C128" s="17"/>
      <c r="D128" s="17"/>
      <c r="E128" s="17"/>
      <c r="F128" s="17"/>
      <c r="G128" s="22"/>
      <c r="H128" s="49"/>
      <c r="I128" s="34"/>
      <c r="J128" s="22"/>
      <c r="K128" s="22"/>
      <c r="L128" s="34"/>
      <c r="M128" s="17"/>
      <c r="N128" s="17"/>
      <c r="O128" s="22"/>
      <c r="P128" s="16"/>
      <c r="Q128" s="49"/>
      <c r="R128" s="17"/>
      <c r="S128" s="17"/>
    </row>
    <row r="129" spans="2:19" x14ac:dyDescent="0.2">
      <c r="B129" s="17"/>
      <c r="C129" s="17"/>
      <c r="D129" s="17"/>
      <c r="E129" s="17"/>
      <c r="F129" s="17"/>
      <c r="G129" s="22"/>
      <c r="H129" s="49"/>
      <c r="I129" s="34"/>
      <c r="J129" s="22"/>
      <c r="K129" s="22"/>
      <c r="L129" s="34"/>
      <c r="M129" s="17"/>
      <c r="N129" s="17"/>
      <c r="O129" s="22"/>
      <c r="P129" s="16"/>
      <c r="Q129" s="49"/>
      <c r="R129" s="17"/>
      <c r="S129" s="17"/>
    </row>
    <row r="130" spans="2:19" x14ac:dyDescent="0.2">
      <c r="B130" s="17"/>
      <c r="C130" s="17"/>
      <c r="D130" s="17"/>
      <c r="E130" s="17"/>
      <c r="F130" s="17"/>
      <c r="G130" s="22"/>
      <c r="H130" s="49"/>
      <c r="I130" s="34"/>
      <c r="J130" s="22"/>
      <c r="K130" s="22"/>
      <c r="L130" s="34"/>
      <c r="M130" s="17"/>
      <c r="N130" s="17"/>
      <c r="O130" s="22"/>
      <c r="P130" s="16"/>
      <c r="Q130" s="49"/>
      <c r="R130" s="17"/>
      <c r="S130" s="17"/>
    </row>
    <row r="131" spans="2:19" x14ac:dyDescent="0.2">
      <c r="B131" s="17"/>
      <c r="C131" s="17"/>
      <c r="D131" s="17"/>
      <c r="E131" s="17"/>
      <c r="F131" s="17"/>
      <c r="G131" s="22"/>
      <c r="H131" s="49"/>
      <c r="I131" s="34"/>
      <c r="J131" s="22"/>
      <c r="K131" s="22"/>
      <c r="L131" s="34"/>
      <c r="M131" s="17"/>
      <c r="N131" s="17"/>
      <c r="O131" s="22"/>
      <c r="P131" s="16"/>
      <c r="Q131" s="49"/>
      <c r="R131" s="17"/>
      <c r="S131" s="17"/>
    </row>
    <row r="132" spans="2:19" x14ac:dyDescent="0.2">
      <c r="B132" s="17"/>
      <c r="C132" s="17"/>
      <c r="D132" s="17"/>
      <c r="E132" s="17"/>
      <c r="F132" s="17"/>
      <c r="G132" s="22"/>
      <c r="H132" s="49"/>
      <c r="I132" s="34"/>
      <c r="J132" s="22"/>
      <c r="K132" s="22"/>
      <c r="L132" s="34"/>
      <c r="M132" s="17"/>
      <c r="N132" s="17"/>
      <c r="O132" s="22"/>
      <c r="P132" s="16"/>
      <c r="Q132" s="49"/>
      <c r="R132" s="17"/>
      <c r="S132" s="17"/>
    </row>
    <row r="133" spans="2:19" x14ac:dyDescent="0.2">
      <c r="B133" s="17"/>
      <c r="C133" s="17"/>
      <c r="D133" s="17"/>
      <c r="E133" s="17"/>
      <c r="F133" s="17"/>
      <c r="G133" s="22"/>
      <c r="H133" s="49"/>
      <c r="I133" s="34"/>
      <c r="J133" s="22"/>
      <c r="K133" s="22"/>
      <c r="L133" s="34"/>
      <c r="M133" s="17"/>
      <c r="N133" s="17"/>
      <c r="O133" s="22"/>
      <c r="P133" s="16"/>
      <c r="Q133" s="49"/>
      <c r="R133" s="17"/>
      <c r="S133" s="17"/>
    </row>
    <row r="134" spans="2:19" x14ac:dyDescent="0.2">
      <c r="B134" s="17"/>
      <c r="C134" s="17"/>
      <c r="D134" s="17"/>
      <c r="E134" s="17"/>
      <c r="F134" s="17"/>
      <c r="G134" s="22"/>
      <c r="H134" s="49"/>
      <c r="I134" s="34"/>
      <c r="J134" s="22"/>
      <c r="K134" s="22"/>
      <c r="L134" s="34"/>
      <c r="M134" s="17"/>
      <c r="N134" s="17"/>
      <c r="O134" s="22"/>
      <c r="P134" s="16"/>
      <c r="Q134" s="49"/>
      <c r="R134" s="17"/>
      <c r="S134" s="17"/>
    </row>
    <row r="135" spans="2:19" x14ac:dyDescent="0.2">
      <c r="B135" s="17"/>
      <c r="C135" s="17"/>
      <c r="D135" s="17"/>
      <c r="E135" s="17"/>
      <c r="F135" s="17"/>
      <c r="G135" s="22"/>
      <c r="H135" s="49"/>
      <c r="I135" s="34"/>
      <c r="J135" s="22"/>
      <c r="K135" s="22"/>
      <c r="L135" s="34"/>
      <c r="M135" s="17"/>
      <c r="N135" s="17"/>
      <c r="O135" s="22"/>
      <c r="P135" s="16"/>
      <c r="Q135" s="49"/>
      <c r="R135" s="17"/>
      <c r="S135" s="17"/>
    </row>
    <row r="136" spans="2:19" x14ac:dyDescent="0.2">
      <c r="B136" s="17"/>
      <c r="C136" s="17"/>
      <c r="D136" s="17"/>
      <c r="E136" s="17"/>
      <c r="F136" s="17"/>
      <c r="G136" s="22"/>
      <c r="H136" s="49"/>
      <c r="I136" s="34"/>
      <c r="J136" s="22"/>
      <c r="K136" s="22"/>
      <c r="L136" s="34"/>
      <c r="M136" s="17"/>
      <c r="N136" s="17"/>
      <c r="O136" s="22"/>
      <c r="P136" s="16"/>
      <c r="Q136" s="49"/>
      <c r="R136" s="17"/>
      <c r="S136" s="17"/>
    </row>
    <row r="137" spans="2:19" x14ac:dyDescent="0.2">
      <c r="B137" s="17"/>
      <c r="C137" s="17"/>
      <c r="D137" s="17"/>
      <c r="E137" s="17"/>
      <c r="F137" s="17"/>
      <c r="G137" s="22"/>
      <c r="H137" s="49"/>
      <c r="I137" s="34"/>
      <c r="J137" s="22"/>
      <c r="K137" s="22"/>
      <c r="L137" s="34"/>
      <c r="M137" s="17"/>
      <c r="N137" s="17"/>
      <c r="O137" s="22"/>
      <c r="P137" s="16"/>
      <c r="Q137" s="49"/>
      <c r="R137" s="17"/>
      <c r="S137" s="17"/>
    </row>
    <row r="138" spans="2:19" x14ac:dyDescent="0.2">
      <c r="B138" s="17"/>
      <c r="C138" s="17"/>
      <c r="D138" s="17"/>
      <c r="E138" s="17"/>
      <c r="F138" s="17"/>
      <c r="G138" s="22"/>
      <c r="H138" s="49"/>
      <c r="I138" s="34"/>
      <c r="J138" s="22"/>
      <c r="K138" s="22"/>
      <c r="L138" s="34"/>
      <c r="M138" s="17"/>
      <c r="N138" s="17"/>
      <c r="O138" s="22"/>
      <c r="P138" s="16"/>
      <c r="Q138" s="49"/>
      <c r="R138" s="17"/>
      <c r="S138" s="17"/>
    </row>
    <row r="139" spans="2:19" x14ac:dyDescent="0.2">
      <c r="B139" s="17"/>
      <c r="C139" s="17"/>
      <c r="D139" s="17"/>
      <c r="E139" s="17"/>
      <c r="F139" s="17"/>
      <c r="G139" s="22"/>
      <c r="H139" s="49"/>
      <c r="I139" s="34"/>
      <c r="J139" s="22"/>
      <c r="K139" s="22"/>
      <c r="L139" s="34"/>
      <c r="M139" s="17"/>
      <c r="N139" s="17"/>
      <c r="O139" s="22"/>
      <c r="P139" s="16"/>
      <c r="Q139" s="49"/>
      <c r="R139" s="17"/>
      <c r="S139" s="17"/>
    </row>
    <row r="140" spans="2:19" x14ac:dyDescent="0.2">
      <c r="B140" s="17"/>
      <c r="C140" s="17"/>
      <c r="D140" s="17"/>
      <c r="E140" s="17"/>
      <c r="F140" s="17"/>
      <c r="G140" s="22"/>
      <c r="H140" s="49"/>
      <c r="I140" s="34"/>
      <c r="J140" s="22"/>
      <c r="K140" s="22"/>
      <c r="L140" s="34"/>
      <c r="M140" s="17"/>
      <c r="N140" s="17"/>
      <c r="O140" s="22"/>
      <c r="P140" s="16"/>
      <c r="Q140" s="49"/>
      <c r="R140" s="17"/>
      <c r="S140" s="17"/>
    </row>
    <row r="141" spans="2:19" x14ac:dyDescent="0.2">
      <c r="B141" s="17"/>
      <c r="C141" s="17"/>
      <c r="D141" s="17"/>
      <c r="E141" s="17"/>
      <c r="F141" s="17"/>
      <c r="G141" s="22"/>
      <c r="H141" s="49"/>
      <c r="I141" s="34"/>
      <c r="J141" s="22"/>
      <c r="K141" s="22"/>
      <c r="L141" s="34"/>
      <c r="M141" s="17"/>
      <c r="N141" s="17"/>
      <c r="O141" s="22"/>
      <c r="P141" s="16"/>
      <c r="Q141" s="49"/>
      <c r="R141" s="17"/>
      <c r="S141" s="17"/>
    </row>
    <row r="142" spans="2:19" x14ac:dyDescent="0.2">
      <c r="B142" s="17" t="s">
        <v>80</v>
      </c>
      <c r="C142" s="17" t="s">
        <v>78</v>
      </c>
      <c r="D142" s="17" t="s">
        <v>79</v>
      </c>
      <c r="E142" s="17" t="s">
        <v>115</v>
      </c>
      <c r="F142" s="17" t="s">
        <v>93</v>
      </c>
      <c r="G142" s="22" t="s">
        <v>13</v>
      </c>
      <c r="H142" s="49" t="s">
        <v>116</v>
      </c>
      <c r="I142" s="34" t="s">
        <v>47</v>
      </c>
      <c r="J142" s="22" t="s">
        <v>117</v>
      </c>
      <c r="K142" s="22" t="s">
        <v>48</v>
      </c>
      <c r="L142" s="34" t="s">
        <v>18</v>
      </c>
      <c r="M142" s="17" t="s">
        <v>118</v>
      </c>
      <c r="N142" s="17" t="s">
        <v>119</v>
      </c>
      <c r="O142" s="22" t="s">
        <v>12</v>
      </c>
      <c r="P142" s="16" t="s">
        <v>120</v>
      </c>
      <c r="Q142" s="49" t="s">
        <v>121</v>
      </c>
      <c r="R142" s="17" t="s">
        <v>122</v>
      </c>
      <c r="S142" s="17" t="s">
        <v>123</v>
      </c>
    </row>
    <row r="143" spans="2:19" x14ac:dyDescent="0.2">
      <c r="B143" s="17"/>
      <c r="C143" s="17"/>
      <c r="D143" s="17"/>
      <c r="E143" s="17"/>
      <c r="F143" s="17"/>
      <c r="G143" s="22"/>
      <c r="H143" s="49"/>
      <c r="I143" s="34"/>
      <c r="J143" s="22"/>
      <c r="K143" s="22"/>
      <c r="L143" s="34"/>
      <c r="M143" s="17"/>
      <c r="N143" s="17"/>
      <c r="O143" s="22"/>
      <c r="P143" s="16"/>
      <c r="Q143" s="49"/>
      <c r="R143" s="17"/>
      <c r="S143" s="17"/>
    </row>
    <row r="144" spans="2:19" x14ac:dyDescent="0.2">
      <c r="B144" s="17"/>
      <c r="C144" s="17"/>
      <c r="D144" s="17"/>
      <c r="E144" s="17"/>
      <c r="F144" s="17"/>
      <c r="G144" s="22"/>
      <c r="H144" s="49"/>
      <c r="I144" s="34"/>
      <c r="J144" s="22"/>
      <c r="K144" s="22"/>
      <c r="L144" s="34"/>
      <c r="M144" s="17"/>
      <c r="N144" s="17"/>
      <c r="O144" s="22"/>
      <c r="P144" s="16"/>
      <c r="Q144" s="49"/>
      <c r="R144" s="17"/>
      <c r="S144" s="17"/>
    </row>
    <row r="145" spans="2:19" x14ac:dyDescent="0.2">
      <c r="B145" s="17"/>
      <c r="C145" s="17"/>
      <c r="D145" s="17"/>
      <c r="E145" s="17"/>
      <c r="F145" s="17"/>
      <c r="G145" s="22"/>
      <c r="H145" s="49"/>
      <c r="I145" s="34"/>
      <c r="J145" s="22"/>
      <c r="K145" s="22"/>
      <c r="L145" s="34"/>
      <c r="M145" s="17"/>
      <c r="N145" s="17"/>
      <c r="O145" s="22"/>
      <c r="P145" s="16"/>
      <c r="Q145" s="49"/>
      <c r="R145" s="17"/>
      <c r="S145" s="17"/>
    </row>
    <row r="146" spans="2:19" x14ac:dyDescent="0.2">
      <c r="B146" s="17"/>
      <c r="C146" s="17"/>
      <c r="D146" s="17"/>
      <c r="E146" s="17"/>
      <c r="F146" s="17"/>
      <c r="G146" s="22"/>
      <c r="H146" s="49"/>
      <c r="I146" s="34"/>
      <c r="J146" s="22"/>
      <c r="K146" s="22"/>
      <c r="L146" s="34"/>
      <c r="M146" s="17"/>
      <c r="N146" s="17"/>
      <c r="O146" s="22"/>
      <c r="P146" s="16"/>
      <c r="Q146" s="49"/>
      <c r="R146" s="17"/>
      <c r="S146" s="17"/>
    </row>
    <row r="147" spans="2:19" x14ac:dyDescent="0.2">
      <c r="B147" s="17"/>
      <c r="C147" s="17"/>
      <c r="D147" s="17"/>
      <c r="E147" s="17"/>
      <c r="F147" s="17"/>
      <c r="G147" s="22"/>
      <c r="H147" s="49"/>
      <c r="I147" s="34"/>
      <c r="J147" s="22"/>
      <c r="K147" s="22"/>
      <c r="L147" s="34"/>
      <c r="M147" s="17"/>
      <c r="N147" s="17"/>
      <c r="O147" s="22"/>
      <c r="P147" s="16"/>
      <c r="Q147" s="49"/>
      <c r="R147" s="17"/>
      <c r="S147" s="17"/>
    </row>
    <row r="148" spans="2:19" x14ac:dyDescent="0.2">
      <c r="B148" s="17"/>
      <c r="C148" s="17"/>
      <c r="D148" s="17"/>
      <c r="E148" s="17"/>
      <c r="F148" s="17"/>
      <c r="G148" s="22"/>
      <c r="H148" s="49"/>
      <c r="I148" s="34"/>
      <c r="J148" s="22"/>
      <c r="K148" s="22"/>
      <c r="L148" s="34"/>
      <c r="M148" s="17"/>
      <c r="N148" s="17"/>
      <c r="O148" s="22"/>
      <c r="P148" s="16"/>
      <c r="Q148" s="49"/>
      <c r="R148" s="17"/>
      <c r="S148" s="17"/>
    </row>
    <row r="149" spans="2:19" x14ac:dyDescent="0.2">
      <c r="B149" s="17"/>
      <c r="C149" s="17"/>
      <c r="D149" s="17"/>
      <c r="E149" s="17"/>
      <c r="F149" s="17"/>
      <c r="G149" s="22"/>
      <c r="H149" s="49"/>
      <c r="I149" s="34"/>
      <c r="J149" s="22"/>
      <c r="K149" s="22"/>
      <c r="L149" s="34"/>
      <c r="M149" s="17"/>
      <c r="N149" s="17"/>
      <c r="O149" s="22"/>
      <c r="P149" s="16"/>
      <c r="Q149" s="49"/>
      <c r="R149" s="17"/>
      <c r="S149" s="17"/>
    </row>
    <row r="150" spans="2:19" x14ac:dyDescent="0.2">
      <c r="B150" s="17"/>
      <c r="C150" s="17"/>
      <c r="D150" s="17"/>
      <c r="E150" s="17"/>
      <c r="F150" s="17"/>
      <c r="G150" s="22"/>
      <c r="H150" s="49"/>
      <c r="I150" s="34"/>
      <c r="J150" s="22"/>
      <c r="K150" s="22"/>
      <c r="L150" s="34"/>
      <c r="M150" s="17"/>
      <c r="N150" s="17"/>
      <c r="O150" s="22"/>
      <c r="P150" s="16"/>
      <c r="Q150" s="49"/>
      <c r="R150" s="17"/>
      <c r="S150" s="17"/>
    </row>
    <row r="151" spans="2:19" x14ac:dyDescent="0.2">
      <c r="B151" s="17"/>
      <c r="C151" s="17"/>
      <c r="D151" s="17"/>
      <c r="E151" s="17"/>
      <c r="F151" s="17"/>
      <c r="G151" s="22"/>
      <c r="H151" s="49"/>
      <c r="I151" s="34"/>
      <c r="J151" s="22"/>
      <c r="K151" s="22"/>
      <c r="L151" s="34"/>
      <c r="M151" s="17"/>
      <c r="N151" s="17"/>
      <c r="O151" s="22"/>
      <c r="P151" s="16"/>
      <c r="Q151" s="49"/>
      <c r="R151" s="17"/>
      <c r="S151" s="17"/>
    </row>
    <row r="152" spans="2:19" x14ac:dyDescent="0.2">
      <c r="B152" s="17"/>
      <c r="C152" s="17"/>
      <c r="D152" s="17"/>
      <c r="E152" s="17"/>
      <c r="F152" s="17"/>
      <c r="G152" s="22"/>
      <c r="H152" s="49"/>
      <c r="I152" s="34"/>
      <c r="J152" s="22"/>
      <c r="K152" s="22"/>
      <c r="L152" s="34"/>
      <c r="M152" s="17"/>
      <c r="N152" s="17"/>
      <c r="O152" s="22"/>
      <c r="P152" s="16"/>
      <c r="Q152" s="49"/>
      <c r="R152" s="17"/>
      <c r="S152" s="17"/>
    </row>
    <row r="153" spans="2:19" x14ac:dyDescent="0.2">
      <c r="B153" s="17"/>
      <c r="C153" s="17"/>
      <c r="D153" s="17"/>
      <c r="E153" s="17"/>
      <c r="F153" s="17"/>
      <c r="G153" s="22"/>
      <c r="H153" s="49"/>
      <c r="I153" s="34"/>
      <c r="J153" s="22"/>
      <c r="K153" s="22"/>
      <c r="L153" s="34"/>
      <c r="M153" s="17"/>
      <c r="N153" s="17"/>
      <c r="O153" s="22"/>
      <c r="P153" s="16"/>
      <c r="Q153" s="49"/>
      <c r="R153" s="17"/>
      <c r="S153" s="17"/>
    </row>
    <row r="154" spans="2:19" x14ac:dyDescent="0.2">
      <c r="B154" s="17"/>
      <c r="C154" s="17"/>
      <c r="D154" s="17"/>
      <c r="E154" s="17"/>
      <c r="F154" s="17"/>
      <c r="G154" s="22"/>
      <c r="H154" s="49"/>
      <c r="I154" s="34"/>
      <c r="J154" s="22"/>
      <c r="K154" s="22"/>
      <c r="L154" s="34"/>
      <c r="M154" s="17"/>
      <c r="N154" s="17"/>
      <c r="O154" s="22"/>
      <c r="P154" s="16"/>
      <c r="Q154" s="49"/>
      <c r="R154" s="17"/>
      <c r="S154" s="17"/>
    </row>
    <row r="155" spans="2:19" x14ac:dyDescent="0.2">
      <c r="B155" s="17"/>
      <c r="C155" s="17"/>
      <c r="D155" s="17"/>
      <c r="E155" s="17"/>
      <c r="F155" s="17"/>
      <c r="G155" s="22"/>
      <c r="H155" s="49"/>
      <c r="I155" s="34"/>
      <c r="J155" s="22"/>
      <c r="K155" s="22"/>
      <c r="L155" s="34"/>
      <c r="M155" s="17"/>
      <c r="N155" s="17"/>
      <c r="O155" s="22"/>
      <c r="P155" s="16"/>
      <c r="Q155" s="49"/>
      <c r="R155" s="17"/>
      <c r="S155" s="17"/>
    </row>
    <row r="156" spans="2:19" x14ac:dyDescent="0.2">
      <c r="B156" s="17"/>
      <c r="C156" s="17"/>
      <c r="D156" s="17"/>
      <c r="E156" s="17"/>
      <c r="F156" s="17"/>
      <c r="G156" s="22"/>
      <c r="H156" s="49"/>
      <c r="I156" s="34"/>
      <c r="J156" s="22"/>
      <c r="K156" s="22"/>
      <c r="L156" s="34"/>
      <c r="M156" s="17"/>
      <c r="N156" s="17"/>
      <c r="O156" s="22"/>
      <c r="P156" s="16"/>
      <c r="Q156" s="49"/>
      <c r="R156" s="17"/>
      <c r="S156" s="17"/>
    </row>
    <row r="157" spans="2:19" x14ac:dyDescent="0.2">
      <c r="B157" s="17"/>
      <c r="C157" s="17"/>
      <c r="D157" s="17"/>
      <c r="E157" s="17"/>
      <c r="F157" s="17"/>
      <c r="G157" s="22"/>
      <c r="H157" s="49"/>
      <c r="I157" s="34"/>
      <c r="J157" s="22"/>
      <c r="K157" s="22"/>
      <c r="L157" s="34"/>
      <c r="M157" s="17"/>
      <c r="N157" s="17"/>
      <c r="O157" s="22"/>
      <c r="P157" s="16"/>
      <c r="Q157" s="49"/>
      <c r="R157" s="17"/>
      <c r="S157" s="17"/>
    </row>
    <row r="158" spans="2:19" x14ac:dyDescent="0.2">
      <c r="B158" s="17"/>
      <c r="C158" s="17"/>
      <c r="D158" s="17"/>
      <c r="E158" s="17"/>
      <c r="F158" s="17"/>
      <c r="G158" s="22"/>
      <c r="H158" s="49"/>
      <c r="I158" s="34"/>
      <c r="J158" s="22"/>
      <c r="K158" s="22"/>
      <c r="L158" s="34"/>
      <c r="M158" s="17"/>
      <c r="N158" s="17"/>
      <c r="O158" s="22"/>
      <c r="P158" s="16"/>
      <c r="Q158" s="49"/>
      <c r="R158" s="17"/>
      <c r="S158" s="17"/>
    </row>
    <row r="159" spans="2:19" x14ac:dyDescent="0.2">
      <c r="B159" s="17"/>
      <c r="C159" s="17"/>
      <c r="D159" s="17"/>
      <c r="E159" s="17"/>
      <c r="F159" s="17"/>
      <c r="G159" s="22"/>
      <c r="H159" s="49"/>
      <c r="I159" s="34"/>
      <c r="J159" s="22"/>
      <c r="K159" s="22"/>
      <c r="L159" s="34"/>
      <c r="M159" s="17"/>
      <c r="N159" s="17"/>
      <c r="O159" s="22"/>
      <c r="P159" s="16"/>
      <c r="Q159" s="49"/>
      <c r="R159" s="17"/>
      <c r="S159" s="17"/>
    </row>
    <row r="160" spans="2:19" x14ac:dyDescent="0.2">
      <c r="B160" s="17"/>
      <c r="C160" s="17"/>
      <c r="D160" s="17"/>
      <c r="E160" s="17"/>
      <c r="F160" s="17"/>
      <c r="G160" s="22"/>
      <c r="H160" s="49"/>
      <c r="I160" s="34"/>
      <c r="J160" s="22"/>
      <c r="K160" s="22"/>
      <c r="L160" s="34"/>
      <c r="M160" s="17"/>
      <c r="N160" s="17"/>
      <c r="O160" s="22"/>
      <c r="P160" s="16"/>
      <c r="Q160" s="49"/>
      <c r="R160" s="17"/>
      <c r="S160" s="17"/>
    </row>
    <row r="161" spans="2:19" x14ac:dyDescent="0.2">
      <c r="B161" s="17"/>
      <c r="C161" s="17"/>
      <c r="D161" s="17"/>
      <c r="E161" s="17"/>
      <c r="F161" s="17"/>
      <c r="G161" s="22"/>
      <c r="H161" s="49"/>
      <c r="I161" s="34"/>
      <c r="J161" s="22"/>
      <c r="K161" s="22"/>
      <c r="L161" s="34"/>
      <c r="M161" s="17"/>
      <c r="N161" s="17"/>
      <c r="O161" s="22"/>
      <c r="P161" s="16"/>
      <c r="Q161" s="49"/>
      <c r="R161" s="17"/>
      <c r="S161" s="17"/>
    </row>
    <row r="162" spans="2:19" x14ac:dyDescent="0.2">
      <c r="B162" s="17" t="s">
        <v>80</v>
      </c>
      <c r="C162" s="17" t="s">
        <v>78</v>
      </c>
      <c r="D162" s="17" t="s">
        <v>79</v>
      </c>
      <c r="E162" s="17" t="s">
        <v>115</v>
      </c>
      <c r="F162" s="17" t="s">
        <v>93</v>
      </c>
      <c r="G162" s="22" t="s">
        <v>13</v>
      </c>
      <c r="H162" s="49" t="s">
        <v>116</v>
      </c>
      <c r="I162" s="34" t="s">
        <v>47</v>
      </c>
      <c r="J162" s="22" t="s">
        <v>117</v>
      </c>
      <c r="K162" s="22" t="s">
        <v>48</v>
      </c>
      <c r="L162" s="34" t="s">
        <v>18</v>
      </c>
      <c r="M162" s="17" t="s">
        <v>118</v>
      </c>
      <c r="N162" s="17" t="s">
        <v>119</v>
      </c>
      <c r="O162" s="22" t="s">
        <v>12</v>
      </c>
      <c r="P162" s="16" t="s">
        <v>120</v>
      </c>
      <c r="Q162" s="49" t="s">
        <v>121</v>
      </c>
      <c r="R162" s="17" t="s">
        <v>122</v>
      </c>
      <c r="S162" s="17" t="s">
        <v>123</v>
      </c>
    </row>
    <row r="163" spans="2:19" x14ac:dyDescent="0.2">
      <c r="B163" s="17"/>
      <c r="C163" s="17"/>
      <c r="D163" s="17"/>
      <c r="E163" s="17"/>
      <c r="F163" s="17"/>
      <c r="G163" s="22"/>
      <c r="H163" s="49"/>
      <c r="I163" s="34"/>
      <c r="J163" s="22"/>
      <c r="K163" s="22"/>
      <c r="L163" s="34"/>
      <c r="M163" s="17"/>
      <c r="N163" s="17"/>
      <c r="O163" s="22"/>
      <c r="P163" s="16"/>
      <c r="Q163" s="49"/>
      <c r="R163" s="17"/>
      <c r="S163" s="17"/>
    </row>
    <row r="164" spans="2:19" x14ac:dyDescent="0.2">
      <c r="B164" s="17"/>
      <c r="C164" s="17"/>
      <c r="D164" s="17"/>
      <c r="E164" s="17"/>
      <c r="F164" s="17"/>
      <c r="G164" s="22"/>
      <c r="H164" s="49"/>
      <c r="I164" s="34"/>
      <c r="J164" s="22"/>
      <c r="K164" s="22"/>
      <c r="L164" s="34"/>
      <c r="M164" s="17"/>
      <c r="N164" s="17"/>
      <c r="O164" s="22"/>
      <c r="P164" s="16"/>
      <c r="Q164" s="49"/>
      <c r="R164" s="17"/>
      <c r="S164" s="17"/>
    </row>
    <row r="165" spans="2:19" x14ac:dyDescent="0.2">
      <c r="B165" s="17"/>
      <c r="C165" s="17"/>
      <c r="D165" s="17"/>
      <c r="E165" s="17"/>
      <c r="F165" s="17"/>
      <c r="G165" s="22"/>
      <c r="H165" s="49"/>
      <c r="I165" s="34"/>
      <c r="J165" s="22"/>
      <c r="K165" s="22"/>
      <c r="L165" s="34"/>
      <c r="M165" s="17"/>
      <c r="N165" s="17"/>
      <c r="O165" s="22"/>
      <c r="P165" s="16"/>
      <c r="Q165" s="49"/>
      <c r="R165" s="17"/>
      <c r="S165" s="17"/>
    </row>
    <row r="166" spans="2:19" x14ac:dyDescent="0.2">
      <c r="B166" s="17"/>
      <c r="C166" s="17"/>
      <c r="D166" s="17"/>
      <c r="E166" s="17"/>
      <c r="F166" s="17"/>
      <c r="G166" s="22"/>
      <c r="H166" s="49"/>
      <c r="I166" s="34"/>
      <c r="J166" s="22"/>
      <c r="K166" s="22"/>
      <c r="L166" s="34"/>
      <c r="M166" s="17"/>
      <c r="N166" s="17"/>
      <c r="O166" s="22"/>
      <c r="P166" s="16"/>
      <c r="Q166" s="49"/>
      <c r="R166" s="17"/>
      <c r="S166" s="17"/>
    </row>
    <row r="167" spans="2:19" x14ac:dyDescent="0.2">
      <c r="B167" s="17"/>
      <c r="C167" s="17"/>
      <c r="D167" s="17"/>
      <c r="E167" s="17"/>
      <c r="F167" s="17"/>
      <c r="G167" s="22"/>
      <c r="H167" s="49"/>
      <c r="I167" s="34"/>
      <c r="J167" s="22"/>
      <c r="K167" s="22"/>
      <c r="L167" s="34"/>
      <c r="M167" s="17"/>
      <c r="N167" s="17"/>
      <c r="O167" s="22"/>
      <c r="P167" s="16"/>
      <c r="Q167" s="49"/>
      <c r="R167" s="17"/>
      <c r="S167" s="17"/>
    </row>
    <row r="168" spans="2:19" x14ac:dyDescent="0.2">
      <c r="B168" s="17"/>
      <c r="C168" s="17"/>
      <c r="D168" s="17"/>
      <c r="E168" s="17"/>
      <c r="F168" s="17"/>
      <c r="G168" s="22"/>
      <c r="H168" s="49"/>
      <c r="I168" s="34"/>
      <c r="J168" s="22"/>
      <c r="K168" s="22"/>
      <c r="L168" s="34"/>
      <c r="M168" s="17"/>
      <c r="N168" s="17"/>
      <c r="O168" s="22"/>
      <c r="P168" s="16"/>
      <c r="Q168" s="49"/>
      <c r="R168" s="17"/>
      <c r="S168" s="17"/>
    </row>
    <row r="169" spans="2:19" x14ac:dyDescent="0.2">
      <c r="B169" s="17"/>
      <c r="C169" s="17"/>
      <c r="D169" s="17"/>
      <c r="E169" s="17"/>
      <c r="F169" s="17"/>
      <c r="G169" s="22"/>
      <c r="H169" s="49"/>
      <c r="I169" s="34"/>
      <c r="J169" s="22"/>
      <c r="K169" s="22"/>
      <c r="L169" s="34"/>
      <c r="M169" s="17"/>
      <c r="N169" s="17"/>
      <c r="O169" s="22"/>
      <c r="P169" s="16"/>
      <c r="Q169" s="49"/>
      <c r="R169" s="17"/>
      <c r="S169" s="17"/>
    </row>
    <row r="170" spans="2:19" x14ac:dyDescent="0.2">
      <c r="B170" s="17"/>
      <c r="C170" s="17"/>
      <c r="D170" s="17"/>
      <c r="E170" s="17"/>
      <c r="F170" s="17"/>
      <c r="G170" s="22"/>
      <c r="H170" s="49"/>
      <c r="I170" s="34"/>
      <c r="J170" s="22"/>
      <c r="K170" s="22"/>
      <c r="L170" s="34"/>
      <c r="M170" s="17"/>
      <c r="N170" s="17"/>
      <c r="O170" s="22"/>
      <c r="P170" s="16"/>
      <c r="Q170" s="49"/>
      <c r="R170" s="17"/>
      <c r="S170" s="17"/>
    </row>
    <row r="171" spans="2:19" x14ac:dyDescent="0.2">
      <c r="B171" s="17"/>
      <c r="C171" s="17"/>
      <c r="D171" s="17"/>
      <c r="E171" s="17"/>
      <c r="F171" s="17"/>
      <c r="G171" s="22"/>
      <c r="H171" s="49"/>
      <c r="I171" s="34"/>
      <c r="J171" s="22"/>
      <c r="K171" s="22"/>
      <c r="L171" s="34"/>
      <c r="M171" s="17"/>
      <c r="N171" s="17"/>
      <c r="O171" s="22"/>
      <c r="P171" s="16"/>
      <c r="Q171" s="49"/>
      <c r="R171" s="17"/>
      <c r="S171" s="17"/>
    </row>
    <row r="172" spans="2:19" x14ac:dyDescent="0.2">
      <c r="B172" s="17"/>
      <c r="C172" s="17"/>
      <c r="D172" s="17"/>
      <c r="E172" s="17"/>
      <c r="F172" s="17"/>
      <c r="G172" s="22"/>
      <c r="H172" s="49"/>
      <c r="I172" s="34"/>
      <c r="J172" s="22"/>
      <c r="K172" s="22"/>
      <c r="L172" s="34"/>
      <c r="M172" s="17"/>
      <c r="N172" s="17"/>
      <c r="O172" s="22"/>
      <c r="P172" s="16"/>
      <c r="Q172" s="49"/>
      <c r="R172" s="17"/>
      <c r="S172" s="17"/>
    </row>
    <row r="173" spans="2:19" x14ac:dyDescent="0.2">
      <c r="B173" s="17"/>
      <c r="C173" s="17"/>
      <c r="D173" s="17"/>
      <c r="E173" s="17"/>
      <c r="F173" s="17"/>
      <c r="G173" s="22"/>
      <c r="H173" s="49"/>
      <c r="I173" s="34"/>
      <c r="J173" s="22"/>
      <c r="K173" s="22"/>
      <c r="L173" s="34"/>
      <c r="M173" s="17"/>
      <c r="N173" s="17"/>
      <c r="O173" s="22"/>
      <c r="P173" s="16"/>
      <c r="Q173" s="49"/>
      <c r="R173" s="17"/>
      <c r="S173" s="17"/>
    </row>
    <row r="174" spans="2:19" x14ac:dyDescent="0.2">
      <c r="B174" s="17"/>
      <c r="C174" s="17"/>
      <c r="D174" s="17"/>
      <c r="E174" s="17"/>
      <c r="F174" s="17"/>
      <c r="G174" s="22"/>
      <c r="H174" s="49"/>
      <c r="I174" s="34"/>
      <c r="J174" s="22"/>
      <c r="K174" s="22"/>
      <c r="L174" s="34"/>
      <c r="M174" s="17"/>
      <c r="N174" s="17"/>
      <c r="O174" s="22"/>
      <c r="P174" s="16"/>
      <c r="Q174" s="49"/>
      <c r="R174" s="17"/>
      <c r="S174" s="17"/>
    </row>
    <row r="175" spans="2:19" x14ac:dyDescent="0.2">
      <c r="B175" s="17"/>
      <c r="C175" s="17"/>
      <c r="D175" s="17"/>
      <c r="E175" s="17"/>
      <c r="F175" s="17"/>
      <c r="G175" s="22"/>
      <c r="H175" s="49"/>
      <c r="I175" s="34"/>
      <c r="J175" s="22"/>
      <c r="K175" s="22"/>
      <c r="L175" s="34"/>
      <c r="M175" s="17"/>
      <c r="N175" s="17"/>
      <c r="O175" s="22"/>
      <c r="P175" s="16"/>
      <c r="Q175" s="49"/>
      <c r="R175" s="17"/>
      <c r="S175" s="17"/>
    </row>
    <row r="176" spans="2:19" x14ac:dyDescent="0.2">
      <c r="B176" s="17"/>
      <c r="C176" s="17"/>
      <c r="D176" s="17"/>
      <c r="E176" s="17"/>
      <c r="F176" s="17"/>
      <c r="G176" s="22"/>
      <c r="H176" s="49"/>
      <c r="I176" s="34"/>
      <c r="J176" s="22"/>
      <c r="K176" s="22"/>
      <c r="L176" s="34"/>
      <c r="M176" s="17"/>
      <c r="N176" s="17"/>
      <c r="O176" s="22"/>
      <c r="P176" s="16"/>
      <c r="Q176" s="49"/>
      <c r="R176" s="17"/>
      <c r="S176" s="17"/>
    </row>
    <row r="177" spans="2:19" x14ac:dyDescent="0.2">
      <c r="B177" s="17"/>
      <c r="C177" s="17"/>
      <c r="D177" s="17"/>
      <c r="E177" s="17"/>
      <c r="F177" s="17"/>
      <c r="G177" s="22"/>
      <c r="H177" s="49"/>
      <c r="I177" s="34"/>
      <c r="J177" s="22"/>
      <c r="K177" s="22"/>
      <c r="L177" s="34"/>
      <c r="M177" s="17"/>
      <c r="N177" s="17"/>
      <c r="O177" s="22"/>
      <c r="P177" s="16"/>
      <c r="Q177" s="49"/>
      <c r="R177" s="17"/>
      <c r="S177" s="17"/>
    </row>
    <row r="178" spans="2:19" x14ac:dyDescent="0.2">
      <c r="B178" s="17"/>
      <c r="C178" s="17"/>
      <c r="D178" s="17"/>
      <c r="E178" s="17"/>
      <c r="F178" s="17"/>
      <c r="G178" s="22"/>
      <c r="H178" s="49"/>
      <c r="I178" s="34"/>
      <c r="J178" s="22"/>
      <c r="K178" s="22"/>
      <c r="L178" s="34"/>
      <c r="M178" s="17"/>
      <c r="N178" s="17"/>
      <c r="O178" s="22"/>
      <c r="P178" s="16"/>
      <c r="Q178" s="49"/>
      <c r="R178" s="17"/>
      <c r="S178" s="17"/>
    </row>
    <row r="179" spans="2:19" x14ac:dyDescent="0.2">
      <c r="B179" s="17"/>
      <c r="C179" s="17"/>
      <c r="D179" s="17"/>
      <c r="E179" s="17"/>
      <c r="F179" s="17"/>
      <c r="G179" s="22"/>
      <c r="H179" s="49"/>
      <c r="I179" s="34"/>
      <c r="J179" s="22"/>
      <c r="K179" s="22"/>
      <c r="L179" s="34"/>
      <c r="M179" s="17"/>
      <c r="N179" s="17"/>
      <c r="O179" s="22"/>
      <c r="P179" s="16"/>
      <c r="Q179" s="49"/>
      <c r="R179" s="17"/>
      <c r="S179" s="17"/>
    </row>
    <row r="180" spans="2:19" x14ac:dyDescent="0.2">
      <c r="B180" s="17"/>
      <c r="C180" s="17"/>
      <c r="D180" s="17"/>
      <c r="E180" s="17"/>
      <c r="F180" s="17"/>
      <c r="G180" s="22"/>
      <c r="H180" s="49"/>
      <c r="I180" s="34"/>
      <c r="J180" s="22"/>
      <c r="K180" s="22"/>
      <c r="L180" s="34"/>
      <c r="M180" s="17"/>
      <c r="N180" s="17"/>
      <c r="O180" s="22"/>
      <c r="P180" s="16"/>
      <c r="Q180" s="49"/>
      <c r="R180" s="17"/>
      <c r="S180" s="17"/>
    </row>
    <row r="181" spans="2:19" x14ac:dyDescent="0.2">
      <c r="B181" s="17"/>
      <c r="C181" s="17"/>
      <c r="D181" s="17"/>
      <c r="E181" s="17"/>
      <c r="F181" s="17"/>
      <c r="G181" s="22"/>
      <c r="H181" s="49"/>
      <c r="I181" s="34"/>
      <c r="J181" s="22"/>
      <c r="K181" s="22"/>
      <c r="L181" s="34"/>
      <c r="M181" s="17"/>
      <c r="N181" s="17"/>
      <c r="O181" s="22"/>
      <c r="P181" s="16"/>
      <c r="Q181" s="49"/>
      <c r="R181" s="17"/>
      <c r="S181" s="17"/>
    </row>
    <row r="182" spans="2:19" x14ac:dyDescent="0.2">
      <c r="B182" s="17" t="s">
        <v>80</v>
      </c>
      <c r="C182" s="17" t="s">
        <v>78</v>
      </c>
      <c r="D182" s="17" t="s">
        <v>79</v>
      </c>
      <c r="E182" s="17" t="s">
        <v>115</v>
      </c>
      <c r="F182" s="17" t="s">
        <v>93</v>
      </c>
      <c r="G182" s="22" t="s">
        <v>13</v>
      </c>
      <c r="H182" s="49" t="s">
        <v>116</v>
      </c>
      <c r="I182" s="34" t="s">
        <v>47</v>
      </c>
      <c r="J182" s="22" t="s">
        <v>117</v>
      </c>
      <c r="K182" s="22" t="s">
        <v>48</v>
      </c>
      <c r="L182" s="34" t="s">
        <v>18</v>
      </c>
      <c r="M182" s="17" t="s">
        <v>118</v>
      </c>
      <c r="N182" s="17" t="s">
        <v>119</v>
      </c>
      <c r="O182" s="22" t="s">
        <v>12</v>
      </c>
      <c r="P182" s="16" t="s">
        <v>120</v>
      </c>
      <c r="Q182" s="49" t="s">
        <v>121</v>
      </c>
      <c r="R182" s="17" t="s">
        <v>122</v>
      </c>
      <c r="S182" s="17" t="s">
        <v>123</v>
      </c>
    </row>
    <row r="183" spans="2:19" x14ac:dyDescent="0.2">
      <c r="B183" s="17"/>
      <c r="C183" s="17"/>
      <c r="D183" s="17"/>
      <c r="E183" s="17"/>
      <c r="F183" s="17"/>
      <c r="G183" s="22"/>
      <c r="H183" s="49"/>
      <c r="I183" s="34"/>
      <c r="J183" s="22"/>
      <c r="K183" s="22"/>
      <c r="L183" s="34"/>
      <c r="M183" s="17"/>
      <c r="N183" s="17"/>
      <c r="O183" s="22"/>
      <c r="P183" s="16"/>
      <c r="Q183" s="49"/>
      <c r="R183" s="17"/>
      <c r="S183" s="17"/>
    </row>
    <row r="184" spans="2:19" x14ac:dyDescent="0.2">
      <c r="B184" s="17"/>
      <c r="C184" s="17"/>
      <c r="D184" s="17"/>
      <c r="E184" s="17"/>
      <c r="F184" s="17"/>
      <c r="G184" s="22"/>
      <c r="H184" s="49"/>
      <c r="I184" s="34"/>
      <c r="J184" s="22"/>
      <c r="K184" s="22"/>
      <c r="L184" s="34"/>
      <c r="M184" s="17"/>
      <c r="N184" s="17"/>
      <c r="O184" s="22"/>
      <c r="P184" s="16"/>
      <c r="Q184" s="49"/>
      <c r="R184" s="17"/>
      <c r="S184" s="17"/>
    </row>
    <row r="185" spans="2:19" x14ac:dyDescent="0.2">
      <c r="B185" s="17"/>
      <c r="C185" s="17"/>
      <c r="D185" s="17"/>
      <c r="E185" s="17"/>
      <c r="F185" s="17"/>
      <c r="G185" s="22"/>
      <c r="H185" s="49"/>
      <c r="I185" s="34"/>
      <c r="J185" s="22"/>
      <c r="K185" s="22"/>
      <c r="L185" s="34"/>
      <c r="M185" s="17"/>
      <c r="N185" s="17"/>
      <c r="O185" s="22"/>
      <c r="P185" s="16"/>
      <c r="Q185" s="49"/>
      <c r="R185" s="17"/>
      <c r="S185" s="17"/>
    </row>
    <row r="186" spans="2:19" x14ac:dyDescent="0.2">
      <c r="B186" s="17"/>
      <c r="C186" s="17"/>
      <c r="D186" s="17"/>
      <c r="E186" s="17"/>
      <c r="F186" s="17"/>
      <c r="G186" s="22"/>
      <c r="H186" s="49"/>
      <c r="I186" s="34"/>
      <c r="J186" s="22"/>
      <c r="K186" s="22"/>
      <c r="L186" s="34"/>
      <c r="M186" s="17"/>
      <c r="N186" s="17"/>
      <c r="O186" s="22"/>
      <c r="P186" s="16"/>
      <c r="Q186" s="49"/>
      <c r="R186" s="17"/>
      <c r="S186" s="17"/>
    </row>
    <row r="187" spans="2:19" x14ac:dyDescent="0.2">
      <c r="B187" s="17"/>
      <c r="C187" s="17"/>
      <c r="D187" s="17"/>
      <c r="E187" s="17"/>
      <c r="F187" s="17"/>
      <c r="G187" s="22"/>
      <c r="H187" s="49"/>
      <c r="I187" s="34"/>
      <c r="J187" s="22"/>
      <c r="K187" s="22"/>
      <c r="L187" s="34"/>
      <c r="M187" s="17"/>
      <c r="N187" s="17"/>
      <c r="O187" s="22"/>
      <c r="P187" s="16"/>
      <c r="Q187" s="49"/>
      <c r="R187" s="17"/>
      <c r="S187" s="17"/>
    </row>
    <row r="188" spans="2:19" x14ac:dyDescent="0.2">
      <c r="B188" s="17"/>
      <c r="C188" s="17"/>
      <c r="D188" s="17"/>
      <c r="E188" s="17"/>
      <c r="F188" s="17"/>
      <c r="G188" s="22"/>
      <c r="H188" s="49"/>
      <c r="I188" s="34"/>
      <c r="J188" s="22"/>
      <c r="K188" s="22"/>
      <c r="L188" s="34"/>
      <c r="M188" s="17"/>
      <c r="N188" s="17"/>
      <c r="O188" s="22"/>
      <c r="P188" s="16"/>
      <c r="Q188" s="49"/>
      <c r="R188" s="17"/>
      <c r="S188" s="17"/>
    </row>
    <row r="189" spans="2:19" x14ac:dyDescent="0.2">
      <c r="B189" s="17"/>
      <c r="C189" s="17"/>
      <c r="D189" s="17"/>
      <c r="E189" s="17"/>
      <c r="F189" s="17"/>
      <c r="G189" s="22"/>
      <c r="H189" s="49"/>
      <c r="I189" s="34"/>
      <c r="J189" s="22"/>
      <c r="K189" s="22"/>
      <c r="L189" s="34"/>
      <c r="M189" s="17"/>
      <c r="N189" s="17"/>
      <c r="O189" s="22"/>
      <c r="P189" s="16"/>
      <c r="Q189" s="49"/>
      <c r="R189" s="17"/>
      <c r="S189" s="17"/>
    </row>
    <row r="190" spans="2:19" x14ac:dyDescent="0.2">
      <c r="B190" s="17"/>
      <c r="C190" s="17"/>
      <c r="D190" s="17"/>
      <c r="E190" s="17"/>
      <c r="F190" s="17"/>
      <c r="G190" s="22"/>
      <c r="H190" s="49"/>
      <c r="I190" s="34"/>
      <c r="J190" s="22"/>
      <c r="K190" s="22"/>
      <c r="L190" s="34"/>
      <c r="M190" s="17"/>
      <c r="N190" s="17"/>
      <c r="O190" s="22"/>
      <c r="P190" s="16"/>
      <c r="Q190" s="49"/>
      <c r="R190" s="17"/>
      <c r="S190" s="17"/>
    </row>
    <row r="191" spans="2:19" x14ac:dyDescent="0.2">
      <c r="B191" s="17"/>
      <c r="C191" s="17"/>
      <c r="D191" s="17"/>
      <c r="E191" s="17"/>
      <c r="F191" s="17"/>
      <c r="G191" s="22"/>
      <c r="H191" s="49"/>
      <c r="I191" s="34"/>
      <c r="J191" s="22"/>
      <c r="K191" s="22"/>
      <c r="L191" s="34"/>
      <c r="M191" s="17"/>
      <c r="N191" s="17"/>
      <c r="O191" s="22"/>
      <c r="P191" s="16"/>
      <c r="Q191" s="49"/>
      <c r="R191" s="17"/>
      <c r="S191" s="17"/>
    </row>
    <row r="192" spans="2:19" x14ac:dyDescent="0.2">
      <c r="B192" s="17" t="s">
        <v>80</v>
      </c>
      <c r="C192" s="17" t="s">
        <v>78</v>
      </c>
      <c r="D192" s="17" t="s">
        <v>79</v>
      </c>
      <c r="E192" s="17" t="s">
        <v>115</v>
      </c>
      <c r="F192" s="17" t="s">
        <v>93</v>
      </c>
      <c r="G192" s="22" t="s">
        <v>13</v>
      </c>
      <c r="H192" s="49" t="s">
        <v>116</v>
      </c>
      <c r="I192" s="34" t="s">
        <v>47</v>
      </c>
      <c r="J192" s="22" t="s">
        <v>117</v>
      </c>
      <c r="K192" s="22" t="s">
        <v>48</v>
      </c>
      <c r="L192" s="34" t="s">
        <v>18</v>
      </c>
      <c r="M192" s="17" t="s">
        <v>118</v>
      </c>
      <c r="N192" s="17" t="s">
        <v>119</v>
      </c>
      <c r="O192" s="22" t="s">
        <v>12</v>
      </c>
      <c r="P192" s="16" t="s">
        <v>120</v>
      </c>
      <c r="Q192" s="49" t="s">
        <v>121</v>
      </c>
      <c r="R192" s="17" t="s">
        <v>122</v>
      </c>
      <c r="S192" s="17" t="s">
        <v>123</v>
      </c>
    </row>
    <row r="193" spans="2:19" x14ac:dyDescent="0.2">
      <c r="B193" s="17"/>
      <c r="C193" s="17"/>
      <c r="D193" s="17"/>
      <c r="E193" s="17"/>
      <c r="F193" s="17"/>
      <c r="G193" s="22"/>
      <c r="H193" s="49"/>
      <c r="I193" s="34"/>
      <c r="J193" s="22"/>
      <c r="K193" s="22"/>
      <c r="L193" s="34"/>
      <c r="M193" s="17"/>
      <c r="N193" s="17"/>
      <c r="O193" s="22"/>
      <c r="P193" s="16"/>
      <c r="Q193" s="49"/>
      <c r="R193" s="17"/>
      <c r="S193" s="17"/>
    </row>
    <row r="194" spans="2:19" x14ac:dyDescent="0.2">
      <c r="B194" s="17"/>
      <c r="C194" s="17"/>
      <c r="D194" s="17"/>
      <c r="E194" s="17"/>
      <c r="F194" s="17"/>
      <c r="G194" s="22"/>
      <c r="H194" s="22"/>
      <c r="I194" s="17"/>
      <c r="J194" s="22"/>
      <c r="K194" s="22"/>
      <c r="L194" s="17"/>
      <c r="M194" s="17"/>
      <c r="N194" s="17"/>
      <c r="O194" s="17"/>
      <c r="P194" s="17"/>
      <c r="Q194" s="17"/>
      <c r="R194" s="17"/>
      <c r="S194" s="17"/>
    </row>
    <row r="195" spans="2:19" x14ac:dyDescent="0.2">
      <c r="B195" s="17"/>
      <c r="C195" s="17"/>
      <c r="D195" s="17"/>
      <c r="E195" s="17"/>
      <c r="F195" s="17"/>
      <c r="G195" s="22"/>
      <c r="H195" s="22"/>
      <c r="I195" s="17"/>
      <c r="J195" s="22"/>
      <c r="K195" s="22"/>
      <c r="L195" s="17"/>
      <c r="M195" s="17"/>
      <c r="N195" s="17"/>
      <c r="O195" s="17"/>
      <c r="P195" s="17"/>
      <c r="Q195" s="17"/>
      <c r="R195" s="17"/>
      <c r="S195" s="17"/>
    </row>
    <row r="196" spans="2:19" x14ac:dyDescent="0.2">
      <c r="B196" s="17"/>
      <c r="C196" s="17"/>
      <c r="D196" s="17"/>
      <c r="E196" s="17"/>
      <c r="F196" s="17"/>
      <c r="G196" s="22"/>
      <c r="H196" s="22"/>
      <c r="I196" s="17"/>
      <c r="J196" s="22"/>
      <c r="K196" s="22"/>
      <c r="L196" s="17"/>
      <c r="M196" s="17"/>
      <c r="N196" s="17"/>
      <c r="O196" s="17"/>
      <c r="P196" s="17"/>
      <c r="Q196" s="17"/>
      <c r="R196" s="17"/>
      <c r="S196" s="17"/>
    </row>
    <row r="197" spans="2:19" x14ac:dyDescent="0.2">
      <c r="B197" s="17"/>
      <c r="C197" s="17"/>
      <c r="D197" s="17"/>
      <c r="E197" s="17"/>
      <c r="F197" s="17"/>
      <c r="G197" s="22"/>
      <c r="H197" s="22"/>
      <c r="I197" s="17"/>
      <c r="J197" s="22"/>
      <c r="K197" s="22"/>
      <c r="L197" s="17"/>
      <c r="M197" s="17"/>
      <c r="N197" s="17"/>
      <c r="O197" s="17"/>
      <c r="P197" s="17"/>
      <c r="Q197" s="17"/>
      <c r="R197" s="17"/>
      <c r="S197" s="17"/>
    </row>
    <row r="198" spans="2:19" x14ac:dyDescent="0.2">
      <c r="B198" s="17"/>
      <c r="C198" s="17"/>
      <c r="D198" s="17"/>
      <c r="E198" s="17"/>
      <c r="F198" s="17"/>
      <c r="G198" s="22"/>
      <c r="H198" s="22"/>
      <c r="I198" s="17"/>
      <c r="J198" s="22"/>
      <c r="K198" s="22"/>
      <c r="L198" s="17"/>
      <c r="M198" s="17"/>
      <c r="N198" s="17"/>
      <c r="O198" s="17"/>
      <c r="P198" s="17"/>
      <c r="Q198" s="17"/>
      <c r="R198" s="17"/>
      <c r="S198" s="17"/>
    </row>
    <row r="199" spans="2:19" x14ac:dyDescent="0.2">
      <c r="B199" s="17"/>
      <c r="C199" s="17"/>
      <c r="D199" s="17"/>
      <c r="E199" s="17"/>
      <c r="F199" s="17"/>
      <c r="G199" s="22"/>
      <c r="H199" s="22"/>
      <c r="I199" s="17"/>
      <c r="J199" s="22"/>
      <c r="K199" s="22"/>
      <c r="L199" s="17"/>
      <c r="M199" s="17"/>
      <c r="N199" s="17"/>
      <c r="O199" s="17"/>
      <c r="P199" s="17"/>
      <c r="Q199" s="17"/>
      <c r="R199" s="17"/>
      <c r="S199" s="17"/>
    </row>
    <row r="200" spans="2:19" x14ac:dyDescent="0.2">
      <c r="B200" s="17" t="s">
        <v>80</v>
      </c>
      <c r="C200" s="17" t="s">
        <v>78</v>
      </c>
      <c r="D200" s="17" t="s">
        <v>79</v>
      </c>
      <c r="E200" s="17" t="s">
        <v>115</v>
      </c>
      <c r="F200" s="17" t="s">
        <v>93</v>
      </c>
      <c r="G200" s="22" t="s">
        <v>13</v>
      </c>
      <c r="H200" s="22" t="s">
        <v>116</v>
      </c>
      <c r="I200" s="17" t="s">
        <v>47</v>
      </c>
      <c r="J200" s="22" t="s">
        <v>117</v>
      </c>
      <c r="K200" s="22" t="s">
        <v>48</v>
      </c>
      <c r="L200" s="17" t="s">
        <v>18</v>
      </c>
      <c r="M200" s="17" t="s">
        <v>118</v>
      </c>
      <c r="N200" s="17" t="s">
        <v>119</v>
      </c>
      <c r="O200" s="17" t="s">
        <v>12</v>
      </c>
      <c r="P200" s="17" t="s">
        <v>120</v>
      </c>
      <c r="Q200" s="17" t="s">
        <v>121</v>
      </c>
      <c r="R200" s="17" t="s">
        <v>122</v>
      </c>
      <c r="S200" s="17" t="s">
        <v>123</v>
      </c>
    </row>
    <row r="201" spans="2:19" x14ac:dyDescent="0.2">
      <c r="B201" s="17"/>
      <c r="C201" s="17"/>
      <c r="D201" s="17"/>
      <c r="E201" s="17"/>
      <c r="F201" s="17"/>
      <c r="G201" s="22"/>
      <c r="H201" s="22"/>
      <c r="I201" s="17"/>
      <c r="J201" s="22"/>
      <c r="K201" s="22"/>
      <c r="L201" s="17"/>
      <c r="M201" s="17"/>
      <c r="N201" s="17"/>
      <c r="O201" s="17"/>
      <c r="P201" s="17"/>
      <c r="Q201" s="17"/>
      <c r="R201" s="17"/>
      <c r="S201" s="17"/>
    </row>
  </sheetData>
  <phoneticPr fontId="12" type="noConversion"/>
  <pageMargins left="0.7" right="0.7" top="0.75" bottom="0.75" header="0.3" footer="0.3"/>
  <pageSetup scale="20" orientation="portrait"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extLst>
    <ext xmlns:x14="http://schemas.microsoft.com/office/spreadsheetml/2009/9/main" uri="{CCE6A557-97BC-4b89-ADB6-D9C93CAAB3DF}">
      <x14:dataValidations xmlns:xm="http://schemas.microsoft.com/office/excel/2006/main" count="1">
        <x14:dataValidation type="list" allowBlank="1" showInputMessage="1" showErrorMessage="1" xr:uid="{DD6981C0-1FEE-452E-BB4A-5DE0D29F20B7}">
          <x14:formula1>
            <xm:f>ValidationLists!$A$1:$A$5</xm:f>
          </x14:formula1>
          <xm:sqref>C4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9"/>
  <sheetViews>
    <sheetView workbookViewId="0">
      <selection activeCell="A2" sqref="A2"/>
    </sheetView>
  </sheetViews>
  <sheetFormatPr defaultRowHeight="15" x14ac:dyDescent="0.25"/>
  <cols>
    <col min="1" max="1" width="22.140625" style="23" bestFit="1" customWidth="1"/>
  </cols>
  <sheetData>
    <row r="1" spans="1:1" x14ac:dyDescent="0.25">
      <c r="A1" t="s">
        <v>4</v>
      </c>
    </row>
    <row r="2" spans="1:1" x14ac:dyDescent="0.25">
      <c r="A2" t="s">
        <v>1489</v>
      </c>
    </row>
    <row r="3" spans="1:1" x14ac:dyDescent="0.25">
      <c r="A3" t="s">
        <v>1493</v>
      </c>
    </row>
    <row r="4" spans="1:1" x14ac:dyDescent="0.25">
      <c r="A4" t="s">
        <v>1499</v>
      </c>
    </row>
    <row r="5" spans="1:1" x14ac:dyDescent="0.25">
      <c r="A5" t="s">
        <v>1504</v>
      </c>
    </row>
    <row r="6" spans="1:1" x14ac:dyDescent="0.25">
      <c r="A6"/>
    </row>
    <row r="7" spans="1:1" x14ac:dyDescent="0.25">
      <c r="A7"/>
    </row>
    <row r="8" spans="1:1" x14ac:dyDescent="0.25">
      <c r="A8"/>
    </row>
    <row r="9" spans="1:1" x14ac:dyDescent="0.25">
      <c r="A9"/>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64"/>
  <sheetViews>
    <sheetView workbookViewId="0">
      <selection activeCell="D12" sqref="D12"/>
    </sheetView>
  </sheetViews>
  <sheetFormatPr defaultRowHeight="15" x14ac:dyDescent="0.25"/>
  <cols>
    <col min="1" max="1" width="12" style="23" bestFit="1" customWidth="1"/>
    <col min="2" max="2" width="12.5703125" style="23" customWidth="1"/>
    <col min="3" max="3" width="32.140625" style="23" bestFit="1" customWidth="1"/>
    <col min="4" max="6" width="18.28515625" style="23" bestFit="1" customWidth="1"/>
    <col min="7" max="7" width="12.7109375" style="23" bestFit="1" customWidth="1"/>
    <col min="8" max="8" width="9" style="23" bestFit="1" customWidth="1"/>
    <col min="9" max="9" width="15.5703125" style="23" customWidth="1"/>
    <col min="10" max="10" width="14.42578125" style="23" customWidth="1"/>
    <col min="11" max="11" width="22.140625" style="23" bestFit="1" customWidth="1"/>
    <col min="12" max="12" width="11.7109375" style="23" customWidth="1"/>
  </cols>
  <sheetData>
    <row r="1" spans="1:12" x14ac:dyDescent="0.25">
      <c r="A1" t="s">
        <v>1481</v>
      </c>
      <c r="B1" t="s">
        <v>1482</v>
      </c>
      <c r="C1" t="s">
        <v>79</v>
      </c>
      <c r="D1" t="s">
        <v>91</v>
      </c>
      <c r="E1" t="s">
        <v>81</v>
      </c>
      <c r="F1" t="s">
        <v>93</v>
      </c>
      <c r="G1" t="s">
        <v>1483</v>
      </c>
      <c r="H1" t="s">
        <v>1484</v>
      </c>
      <c r="I1" t="s">
        <v>1485</v>
      </c>
      <c r="J1" t="s">
        <v>1486</v>
      </c>
      <c r="K1" t="s">
        <v>1487</v>
      </c>
      <c r="L1" t="s">
        <v>243</v>
      </c>
    </row>
    <row r="2" spans="1:12" x14ac:dyDescent="0.25">
      <c r="A2" t="s">
        <v>1488</v>
      </c>
      <c r="B2" t="s">
        <v>482</v>
      </c>
      <c r="C2" t="s">
        <v>481</v>
      </c>
      <c r="D2" t="s">
        <v>483</v>
      </c>
      <c r="E2" t="s">
        <v>262</v>
      </c>
      <c r="F2" t="s">
        <v>484</v>
      </c>
      <c r="G2">
        <v>4464912</v>
      </c>
      <c r="H2">
        <v>100</v>
      </c>
      <c r="I2">
        <v>4464912</v>
      </c>
      <c r="J2">
        <v>6.3254900000000003</v>
      </c>
      <c r="K2" t="s">
        <v>1489</v>
      </c>
      <c r="L2" t="s">
        <v>1490</v>
      </c>
    </row>
    <row r="3" spans="1:12" x14ac:dyDescent="0.25">
      <c r="A3" t="s">
        <v>1488</v>
      </c>
      <c r="B3" t="s">
        <v>486</v>
      </c>
      <c r="C3" t="s">
        <v>485</v>
      </c>
      <c r="D3" t="s">
        <v>483</v>
      </c>
      <c r="E3" t="s">
        <v>262</v>
      </c>
      <c r="F3" t="s">
        <v>484</v>
      </c>
      <c r="G3">
        <v>6700000</v>
      </c>
      <c r="H3">
        <v>100</v>
      </c>
      <c r="I3">
        <v>6700000</v>
      </c>
      <c r="J3">
        <v>7.3754900000000001</v>
      </c>
      <c r="K3" t="s">
        <v>1489</v>
      </c>
      <c r="L3" t="s">
        <v>1490</v>
      </c>
    </row>
    <row r="4" spans="1:12" x14ac:dyDescent="0.25">
      <c r="A4" t="s">
        <v>1492</v>
      </c>
      <c r="B4" t="s">
        <v>488</v>
      </c>
      <c r="C4" t="s">
        <v>487</v>
      </c>
      <c r="D4" t="s">
        <v>483</v>
      </c>
      <c r="E4" t="s">
        <v>262</v>
      </c>
      <c r="F4" t="s">
        <v>484</v>
      </c>
      <c r="G4">
        <v>300000</v>
      </c>
      <c r="H4">
        <v>100</v>
      </c>
      <c r="I4">
        <v>300000</v>
      </c>
      <c r="J4">
        <v>10.32549</v>
      </c>
      <c r="K4" t="s">
        <v>1493</v>
      </c>
      <c r="L4" t="s">
        <v>1490</v>
      </c>
    </row>
    <row r="5" spans="1:12" x14ac:dyDescent="0.25">
      <c r="A5" t="s">
        <v>1488</v>
      </c>
      <c r="B5" t="s">
        <v>266</v>
      </c>
      <c r="C5" t="s">
        <v>265</v>
      </c>
      <c r="D5" t="s">
        <v>267</v>
      </c>
      <c r="E5" t="s">
        <v>267</v>
      </c>
      <c r="F5" t="s">
        <v>1494</v>
      </c>
      <c r="G5">
        <v>-5957000</v>
      </c>
      <c r="H5">
        <v>100</v>
      </c>
      <c r="I5">
        <v>-5957000</v>
      </c>
      <c r="J5">
        <v>9.4826200000000007</v>
      </c>
      <c r="K5" t="s">
        <v>1489</v>
      </c>
      <c r="L5" t="s">
        <v>250</v>
      </c>
    </row>
    <row r="6" spans="1:12" x14ac:dyDescent="0.25">
      <c r="A6" t="s">
        <v>1488</v>
      </c>
      <c r="B6" t="s">
        <v>530</v>
      </c>
      <c r="C6" t="s">
        <v>529</v>
      </c>
      <c r="D6" t="s">
        <v>267</v>
      </c>
      <c r="E6" t="s">
        <v>531</v>
      </c>
      <c r="F6" t="s">
        <v>475</v>
      </c>
      <c r="G6">
        <v>7800000</v>
      </c>
      <c r="H6">
        <v>100</v>
      </c>
      <c r="I6">
        <v>7800000</v>
      </c>
      <c r="J6">
        <v>7.1894900000000002</v>
      </c>
      <c r="K6" t="s">
        <v>1489</v>
      </c>
      <c r="L6" t="s">
        <v>1490</v>
      </c>
    </row>
    <row r="7" spans="1:12" x14ac:dyDescent="0.25">
      <c r="A7" t="s">
        <v>1488</v>
      </c>
      <c r="B7" t="s">
        <v>295</v>
      </c>
      <c r="C7" t="s">
        <v>294</v>
      </c>
      <c r="D7" t="s">
        <v>296</v>
      </c>
      <c r="E7" t="s">
        <v>296</v>
      </c>
      <c r="F7" t="s">
        <v>1496</v>
      </c>
      <c r="G7">
        <v>-13280000</v>
      </c>
      <c r="H7">
        <v>100</v>
      </c>
      <c r="I7">
        <v>-13280000</v>
      </c>
      <c r="J7">
        <v>12.435420000000001</v>
      </c>
      <c r="K7" t="s">
        <v>1489</v>
      </c>
      <c r="L7" t="s">
        <v>250</v>
      </c>
    </row>
    <row r="8" spans="1:12" x14ac:dyDescent="0.25">
      <c r="A8" t="s">
        <v>1488</v>
      </c>
      <c r="B8" t="s">
        <v>366</v>
      </c>
      <c r="C8" t="s">
        <v>365</v>
      </c>
      <c r="D8" t="s">
        <v>296</v>
      </c>
      <c r="E8" t="s">
        <v>296</v>
      </c>
      <c r="F8" t="s">
        <v>1507</v>
      </c>
      <c r="G8">
        <v>-4000000</v>
      </c>
      <c r="H8">
        <v>100</v>
      </c>
      <c r="I8">
        <v>-4000000</v>
      </c>
      <c r="J8">
        <v>7.2263299999999999</v>
      </c>
      <c r="K8" t="s">
        <v>1489</v>
      </c>
      <c r="L8" t="s">
        <v>250</v>
      </c>
    </row>
    <row r="9" spans="1:12" x14ac:dyDescent="0.25">
      <c r="A9" t="s">
        <v>1488</v>
      </c>
      <c r="B9" t="s">
        <v>467</v>
      </c>
      <c r="C9" t="s">
        <v>466</v>
      </c>
      <c r="D9" t="s">
        <v>468</v>
      </c>
      <c r="E9" t="s">
        <v>425</v>
      </c>
      <c r="F9" t="s">
        <v>445</v>
      </c>
      <c r="G9">
        <v>9900000</v>
      </c>
      <c r="H9">
        <v>100</v>
      </c>
      <c r="I9">
        <v>9900000</v>
      </c>
      <c r="J9">
        <v>7.0241100000000003</v>
      </c>
      <c r="K9" t="s">
        <v>1489</v>
      </c>
      <c r="L9" t="s">
        <v>1490</v>
      </c>
    </row>
    <row r="10" spans="1:12" x14ac:dyDescent="0.25">
      <c r="A10" t="s">
        <v>1488</v>
      </c>
      <c r="B10" t="s">
        <v>508</v>
      </c>
      <c r="C10" t="s">
        <v>507</v>
      </c>
      <c r="D10" t="s">
        <v>468</v>
      </c>
      <c r="E10" t="s">
        <v>431</v>
      </c>
      <c r="F10" t="s">
        <v>445</v>
      </c>
      <c r="G10">
        <v>9900000</v>
      </c>
      <c r="H10">
        <v>100</v>
      </c>
      <c r="I10">
        <v>9900000</v>
      </c>
      <c r="J10">
        <v>7.0754599999999996</v>
      </c>
      <c r="K10" t="s">
        <v>1489</v>
      </c>
      <c r="L10" t="s">
        <v>1490</v>
      </c>
    </row>
    <row r="11" spans="1:12" x14ac:dyDescent="0.25">
      <c r="A11" t="s">
        <v>1492</v>
      </c>
      <c r="B11" t="s">
        <v>300</v>
      </c>
      <c r="C11" t="s">
        <v>299</v>
      </c>
      <c r="D11" t="s">
        <v>301</v>
      </c>
      <c r="E11" t="s">
        <v>301</v>
      </c>
      <c r="F11" t="s">
        <v>1502</v>
      </c>
      <c r="G11">
        <v>-250000</v>
      </c>
      <c r="H11">
        <v>100</v>
      </c>
      <c r="I11">
        <v>-250000</v>
      </c>
      <c r="J11">
        <v>11.52238</v>
      </c>
      <c r="K11" t="s">
        <v>1493</v>
      </c>
      <c r="L11" t="s">
        <v>250</v>
      </c>
    </row>
    <row r="12" spans="1:12" x14ac:dyDescent="0.25">
      <c r="A12" t="s">
        <v>1488</v>
      </c>
      <c r="B12" t="s">
        <v>478</v>
      </c>
      <c r="C12" t="s">
        <v>477</v>
      </c>
      <c r="D12" t="s">
        <v>301</v>
      </c>
      <c r="E12" t="s">
        <v>479</v>
      </c>
      <c r="F12" t="s">
        <v>480</v>
      </c>
      <c r="G12">
        <v>9900000</v>
      </c>
      <c r="H12">
        <v>100</v>
      </c>
      <c r="I12">
        <v>9900000</v>
      </c>
      <c r="J12">
        <v>7.0236599999999996</v>
      </c>
      <c r="K12" t="s">
        <v>1489</v>
      </c>
      <c r="L12" t="s">
        <v>1490</v>
      </c>
    </row>
    <row r="13" spans="1:12" x14ac:dyDescent="0.25">
      <c r="A13" t="s">
        <v>1488</v>
      </c>
      <c r="B13" t="s">
        <v>257</v>
      </c>
      <c r="C13" t="s">
        <v>256</v>
      </c>
      <c r="D13" t="s">
        <v>258</v>
      </c>
      <c r="E13" t="s">
        <v>258</v>
      </c>
      <c r="F13" t="s">
        <v>1491</v>
      </c>
      <c r="G13">
        <v>-3750000</v>
      </c>
      <c r="H13">
        <v>100</v>
      </c>
      <c r="I13">
        <v>-3750000</v>
      </c>
      <c r="J13">
        <v>8.9031699999999994</v>
      </c>
      <c r="K13" t="s">
        <v>1489</v>
      </c>
      <c r="L13" t="s">
        <v>250</v>
      </c>
    </row>
    <row r="14" spans="1:12" x14ac:dyDescent="0.25">
      <c r="A14" t="s">
        <v>1488</v>
      </c>
      <c r="B14" t="s">
        <v>292</v>
      </c>
      <c r="C14" t="s">
        <v>291</v>
      </c>
      <c r="D14" t="s">
        <v>258</v>
      </c>
      <c r="E14" t="s">
        <v>258</v>
      </c>
      <c r="F14" t="s">
        <v>1500</v>
      </c>
      <c r="G14">
        <v>-9000000</v>
      </c>
      <c r="H14">
        <v>100</v>
      </c>
      <c r="I14">
        <v>-9000000</v>
      </c>
      <c r="J14">
        <v>7.4942299999999999</v>
      </c>
      <c r="K14" t="s">
        <v>1489</v>
      </c>
      <c r="L14" t="s">
        <v>250</v>
      </c>
    </row>
    <row r="15" spans="1:12" x14ac:dyDescent="0.25">
      <c r="A15" t="s">
        <v>1488</v>
      </c>
      <c r="B15" t="s">
        <v>381</v>
      </c>
      <c r="C15" t="s">
        <v>380</v>
      </c>
      <c r="D15" t="s">
        <v>258</v>
      </c>
      <c r="E15" t="s">
        <v>258</v>
      </c>
      <c r="F15" t="s">
        <v>965</v>
      </c>
      <c r="G15">
        <v>-2667046</v>
      </c>
      <c r="H15">
        <v>100</v>
      </c>
      <c r="I15">
        <v>-2667046</v>
      </c>
      <c r="J15">
        <v>7.3060999999999998</v>
      </c>
      <c r="K15" t="s">
        <v>1489</v>
      </c>
      <c r="L15" t="s">
        <v>250</v>
      </c>
    </row>
    <row r="16" spans="1:12" x14ac:dyDescent="0.25">
      <c r="A16" t="s">
        <v>1488</v>
      </c>
      <c r="B16" t="s">
        <v>383</v>
      </c>
      <c r="C16" t="s">
        <v>382</v>
      </c>
      <c r="D16" t="s">
        <v>258</v>
      </c>
      <c r="E16" t="s">
        <v>258</v>
      </c>
      <c r="F16" t="s">
        <v>965</v>
      </c>
      <c r="G16">
        <v>-4854024</v>
      </c>
      <c r="H16">
        <v>100</v>
      </c>
      <c r="I16">
        <v>-4854024</v>
      </c>
      <c r="J16">
        <v>9.4560999999999993</v>
      </c>
      <c r="K16" t="s">
        <v>1489</v>
      </c>
      <c r="L16" t="s">
        <v>250</v>
      </c>
    </row>
    <row r="17" spans="1:12" x14ac:dyDescent="0.25">
      <c r="A17" t="s">
        <v>1498</v>
      </c>
      <c r="B17" t="s">
        <v>289</v>
      </c>
      <c r="C17" t="s">
        <v>288</v>
      </c>
      <c r="D17" t="s">
        <v>290</v>
      </c>
      <c r="E17" t="s">
        <v>290</v>
      </c>
      <c r="F17" t="s">
        <v>760</v>
      </c>
      <c r="G17">
        <v>-2168810.7918750001</v>
      </c>
      <c r="H17">
        <v>100</v>
      </c>
      <c r="I17">
        <v>-2168810.79</v>
      </c>
      <c r="J17">
        <v>6.75</v>
      </c>
      <c r="K17" t="s">
        <v>1499</v>
      </c>
      <c r="L17" t="s">
        <v>250</v>
      </c>
    </row>
    <row r="18" spans="1:12" x14ac:dyDescent="0.25">
      <c r="A18" t="s">
        <v>1503</v>
      </c>
      <c r="B18" t="s">
        <v>303</v>
      </c>
      <c r="C18" t="s">
        <v>302</v>
      </c>
      <c r="D18" t="s">
        <v>290</v>
      </c>
      <c r="E18" t="s">
        <v>290</v>
      </c>
      <c r="F18" t="s">
        <v>643</v>
      </c>
      <c r="G18">
        <v>-3895.780949</v>
      </c>
      <c r="H18">
        <v>100</v>
      </c>
      <c r="I18">
        <v>-3895.78</v>
      </c>
      <c r="J18">
        <v>4.5810000000000004</v>
      </c>
      <c r="K18" t="s">
        <v>1504</v>
      </c>
      <c r="L18" t="s">
        <v>250</v>
      </c>
    </row>
    <row r="19" spans="1:12" x14ac:dyDescent="0.25">
      <c r="A19" t="s">
        <v>1498</v>
      </c>
      <c r="B19" t="s">
        <v>311</v>
      </c>
      <c r="C19" t="s">
        <v>310</v>
      </c>
      <c r="D19" t="s">
        <v>290</v>
      </c>
      <c r="E19" t="s">
        <v>290</v>
      </c>
      <c r="F19" t="s">
        <v>190</v>
      </c>
      <c r="G19">
        <v>-1040169.75927</v>
      </c>
      <c r="H19">
        <v>100</v>
      </c>
      <c r="I19">
        <v>-1040169.76</v>
      </c>
      <c r="J19">
        <v>4.1500000000000004</v>
      </c>
      <c r="K19" t="s">
        <v>1499</v>
      </c>
      <c r="L19" t="s">
        <v>250</v>
      </c>
    </row>
    <row r="20" spans="1:12" x14ac:dyDescent="0.25">
      <c r="A20" t="s">
        <v>1488</v>
      </c>
      <c r="B20" t="s">
        <v>328</v>
      </c>
      <c r="C20" t="s">
        <v>327</v>
      </c>
      <c r="D20" t="s">
        <v>290</v>
      </c>
      <c r="E20" t="s">
        <v>290</v>
      </c>
      <c r="F20" t="s">
        <v>965</v>
      </c>
      <c r="G20">
        <v>-2500000</v>
      </c>
      <c r="H20">
        <v>100</v>
      </c>
      <c r="I20">
        <v>-2500000</v>
      </c>
      <c r="J20">
        <v>7.4061000000000003</v>
      </c>
      <c r="K20" t="s">
        <v>1489</v>
      </c>
      <c r="L20" t="s">
        <v>250</v>
      </c>
    </row>
    <row r="21" spans="1:12" x14ac:dyDescent="0.25">
      <c r="A21" t="s">
        <v>1488</v>
      </c>
      <c r="B21" t="s">
        <v>330</v>
      </c>
      <c r="C21" t="s">
        <v>329</v>
      </c>
      <c r="D21" t="s">
        <v>290</v>
      </c>
      <c r="E21" t="s">
        <v>290</v>
      </c>
      <c r="F21" t="s">
        <v>965</v>
      </c>
      <c r="G21">
        <v>-2500000</v>
      </c>
      <c r="H21">
        <v>100</v>
      </c>
      <c r="I21">
        <v>-2500000</v>
      </c>
      <c r="J21">
        <v>9.6561000000000003</v>
      </c>
      <c r="K21" t="s">
        <v>1489</v>
      </c>
      <c r="L21" t="s">
        <v>250</v>
      </c>
    </row>
    <row r="22" spans="1:12" x14ac:dyDescent="0.25">
      <c r="A22" t="s">
        <v>1498</v>
      </c>
      <c r="B22" t="s">
        <v>343</v>
      </c>
      <c r="C22" t="s">
        <v>342</v>
      </c>
      <c r="D22" t="s">
        <v>290</v>
      </c>
      <c r="E22" t="s">
        <v>290</v>
      </c>
      <c r="F22" t="s">
        <v>190</v>
      </c>
      <c r="G22">
        <v>-1386347.7517309999</v>
      </c>
      <c r="H22">
        <v>100</v>
      </c>
      <c r="I22">
        <v>-1386347.75</v>
      </c>
      <c r="J22">
        <v>4.5</v>
      </c>
      <c r="K22" t="s">
        <v>1499</v>
      </c>
      <c r="L22" t="s">
        <v>250</v>
      </c>
    </row>
    <row r="23" spans="1:12" x14ac:dyDescent="0.25">
      <c r="A23" t="s">
        <v>1498</v>
      </c>
      <c r="B23" t="s">
        <v>345</v>
      </c>
      <c r="C23" t="s">
        <v>344</v>
      </c>
      <c r="D23" t="s">
        <v>290</v>
      </c>
      <c r="E23" t="s">
        <v>290</v>
      </c>
      <c r="F23" t="s">
        <v>679</v>
      </c>
      <c r="G23">
        <v>-2996996.5755659998</v>
      </c>
      <c r="H23">
        <v>100</v>
      </c>
      <c r="I23">
        <v>-2996996.58</v>
      </c>
      <c r="J23">
        <v>4.5</v>
      </c>
      <c r="K23" t="s">
        <v>1499</v>
      </c>
      <c r="L23" t="s">
        <v>250</v>
      </c>
    </row>
    <row r="24" spans="1:12" x14ac:dyDescent="0.25">
      <c r="A24" t="s">
        <v>1498</v>
      </c>
      <c r="B24" t="s">
        <v>347</v>
      </c>
      <c r="C24" t="s">
        <v>346</v>
      </c>
      <c r="D24" t="s">
        <v>290</v>
      </c>
      <c r="E24" t="s">
        <v>290</v>
      </c>
      <c r="F24" t="s">
        <v>821</v>
      </c>
      <c r="G24">
        <v>-3163879.79226</v>
      </c>
      <c r="H24">
        <v>100</v>
      </c>
      <c r="I24">
        <v>-3163879.79</v>
      </c>
      <c r="J24">
        <v>4.5</v>
      </c>
      <c r="K24" t="s">
        <v>1499</v>
      </c>
      <c r="L24" t="s">
        <v>250</v>
      </c>
    </row>
    <row r="25" spans="1:12" x14ac:dyDescent="0.25">
      <c r="A25" t="s">
        <v>1488</v>
      </c>
      <c r="B25" t="s">
        <v>533</v>
      </c>
      <c r="C25" t="s">
        <v>532</v>
      </c>
      <c r="D25" t="s">
        <v>290</v>
      </c>
      <c r="E25" t="s">
        <v>534</v>
      </c>
      <c r="F25" t="s">
        <v>434</v>
      </c>
      <c r="G25">
        <v>3200000</v>
      </c>
      <c r="H25">
        <v>99.934899999999999</v>
      </c>
      <c r="I25">
        <v>3197916.8</v>
      </c>
      <c r="J25">
        <v>7.4977099999999997</v>
      </c>
      <c r="K25" t="s">
        <v>1489</v>
      </c>
      <c r="L25" t="s">
        <v>1490</v>
      </c>
    </row>
    <row r="26" spans="1:12" x14ac:dyDescent="0.25">
      <c r="A26" t="s">
        <v>1503</v>
      </c>
      <c r="B26" t="s">
        <v>389</v>
      </c>
      <c r="C26" t="s">
        <v>388</v>
      </c>
      <c r="D26" s="27" t="s">
        <v>290</v>
      </c>
      <c r="E26" s="27" t="s">
        <v>290</v>
      </c>
      <c r="F26" s="27" t="s">
        <v>1465</v>
      </c>
      <c r="G26">
        <v>-402229.34500500001</v>
      </c>
      <c r="H26">
        <v>100</v>
      </c>
      <c r="I26">
        <v>-402229.35</v>
      </c>
      <c r="J26">
        <v>5.125</v>
      </c>
      <c r="K26" t="s">
        <v>1504</v>
      </c>
      <c r="L26" t="s">
        <v>250</v>
      </c>
    </row>
    <row r="27" spans="1:12" x14ac:dyDescent="0.25">
      <c r="A27" t="s">
        <v>1492</v>
      </c>
      <c r="B27" t="s">
        <v>391</v>
      </c>
      <c r="C27" t="s">
        <v>189</v>
      </c>
      <c r="D27" s="27" t="s">
        <v>290</v>
      </c>
      <c r="E27" s="27" t="s">
        <v>290</v>
      </c>
      <c r="F27" s="27" t="s">
        <v>190</v>
      </c>
      <c r="G27">
        <v>15599.190925000001</v>
      </c>
      <c r="H27">
        <v>0</v>
      </c>
      <c r="I27">
        <v>15599.19</v>
      </c>
      <c r="J27">
        <v>12.57916</v>
      </c>
      <c r="K27" t="s">
        <v>1493</v>
      </c>
      <c r="L27" t="s">
        <v>250</v>
      </c>
    </row>
    <row r="28" spans="1:12" x14ac:dyDescent="0.25">
      <c r="A28" t="s">
        <v>1498</v>
      </c>
      <c r="B28" t="s">
        <v>391</v>
      </c>
      <c r="C28" t="s">
        <v>189</v>
      </c>
      <c r="D28" s="27" t="s">
        <v>290</v>
      </c>
      <c r="E28" s="27" t="s">
        <v>290</v>
      </c>
      <c r="F28" s="27" t="s">
        <v>190</v>
      </c>
      <c r="G28">
        <v>520583.55315400002</v>
      </c>
      <c r="H28">
        <v>0</v>
      </c>
      <c r="I28">
        <v>520583.55</v>
      </c>
      <c r="J28">
        <v>12.57916</v>
      </c>
      <c r="K28" t="s">
        <v>1499</v>
      </c>
      <c r="L28" t="s">
        <v>250</v>
      </c>
    </row>
    <row r="29" spans="1:12" x14ac:dyDescent="0.25">
      <c r="A29" t="s">
        <v>1488</v>
      </c>
      <c r="B29" t="s">
        <v>394</v>
      </c>
      <c r="C29" t="s">
        <v>393</v>
      </c>
      <c r="D29" s="27" t="s">
        <v>290</v>
      </c>
      <c r="E29" s="27" t="s">
        <v>290</v>
      </c>
      <c r="F29" s="27" t="s">
        <v>1248</v>
      </c>
      <c r="G29">
        <v>-8455000</v>
      </c>
      <c r="H29">
        <v>100</v>
      </c>
      <c r="I29">
        <v>-8455000</v>
      </c>
      <c r="J29">
        <v>56.554119999999998</v>
      </c>
      <c r="K29" t="s">
        <v>1489</v>
      </c>
      <c r="L29" t="s">
        <v>250</v>
      </c>
    </row>
    <row r="30" spans="1:12" x14ac:dyDescent="0.25">
      <c r="A30" t="s">
        <v>1506</v>
      </c>
      <c r="B30" t="s">
        <v>396</v>
      </c>
      <c r="C30" t="s">
        <v>395</v>
      </c>
      <c r="D30" s="27" t="s">
        <v>290</v>
      </c>
      <c r="E30" s="27" t="s">
        <v>290</v>
      </c>
      <c r="F30" s="27" t="s">
        <v>729</v>
      </c>
      <c r="G30">
        <v>-14268.740400000001</v>
      </c>
      <c r="H30">
        <v>100</v>
      </c>
      <c r="I30">
        <v>-14268.74</v>
      </c>
      <c r="J30">
        <v>3.2280000000000002</v>
      </c>
      <c r="K30" t="s">
        <v>1504</v>
      </c>
      <c r="L30" t="s">
        <v>250</v>
      </c>
    </row>
    <row r="31" spans="1:12" x14ac:dyDescent="0.25">
      <c r="A31" t="s">
        <v>1506</v>
      </c>
      <c r="B31" t="s">
        <v>398</v>
      </c>
      <c r="C31" t="s">
        <v>397</v>
      </c>
      <c r="D31" s="27" t="s">
        <v>290</v>
      </c>
      <c r="E31" s="27" t="s">
        <v>290</v>
      </c>
      <c r="F31" s="27" t="s">
        <v>729</v>
      </c>
      <c r="G31">
        <v>-5350.7248499999996</v>
      </c>
      <c r="H31">
        <v>100</v>
      </c>
      <c r="I31">
        <v>-5350.72</v>
      </c>
      <c r="J31">
        <v>4.2119999999999997</v>
      </c>
      <c r="K31" t="s">
        <v>1504</v>
      </c>
      <c r="L31" t="s">
        <v>250</v>
      </c>
    </row>
    <row r="32" spans="1:12" x14ac:dyDescent="0.25">
      <c r="A32" t="s">
        <v>1488</v>
      </c>
      <c r="B32" t="s">
        <v>429</v>
      </c>
      <c r="C32" t="s">
        <v>428</v>
      </c>
      <c r="D32" t="s">
        <v>430</v>
      </c>
      <c r="E32" t="s">
        <v>431</v>
      </c>
      <c r="F32" t="s">
        <v>107</v>
      </c>
      <c r="G32">
        <v>6600000</v>
      </c>
      <c r="H32">
        <v>100</v>
      </c>
      <c r="I32">
        <v>6600000</v>
      </c>
      <c r="J32">
        <v>7.5370600000000003</v>
      </c>
      <c r="K32" t="s">
        <v>1489</v>
      </c>
      <c r="L32" t="s">
        <v>1490</v>
      </c>
    </row>
    <row r="33" spans="1:12" x14ac:dyDescent="0.25">
      <c r="A33" t="s">
        <v>1488</v>
      </c>
      <c r="B33" t="s">
        <v>333</v>
      </c>
      <c r="C33" t="s">
        <v>137</v>
      </c>
      <c r="D33" t="s">
        <v>334</v>
      </c>
      <c r="E33" t="s">
        <v>334</v>
      </c>
      <c r="F33" t="s">
        <v>138</v>
      </c>
      <c r="G33">
        <v>-18780000</v>
      </c>
      <c r="H33">
        <v>100</v>
      </c>
      <c r="I33">
        <v>-18780000</v>
      </c>
      <c r="J33">
        <v>18.852029999999999</v>
      </c>
      <c r="K33" t="s">
        <v>1489</v>
      </c>
      <c r="L33" t="s">
        <v>250</v>
      </c>
    </row>
    <row r="34" spans="1:12" x14ac:dyDescent="0.25">
      <c r="A34" t="s">
        <v>1492</v>
      </c>
      <c r="B34" t="s">
        <v>338</v>
      </c>
      <c r="C34" t="s">
        <v>337</v>
      </c>
      <c r="D34" t="s">
        <v>334</v>
      </c>
      <c r="E34" t="s">
        <v>334</v>
      </c>
      <c r="F34" t="s">
        <v>903</v>
      </c>
      <c r="G34">
        <v>-71428.571450000003</v>
      </c>
      <c r="H34">
        <v>100</v>
      </c>
      <c r="I34">
        <v>-71428.570000000007</v>
      </c>
      <c r="J34">
        <v>10.584009999999999</v>
      </c>
      <c r="K34" t="s">
        <v>1493</v>
      </c>
      <c r="L34" t="s">
        <v>250</v>
      </c>
    </row>
    <row r="35" spans="1:12" x14ac:dyDescent="0.25">
      <c r="A35" t="s">
        <v>1488</v>
      </c>
      <c r="B35" t="s">
        <v>387</v>
      </c>
      <c r="C35" t="s">
        <v>386</v>
      </c>
      <c r="D35" t="s">
        <v>334</v>
      </c>
      <c r="E35" t="s">
        <v>334</v>
      </c>
      <c r="F35" t="s">
        <v>1094</v>
      </c>
      <c r="G35">
        <v>-11525000</v>
      </c>
      <c r="H35">
        <v>100</v>
      </c>
      <c r="I35">
        <v>-11525000</v>
      </c>
      <c r="J35">
        <v>61.048639999999999</v>
      </c>
      <c r="K35" t="s">
        <v>1489</v>
      </c>
      <c r="L35" t="s">
        <v>250</v>
      </c>
    </row>
    <row r="36" spans="1:12" x14ac:dyDescent="0.25">
      <c r="A36" t="s">
        <v>1488</v>
      </c>
      <c r="B36" t="s">
        <v>273</v>
      </c>
      <c r="C36" t="s">
        <v>272</v>
      </c>
      <c r="D36" t="s">
        <v>274</v>
      </c>
      <c r="E36" t="s">
        <v>274</v>
      </c>
      <c r="F36" t="s">
        <v>1495</v>
      </c>
      <c r="G36">
        <v>-10000000</v>
      </c>
      <c r="H36">
        <v>100</v>
      </c>
      <c r="I36">
        <v>-10000000</v>
      </c>
      <c r="J36">
        <v>9.8290000000000006</v>
      </c>
      <c r="K36" t="s">
        <v>1489</v>
      </c>
      <c r="L36" t="s">
        <v>250</v>
      </c>
    </row>
    <row r="37" spans="1:12" x14ac:dyDescent="0.25">
      <c r="A37" t="s">
        <v>1488</v>
      </c>
      <c r="B37" t="s">
        <v>325</v>
      </c>
      <c r="C37" t="s">
        <v>324</v>
      </c>
      <c r="D37" t="s">
        <v>274</v>
      </c>
      <c r="E37" t="s">
        <v>274</v>
      </c>
      <c r="F37" t="s">
        <v>1495</v>
      </c>
      <c r="G37">
        <v>-1000000</v>
      </c>
      <c r="H37">
        <v>100</v>
      </c>
      <c r="I37">
        <v>-1000000</v>
      </c>
      <c r="J37">
        <v>10.159000000000001</v>
      </c>
      <c r="K37" t="s">
        <v>1489</v>
      </c>
      <c r="L37" t="s">
        <v>250</v>
      </c>
    </row>
    <row r="38" spans="1:12" x14ac:dyDescent="0.25">
      <c r="A38" t="s">
        <v>1488</v>
      </c>
      <c r="B38" t="s">
        <v>350</v>
      </c>
      <c r="C38" t="s">
        <v>349</v>
      </c>
      <c r="D38" t="s">
        <v>274</v>
      </c>
      <c r="E38" t="s">
        <v>274</v>
      </c>
      <c r="F38" t="s">
        <v>1501</v>
      </c>
      <c r="G38">
        <v>-3500000</v>
      </c>
      <c r="H38">
        <v>100</v>
      </c>
      <c r="I38">
        <v>-3500000</v>
      </c>
      <c r="J38">
        <v>8.0223800000000001</v>
      </c>
      <c r="K38" t="s">
        <v>1489</v>
      </c>
      <c r="L38" t="s">
        <v>250</v>
      </c>
    </row>
    <row r="39" spans="1:12" x14ac:dyDescent="0.25">
      <c r="A39" t="s">
        <v>1488</v>
      </c>
      <c r="B39" t="s">
        <v>373</v>
      </c>
      <c r="C39" t="s">
        <v>372</v>
      </c>
      <c r="D39" t="s">
        <v>274</v>
      </c>
      <c r="E39" t="s">
        <v>274</v>
      </c>
      <c r="F39" t="s">
        <v>1508</v>
      </c>
      <c r="G39">
        <v>-4007000</v>
      </c>
      <c r="H39">
        <v>100</v>
      </c>
      <c r="I39">
        <v>-4007000</v>
      </c>
      <c r="J39">
        <v>54.543660000000003</v>
      </c>
      <c r="K39" t="s">
        <v>1489</v>
      </c>
      <c r="L39" t="s">
        <v>250</v>
      </c>
    </row>
    <row r="40" spans="1:12" x14ac:dyDescent="0.25">
      <c r="A40" t="s">
        <v>1498</v>
      </c>
      <c r="B40" t="s">
        <v>280</v>
      </c>
      <c r="C40" t="s">
        <v>279</v>
      </c>
      <c r="D40" t="s">
        <v>281</v>
      </c>
      <c r="E40" t="s">
        <v>281</v>
      </c>
      <c r="F40" t="s">
        <v>909</v>
      </c>
      <c r="G40">
        <v>-1784249.4582499999</v>
      </c>
      <c r="H40">
        <v>100</v>
      </c>
      <c r="I40">
        <v>-1784249.46</v>
      </c>
      <c r="J40">
        <v>4.5</v>
      </c>
      <c r="K40" t="s">
        <v>1499</v>
      </c>
      <c r="L40" t="s">
        <v>250</v>
      </c>
    </row>
    <row r="41" spans="1:12" x14ac:dyDescent="0.25">
      <c r="A41" t="s">
        <v>1498</v>
      </c>
      <c r="B41" t="s">
        <v>283</v>
      </c>
      <c r="C41" t="s">
        <v>282</v>
      </c>
      <c r="D41" t="s">
        <v>281</v>
      </c>
      <c r="E41" t="s">
        <v>281</v>
      </c>
      <c r="F41" t="s">
        <v>845</v>
      </c>
      <c r="G41">
        <v>-1661702.2785</v>
      </c>
      <c r="H41">
        <v>100</v>
      </c>
      <c r="I41">
        <v>-1661702.28</v>
      </c>
      <c r="J41">
        <v>4.5</v>
      </c>
      <c r="K41" t="s">
        <v>1499</v>
      </c>
      <c r="L41" t="s">
        <v>250</v>
      </c>
    </row>
    <row r="42" spans="1:12" x14ac:dyDescent="0.25">
      <c r="A42" t="s">
        <v>1498</v>
      </c>
      <c r="B42" t="s">
        <v>285</v>
      </c>
      <c r="C42" t="s">
        <v>284</v>
      </c>
      <c r="D42" t="s">
        <v>281</v>
      </c>
      <c r="E42" t="s">
        <v>281</v>
      </c>
      <c r="F42" t="s">
        <v>910</v>
      </c>
      <c r="G42">
        <v>-2002741.0913249999</v>
      </c>
      <c r="H42">
        <v>100</v>
      </c>
      <c r="I42">
        <v>-2002741.1</v>
      </c>
      <c r="J42">
        <v>6.75</v>
      </c>
      <c r="K42" t="s">
        <v>1499</v>
      </c>
      <c r="L42" t="s">
        <v>250</v>
      </c>
    </row>
    <row r="43" spans="1:12" x14ac:dyDescent="0.25">
      <c r="A43" t="s">
        <v>1506</v>
      </c>
      <c r="B43" t="s">
        <v>359</v>
      </c>
      <c r="C43" t="s">
        <v>358</v>
      </c>
      <c r="D43" t="s">
        <v>281</v>
      </c>
      <c r="E43" t="s">
        <v>281</v>
      </c>
      <c r="F43" t="s">
        <v>1196</v>
      </c>
      <c r="G43">
        <v>-3124.9994999999999</v>
      </c>
      <c r="H43">
        <v>100</v>
      </c>
      <c r="I43">
        <v>-3125</v>
      </c>
      <c r="J43">
        <v>3.39</v>
      </c>
      <c r="K43" t="s">
        <v>1504</v>
      </c>
      <c r="L43" t="s">
        <v>250</v>
      </c>
    </row>
    <row r="44" spans="1:12" x14ac:dyDescent="0.25">
      <c r="A44" t="s">
        <v>1506</v>
      </c>
      <c r="B44" t="s">
        <v>361</v>
      </c>
      <c r="C44" t="s">
        <v>360</v>
      </c>
      <c r="D44" t="s">
        <v>281</v>
      </c>
      <c r="E44" t="s">
        <v>281</v>
      </c>
      <c r="F44" t="s">
        <v>1201</v>
      </c>
      <c r="G44">
        <v>-937.49332500000003</v>
      </c>
      <c r="H44">
        <v>100</v>
      </c>
      <c r="I44">
        <v>-937.49</v>
      </c>
      <c r="J44">
        <v>2.8</v>
      </c>
      <c r="K44" t="s">
        <v>1504</v>
      </c>
      <c r="L44" t="s">
        <v>250</v>
      </c>
    </row>
    <row r="45" spans="1:12" x14ac:dyDescent="0.25">
      <c r="A45" t="s">
        <v>1506</v>
      </c>
      <c r="B45" t="s">
        <v>363</v>
      </c>
      <c r="C45" t="s">
        <v>362</v>
      </c>
      <c r="D45" s="23" t="s">
        <v>281</v>
      </c>
      <c r="E45" s="23" t="s">
        <v>281</v>
      </c>
      <c r="F45" s="23" t="s">
        <v>1201</v>
      </c>
      <c r="G45">
        <v>-1041.6747499999999</v>
      </c>
      <c r="H45">
        <v>100</v>
      </c>
      <c r="I45">
        <v>-1041.67</v>
      </c>
      <c r="J45">
        <v>3.26</v>
      </c>
      <c r="K45" t="s">
        <v>1504</v>
      </c>
      <c r="L45" t="s">
        <v>250</v>
      </c>
    </row>
    <row r="46" spans="1:12" x14ac:dyDescent="0.25">
      <c r="A46" t="s">
        <v>1488</v>
      </c>
      <c r="B46" t="s">
        <v>261</v>
      </c>
      <c r="C46" t="s">
        <v>260</v>
      </c>
      <c r="D46" s="23" t="s">
        <v>262</v>
      </c>
      <c r="E46" s="23" t="s">
        <v>262</v>
      </c>
      <c r="F46" s="23" t="s">
        <v>909</v>
      </c>
      <c r="G46">
        <v>-3500000</v>
      </c>
      <c r="H46">
        <v>100</v>
      </c>
      <c r="I46">
        <v>-3500000</v>
      </c>
      <c r="J46">
        <v>7.7310800000000004</v>
      </c>
      <c r="K46" t="s">
        <v>1489</v>
      </c>
      <c r="L46" t="s">
        <v>250</v>
      </c>
    </row>
    <row r="47" spans="1:12" x14ac:dyDescent="0.25">
      <c r="A47" t="s">
        <v>1488</v>
      </c>
      <c r="B47" t="s">
        <v>424</v>
      </c>
      <c r="C47" t="s">
        <v>423</v>
      </c>
      <c r="D47" s="23" t="s">
        <v>262</v>
      </c>
      <c r="E47" s="23" t="s">
        <v>425</v>
      </c>
      <c r="F47" s="23" t="s">
        <v>426</v>
      </c>
      <c r="G47">
        <v>4400000</v>
      </c>
      <c r="H47">
        <v>100</v>
      </c>
      <c r="I47">
        <v>4400000</v>
      </c>
      <c r="J47">
        <v>7.2830700000000004</v>
      </c>
      <c r="K47" t="s">
        <v>1489</v>
      </c>
      <c r="L47" t="s">
        <v>1490</v>
      </c>
    </row>
    <row r="48" spans="1:12" x14ac:dyDescent="0.25">
      <c r="A48" t="s">
        <v>1488</v>
      </c>
      <c r="B48" t="s">
        <v>314</v>
      </c>
      <c r="C48" t="s">
        <v>313</v>
      </c>
      <c r="D48" s="23" t="s">
        <v>262</v>
      </c>
      <c r="E48" s="23" t="s">
        <v>262</v>
      </c>
      <c r="F48" s="23" t="s">
        <v>512</v>
      </c>
      <c r="G48">
        <v>-4464912</v>
      </c>
      <c r="H48">
        <v>100</v>
      </c>
      <c r="I48">
        <v>-4464912</v>
      </c>
      <c r="J48">
        <v>7.9754899999999997</v>
      </c>
      <c r="K48" t="s">
        <v>1489</v>
      </c>
      <c r="L48" t="s">
        <v>250</v>
      </c>
    </row>
    <row r="49" spans="1:12" x14ac:dyDescent="0.25">
      <c r="A49" t="s">
        <v>1488</v>
      </c>
      <c r="B49" t="s">
        <v>316</v>
      </c>
      <c r="C49" t="s">
        <v>315</v>
      </c>
      <c r="D49" s="23" t="s">
        <v>262</v>
      </c>
      <c r="E49" s="23" t="s">
        <v>262</v>
      </c>
      <c r="F49" s="23" t="s">
        <v>512</v>
      </c>
      <c r="G49">
        <v>-4900000</v>
      </c>
      <c r="H49">
        <v>100</v>
      </c>
      <c r="I49">
        <v>-4900000</v>
      </c>
      <c r="J49">
        <v>10.07549</v>
      </c>
      <c r="K49" t="s">
        <v>1489</v>
      </c>
      <c r="L49" t="s">
        <v>250</v>
      </c>
    </row>
    <row r="50" spans="1:12" x14ac:dyDescent="0.25">
      <c r="A50" t="s">
        <v>1492</v>
      </c>
      <c r="B50" t="s">
        <v>353</v>
      </c>
      <c r="C50" t="s">
        <v>352</v>
      </c>
      <c r="D50" s="23" t="s">
        <v>262</v>
      </c>
      <c r="E50" s="23" t="s">
        <v>262</v>
      </c>
      <c r="F50" s="23" t="s">
        <v>1168</v>
      </c>
      <c r="G50">
        <v>-250000</v>
      </c>
      <c r="H50">
        <v>100</v>
      </c>
      <c r="I50">
        <v>-250000</v>
      </c>
      <c r="J50">
        <v>11.625489999999999</v>
      </c>
      <c r="K50" t="s">
        <v>1493</v>
      </c>
      <c r="L50" t="s">
        <v>250</v>
      </c>
    </row>
    <row r="51" spans="1:12" x14ac:dyDescent="0.25">
      <c r="A51" t="s">
        <v>1488</v>
      </c>
      <c r="B51" t="s">
        <v>355</v>
      </c>
      <c r="C51" t="s">
        <v>354</v>
      </c>
      <c r="D51" s="23" t="s">
        <v>262</v>
      </c>
      <c r="E51" s="23" t="s">
        <v>262</v>
      </c>
      <c r="F51" s="23" t="s">
        <v>1168</v>
      </c>
      <c r="G51">
        <v>-7000000</v>
      </c>
      <c r="H51">
        <v>100</v>
      </c>
      <c r="I51">
        <v>-7000000</v>
      </c>
      <c r="J51">
        <v>8.0371000000000006</v>
      </c>
      <c r="K51" t="s">
        <v>1489</v>
      </c>
      <c r="L51" t="s">
        <v>250</v>
      </c>
    </row>
    <row r="52" spans="1:12" x14ac:dyDescent="0.25">
      <c r="A52" t="s">
        <v>1488</v>
      </c>
      <c r="B52" t="s">
        <v>438</v>
      </c>
      <c r="C52" t="s">
        <v>437</v>
      </c>
      <c r="D52" s="23" t="s">
        <v>439</v>
      </c>
      <c r="E52" s="23" t="s">
        <v>440</v>
      </c>
      <c r="F52" s="23" t="s">
        <v>441</v>
      </c>
      <c r="G52">
        <v>4700000</v>
      </c>
      <c r="H52">
        <v>100</v>
      </c>
      <c r="I52">
        <v>4700000</v>
      </c>
      <c r="J52">
        <v>0</v>
      </c>
      <c r="K52" t="s">
        <v>1489</v>
      </c>
      <c r="L52" t="s">
        <v>1490</v>
      </c>
    </row>
    <row r="53" spans="1:12" x14ac:dyDescent="0.25">
      <c r="A53" t="s">
        <v>1488</v>
      </c>
      <c r="B53" t="s">
        <v>514</v>
      </c>
      <c r="C53" t="s">
        <v>513</v>
      </c>
      <c r="D53" s="23" t="s">
        <v>439</v>
      </c>
      <c r="E53" s="23" t="s">
        <v>440</v>
      </c>
      <c r="F53" s="23" t="s">
        <v>515</v>
      </c>
      <c r="G53">
        <v>6300000</v>
      </c>
      <c r="H53">
        <v>100</v>
      </c>
      <c r="I53">
        <v>6300000</v>
      </c>
      <c r="J53">
        <v>0</v>
      </c>
      <c r="K53" t="s">
        <v>1489</v>
      </c>
      <c r="L53" t="s">
        <v>1490</v>
      </c>
    </row>
    <row r="54" spans="1:12" x14ac:dyDescent="0.25">
      <c r="A54" t="s">
        <v>1488</v>
      </c>
      <c r="B54" t="s">
        <v>451</v>
      </c>
      <c r="C54" t="s">
        <v>450</v>
      </c>
      <c r="D54" s="23" t="s">
        <v>384</v>
      </c>
      <c r="E54" s="23" t="s">
        <v>452</v>
      </c>
      <c r="F54" s="23" t="s">
        <v>453</v>
      </c>
      <c r="G54">
        <v>7500000</v>
      </c>
      <c r="H54">
        <v>100</v>
      </c>
      <c r="I54">
        <v>7500000</v>
      </c>
      <c r="J54">
        <v>7.3667499999999997</v>
      </c>
      <c r="K54" t="s">
        <v>1489</v>
      </c>
      <c r="L54" t="s">
        <v>1490</v>
      </c>
    </row>
    <row r="55" spans="1:12" x14ac:dyDescent="0.25">
      <c r="A55" t="s">
        <v>1488</v>
      </c>
      <c r="B55" t="s">
        <v>471</v>
      </c>
      <c r="C55" t="s">
        <v>470</v>
      </c>
      <c r="D55" s="23" t="s">
        <v>384</v>
      </c>
      <c r="E55" s="23" t="s">
        <v>145</v>
      </c>
      <c r="F55" s="23" t="s">
        <v>419</v>
      </c>
      <c r="G55">
        <v>6114758</v>
      </c>
      <c r="H55">
        <v>100</v>
      </c>
      <c r="I55">
        <v>6114758</v>
      </c>
      <c r="J55">
        <v>6.2167700000000004</v>
      </c>
      <c r="K55" t="s">
        <v>1489</v>
      </c>
      <c r="L55" t="s">
        <v>1490</v>
      </c>
    </row>
    <row r="56" spans="1:12" x14ac:dyDescent="0.25">
      <c r="A56" t="s">
        <v>1503</v>
      </c>
      <c r="B56" t="s">
        <v>247</v>
      </c>
      <c r="C56" t="s">
        <v>246</v>
      </c>
      <c r="D56" s="23" t="s">
        <v>384</v>
      </c>
      <c r="E56" s="23" t="s">
        <v>384</v>
      </c>
      <c r="F56" s="23" t="s">
        <v>1509</v>
      </c>
      <c r="G56">
        <v>-37500</v>
      </c>
      <c r="H56">
        <v>100</v>
      </c>
      <c r="I56">
        <v>-37500</v>
      </c>
      <c r="J56">
        <v>5.2160000000000002</v>
      </c>
      <c r="K56" t="s">
        <v>1504</v>
      </c>
      <c r="L56" t="s">
        <v>250</v>
      </c>
    </row>
    <row r="57" spans="1:12" x14ac:dyDescent="0.25">
      <c r="A57" t="s">
        <v>1498</v>
      </c>
      <c r="B57" t="s">
        <v>319</v>
      </c>
      <c r="C57" t="s">
        <v>318</v>
      </c>
      <c r="D57" s="23" t="s">
        <v>320</v>
      </c>
      <c r="E57" s="23" t="s">
        <v>320</v>
      </c>
      <c r="F57" s="23" t="s">
        <v>1505</v>
      </c>
      <c r="G57">
        <v>-24690188.829999998</v>
      </c>
      <c r="H57">
        <v>100</v>
      </c>
      <c r="I57">
        <v>-24690188.84</v>
      </c>
      <c r="J57">
        <v>4.5</v>
      </c>
      <c r="K57" t="s">
        <v>1499</v>
      </c>
      <c r="L57" t="s">
        <v>250</v>
      </c>
    </row>
    <row r="58" spans="1:12" x14ac:dyDescent="0.25">
      <c r="A58" t="s">
        <v>1498</v>
      </c>
      <c r="B58" t="s">
        <v>322</v>
      </c>
      <c r="C58" t="s">
        <v>321</v>
      </c>
      <c r="D58" s="23" t="s">
        <v>320</v>
      </c>
      <c r="E58" s="23" t="s">
        <v>320</v>
      </c>
      <c r="F58" s="23" t="s">
        <v>1505</v>
      </c>
      <c r="G58">
        <v>-17000000</v>
      </c>
      <c r="H58">
        <v>100</v>
      </c>
      <c r="I58">
        <v>-17000000</v>
      </c>
      <c r="J58">
        <v>11</v>
      </c>
      <c r="K58" t="s">
        <v>1499</v>
      </c>
      <c r="L58" t="s">
        <v>250</v>
      </c>
    </row>
    <row r="59" spans="1:12" x14ac:dyDescent="0.25">
      <c r="A59" t="s">
        <v>1488</v>
      </c>
      <c r="B59" t="s">
        <v>413</v>
      </c>
      <c r="C59" t="s">
        <v>412</v>
      </c>
      <c r="D59" s="23" t="s">
        <v>414</v>
      </c>
      <c r="E59" s="23" t="s">
        <v>415</v>
      </c>
      <c r="F59" s="23" t="s">
        <v>416</v>
      </c>
      <c r="G59">
        <v>12000000</v>
      </c>
      <c r="H59">
        <v>100</v>
      </c>
      <c r="I59">
        <v>12000000</v>
      </c>
      <c r="J59">
        <v>7.3203899999999997</v>
      </c>
      <c r="K59" t="s">
        <v>1489</v>
      </c>
      <c r="L59" t="s">
        <v>1490</v>
      </c>
    </row>
    <row r="60" spans="1:12" x14ac:dyDescent="0.25">
      <c r="A60" t="s">
        <v>1488</v>
      </c>
      <c r="B60" t="s">
        <v>503</v>
      </c>
      <c r="C60" t="s">
        <v>502</v>
      </c>
      <c r="D60" s="23" t="s">
        <v>248</v>
      </c>
      <c r="E60" s="23" t="s">
        <v>504</v>
      </c>
      <c r="F60" s="23" t="s">
        <v>426</v>
      </c>
      <c r="G60">
        <v>500000</v>
      </c>
      <c r="H60">
        <v>100</v>
      </c>
      <c r="I60">
        <v>500000</v>
      </c>
      <c r="J60">
        <v>7.0993300000000001</v>
      </c>
      <c r="K60" t="s">
        <v>1489</v>
      </c>
      <c r="L60" t="s">
        <v>1490</v>
      </c>
    </row>
    <row r="61" spans="1:12" x14ac:dyDescent="0.25">
      <c r="A61" t="s">
        <v>1503</v>
      </c>
      <c r="B61" t="s">
        <v>247</v>
      </c>
      <c r="C61" t="s">
        <v>246</v>
      </c>
      <c r="D61" s="23" t="s">
        <v>248</v>
      </c>
      <c r="E61" s="23" t="s">
        <v>248</v>
      </c>
      <c r="F61" s="23" t="s">
        <v>1509</v>
      </c>
      <c r="G61">
        <v>-14100000</v>
      </c>
      <c r="H61">
        <v>100</v>
      </c>
      <c r="I61">
        <v>-14100000</v>
      </c>
      <c r="J61">
        <v>5.2160000000000002</v>
      </c>
      <c r="K61" t="s">
        <v>1504</v>
      </c>
      <c r="L61" t="s">
        <v>244</v>
      </c>
    </row>
    <row r="62" spans="1:12" x14ac:dyDescent="0.25">
      <c r="D62" s="27"/>
      <c r="E62" s="27"/>
      <c r="F62" s="27"/>
    </row>
    <row r="63" spans="1:12" x14ac:dyDescent="0.25">
      <c r="D63" s="27"/>
      <c r="E63" s="27"/>
      <c r="F63" s="27"/>
    </row>
    <row r="64" spans="1:12" x14ac:dyDescent="0.25">
      <c r="D64" s="27"/>
      <c r="E64" s="27"/>
      <c r="F64" s="27"/>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611"/>
  <sheetViews>
    <sheetView topLeftCell="K37" workbookViewId="0">
      <selection activeCell="N11" sqref="N11"/>
    </sheetView>
  </sheetViews>
  <sheetFormatPr defaultRowHeight="15" x14ac:dyDescent="0.25"/>
  <cols>
    <col min="1" max="1" width="15.140625" style="23" customWidth="1"/>
    <col min="2" max="2" width="17.140625" style="23" customWidth="1"/>
    <col min="4" max="4" width="13.5703125" style="23" customWidth="1"/>
    <col min="5" max="5" width="18.5703125" style="23" customWidth="1"/>
    <col min="6" max="6" width="17.85546875" style="23" customWidth="1"/>
    <col min="7" max="7" width="13.42578125" style="23" customWidth="1"/>
    <col min="8" max="8" width="13.5703125" style="23" customWidth="1"/>
    <col min="9" max="9" width="19.85546875" style="23" customWidth="1"/>
    <col min="10" max="10" width="16.7109375" style="23" bestFit="1" customWidth="1"/>
    <col min="13" max="13" width="16.42578125" style="23" customWidth="1"/>
    <col min="14" max="14" width="12.28515625" style="23" customWidth="1"/>
    <col min="15" max="15" width="37.7109375" style="23" bestFit="1" customWidth="1"/>
    <col min="17" max="17" width="15.28515625" style="23" customWidth="1"/>
    <col min="18" max="18" width="13" style="23" customWidth="1"/>
    <col min="19" max="19" width="15.28515625" style="23" customWidth="1"/>
  </cols>
  <sheetData>
    <row r="1" spans="1:22" x14ac:dyDescent="0.25">
      <c r="A1" t="s">
        <v>1510</v>
      </c>
      <c r="B1" t="s">
        <v>1511</v>
      </c>
      <c r="C1" t="s">
        <v>47</v>
      </c>
      <c r="D1" t="s">
        <v>1512</v>
      </c>
      <c r="E1" t="s">
        <v>1513</v>
      </c>
      <c r="F1" t="s">
        <v>1514</v>
      </c>
      <c r="G1" t="s">
        <v>1486</v>
      </c>
      <c r="H1" t="s">
        <v>79</v>
      </c>
      <c r="I1" t="s">
        <v>93</v>
      </c>
      <c r="J1" t="s">
        <v>116</v>
      </c>
      <c r="K1" t="s">
        <v>117</v>
      </c>
      <c r="L1" t="s">
        <v>1515</v>
      </c>
      <c r="M1" t="s">
        <v>1487</v>
      </c>
      <c r="N1" t="s">
        <v>1516</v>
      </c>
      <c r="O1" t="s">
        <v>1517</v>
      </c>
      <c r="P1" t="s">
        <v>12</v>
      </c>
      <c r="Q1" t="s">
        <v>121</v>
      </c>
      <c r="R1" t="s">
        <v>1518</v>
      </c>
      <c r="S1" t="s">
        <v>1519</v>
      </c>
      <c r="T1" t="s">
        <v>7</v>
      </c>
      <c r="U1" t="s">
        <v>1520</v>
      </c>
      <c r="V1" t="s">
        <v>1521</v>
      </c>
    </row>
    <row r="2" spans="1:22" x14ac:dyDescent="0.25">
      <c r="A2" t="s">
        <v>1488</v>
      </c>
      <c r="B2" t="s">
        <v>106</v>
      </c>
      <c r="C2">
        <v>9073000</v>
      </c>
      <c r="D2">
        <v>9156426.2400000002</v>
      </c>
      <c r="E2">
        <v>9073000</v>
      </c>
      <c r="F2" t="s">
        <v>154</v>
      </c>
      <c r="G2">
        <v>6.4689899999999998</v>
      </c>
      <c r="H2" t="s">
        <v>105</v>
      </c>
      <c r="I2" s="26">
        <v>50495</v>
      </c>
      <c r="J2">
        <v>215</v>
      </c>
      <c r="K2">
        <v>1</v>
      </c>
      <c r="L2">
        <v>6.4682050000000002</v>
      </c>
      <c r="M2" t="s">
        <v>1489</v>
      </c>
      <c r="N2" t="s">
        <v>106</v>
      </c>
      <c r="O2" t="s">
        <v>64</v>
      </c>
      <c r="P2">
        <v>9.1695377439999994</v>
      </c>
      <c r="Q2">
        <v>202.15609279200001</v>
      </c>
      <c r="R2">
        <v>2025</v>
      </c>
      <c r="S2"/>
      <c r="T2" t="s">
        <v>23</v>
      </c>
      <c r="U2" t="s">
        <v>32</v>
      </c>
      <c r="V2" t="s">
        <v>33</v>
      </c>
    </row>
    <row r="3" spans="1:22" x14ac:dyDescent="0.25">
      <c r="A3" t="s">
        <v>1488</v>
      </c>
      <c r="B3" t="s">
        <v>407</v>
      </c>
      <c r="C3">
        <v>10207000</v>
      </c>
      <c r="D3">
        <v>10148483.27</v>
      </c>
      <c r="E3">
        <v>10207000</v>
      </c>
      <c r="F3" t="s">
        <v>154</v>
      </c>
      <c r="G3">
        <v>7.6189900000000002</v>
      </c>
      <c r="H3" t="s">
        <v>406</v>
      </c>
      <c r="I3" s="26">
        <v>50495</v>
      </c>
      <c r="J3">
        <v>330</v>
      </c>
      <c r="K3">
        <v>1</v>
      </c>
      <c r="L3">
        <v>7.6179009999999998</v>
      </c>
      <c r="M3" t="s">
        <v>1489</v>
      </c>
      <c r="N3" t="s">
        <v>407</v>
      </c>
      <c r="O3" t="s">
        <v>64</v>
      </c>
      <c r="P3">
        <v>9.7045333360000008</v>
      </c>
      <c r="Q3">
        <v>337.95475647000001</v>
      </c>
      <c r="R3">
        <v>2025</v>
      </c>
      <c r="S3"/>
      <c r="T3" t="s">
        <v>27</v>
      </c>
      <c r="U3" t="s">
        <v>32</v>
      </c>
      <c r="V3" t="s">
        <v>37</v>
      </c>
    </row>
    <row r="4" spans="1:22" x14ac:dyDescent="0.25">
      <c r="A4" t="s">
        <v>1488</v>
      </c>
      <c r="B4" t="s">
        <v>744</v>
      </c>
      <c r="C4">
        <v>2800000</v>
      </c>
      <c r="D4">
        <v>2823270.8</v>
      </c>
      <c r="E4">
        <v>2800000</v>
      </c>
      <c r="F4" t="s">
        <v>154</v>
      </c>
      <c r="G4">
        <v>8.0754900000000003</v>
      </c>
      <c r="H4" t="s">
        <v>745</v>
      </c>
      <c r="I4" s="26">
        <v>50151</v>
      </c>
      <c r="J4">
        <v>375</v>
      </c>
      <c r="K4">
        <v>1</v>
      </c>
      <c r="L4">
        <v>8.0742600000000007</v>
      </c>
      <c r="M4" t="s">
        <v>1489</v>
      </c>
      <c r="N4" t="s">
        <v>744</v>
      </c>
      <c r="O4" t="s">
        <v>64</v>
      </c>
      <c r="P4">
        <v>8.6122414270000007</v>
      </c>
      <c r="Q4">
        <v>361.884648637</v>
      </c>
      <c r="R4">
        <v>2024</v>
      </c>
      <c r="S4"/>
      <c r="T4" t="s">
        <v>27</v>
      </c>
      <c r="U4" t="s">
        <v>32</v>
      </c>
      <c r="V4" t="s">
        <v>37</v>
      </c>
    </row>
    <row r="5" spans="1:22" x14ac:dyDescent="0.25">
      <c r="A5" t="s">
        <v>1488</v>
      </c>
      <c r="B5" t="s">
        <v>409</v>
      </c>
      <c r="C5">
        <v>5048267</v>
      </c>
      <c r="D5">
        <v>5073205.4400000004</v>
      </c>
      <c r="E5">
        <v>5048267</v>
      </c>
      <c r="F5" t="s">
        <v>154</v>
      </c>
      <c r="G5">
        <v>7.2232200000000004</v>
      </c>
      <c r="H5" t="s">
        <v>408</v>
      </c>
      <c r="I5" s="26">
        <v>50607</v>
      </c>
      <c r="J5">
        <v>290</v>
      </c>
      <c r="K5">
        <v>1</v>
      </c>
      <c r="L5">
        <v>7.2209940000000001</v>
      </c>
      <c r="M5" t="s">
        <v>1489</v>
      </c>
      <c r="N5" t="s">
        <v>409</v>
      </c>
      <c r="O5" t="s">
        <v>64</v>
      </c>
      <c r="P5">
        <v>9.6224766489999993</v>
      </c>
      <c r="Q5">
        <v>282.97730603000002</v>
      </c>
      <c r="R5">
        <v>2025</v>
      </c>
      <c r="S5"/>
      <c r="T5" t="s">
        <v>27</v>
      </c>
      <c r="U5" t="s">
        <v>32</v>
      </c>
      <c r="V5" t="s">
        <v>37</v>
      </c>
    </row>
    <row r="6" spans="1:22" x14ac:dyDescent="0.25">
      <c r="A6" t="s">
        <v>1488</v>
      </c>
      <c r="B6" t="s">
        <v>410</v>
      </c>
      <c r="C6">
        <v>12500000</v>
      </c>
      <c r="D6">
        <v>12550712.5</v>
      </c>
      <c r="E6">
        <v>12500000</v>
      </c>
      <c r="F6" t="s">
        <v>154</v>
      </c>
      <c r="G6">
        <v>7.3704599999999996</v>
      </c>
      <c r="H6" t="s">
        <v>168</v>
      </c>
      <c r="I6" s="26">
        <v>50607</v>
      </c>
      <c r="J6">
        <v>305</v>
      </c>
      <c r="K6">
        <v>1</v>
      </c>
      <c r="L6">
        <v>7.3690670000000003</v>
      </c>
      <c r="M6" t="s">
        <v>1489</v>
      </c>
      <c r="N6" t="s">
        <v>410</v>
      </c>
      <c r="O6" t="s">
        <v>64</v>
      </c>
      <c r="P6">
        <v>9.2339745929999992</v>
      </c>
      <c r="Q6">
        <v>299.109232002</v>
      </c>
      <c r="R6">
        <v>2025</v>
      </c>
      <c r="S6"/>
      <c r="T6" t="s">
        <v>27</v>
      </c>
      <c r="U6" t="s">
        <v>32</v>
      </c>
      <c r="V6" t="s">
        <v>37</v>
      </c>
    </row>
    <row r="7" spans="1:22" x14ac:dyDescent="0.25">
      <c r="A7" t="s">
        <v>1488</v>
      </c>
      <c r="B7" t="s">
        <v>746</v>
      </c>
      <c r="C7">
        <v>4000000</v>
      </c>
      <c r="D7">
        <v>4020632</v>
      </c>
      <c r="E7">
        <v>4050000</v>
      </c>
      <c r="F7" t="s">
        <v>154</v>
      </c>
      <c r="G7">
        <v>7.2319899999999997</v>
      </c>
      <c r="H7" t="s">
        <v>747</v>
      </c>
      <c r="I7" s="26">
        <v>50427</v>
      </c>
      <c r="J7">
        <v>290</v>
      </c>
      <c r="K7">
        <v>1</v>
      </c>
      <c r="L7">
        <v>2.4892699999999999</v>
      </c>
      <c r="M7" t="s">
        <v>1489</v>
      </c>
      <c r="N7" t="s">
        <v>746</v>
      </c>
      <c r="O7" t="s">
        <v>64</v>
      </c>
      <c r="P7">
        <v>9.2368901099999992</v>
      </c>
      <c r="Q7">
        <v>282.51284540400002</v>
      </c>
      <c r="R7">
        <v>2024</v>
      </c>
      <c r="S7"/>
      <c r="T7" t="s">
        <v>27</v>
      </c>
      <c r="U7" t="s">
        <v>32</v>
      </c>
      <c r="V7" t="s">
        <v>37</v>
      </c>
    </row>
    <row r="8" spans="1:22" x14ac:dyDescent="0.25">
      <c r="A8" t="s">
        <v>1488</v>
      </c>
      <c r="B8" t="s">
        <v>748</v>
      </c>
      <c r="C8">
        <v>6700000</v>
      </c>
      <c r="D8">
        <v>6712127</v>
      </c>
      <c r="E8">
        <v>6700000</v>
      </c>
      <c r="F8" t="s">
        <v>154</v>
      </c>
      <c r="G8">
        <v>6.7129099999999999</v>
      </c>
      <c r="H8" t="s">
        <v>749</v>
      </c>
      <c r="I8" s="26">
        <v>50515</v>
      </c>
      <c r="J8">
        <v>250</v>
      </c>
      <c r="K8">
        <v>1</v>
      </c>
      <c r="L8">
        <v>6.7060310000000003</v>
      </c>
      <c r="M8" t="s">
        <v>1489</v>
      </c>
      <c r="N8" t="s">
        <v>748</v>
      </c>
      <c r="O8" t="s">
        <v>64</v>
      </c>
      <c r="P8">
        <v>9.4166014429999993</v>
      </c>
      <c r="Q8">
        <v>247.36838841700001</v>
      </c>
      <c r="R8">
        <v>2025</v>
      </c>
      <c r="S8"/>
      <c r="T8" t="s">
        <v>27</v>
      </c>
      <c r="U8" t="s">
        <v>32</v>
      </c>
      <c r="V8" t="s">
        <v>33</v>
      </c>
    </row>
    <row r="9" spans="1:22" x14ac:dyDescent="0.25">
      <c r="A9" t="s">
        <v>1488</v>
      </c>
      <c r="B9" t="s">
        <v>783</v>
      </c>
      <c r="C9">
        <v>10000000</v>
      </c>
      <c r="D9">
        <v>10013290</v>
      </c>
      <c r="E9">
        <v>10000000</v>
      </c>
      <c r="F9" t="s">
        <v>577</v>
      </c>
      <c r="G9">
        <v>7.3138100000000001</v>
      </c>
      <c r="H9" t="s">
        <v>784</v>
      </c>
      <c r="I9" s="26">
        <v>49245</v>
      </c>
      <c r="J9">
        <v>300</v>
      </c>
      <c r="K9">
        <v>1</v>
      </c>
      <c r="L9">
        <v>7.312799</v>
      </c>
      <c r="M9" t="s">
        <v>1489</v>
      </c>
      <c r="N9" t="s">
        <v>783</v>
      </c>
      <c r="O9" t="s">
        <v>68</v>
      </c>
      <c r="P9">
        <v>5.7484801140000004</v>
      </c>
      <c r="Q9">
        <v>297.06337226400001</v>
      </c>
      <c r="R9">
        <v>2024</v>
      </c>
      <c r="S9"/>
      <c r="T9" t="s">
        <v>27</v>
      </c>
      <c r="U9" t="s">
        <v>24</v>
      </c>
      <c r="V9" t="s">
        <v>37</v>
      </c>
    </row>
    <row r="10" spans="1:22" x14ac:dyDescent="0.25">
      <c r="A10" t="s">
        <v>1488</v>
      </c>
      <c r="B10" t="s">
        <v>558</v>
      </c>
      <c r="C10">
        <v>450000</v>
      </c>
      <c r="D10">
        <v>451706.85</v>
      </c>
      <c r="E10">
        <v>450000</v>
      </c>
      <c r="F10" t="s">
        <v>157</v>
      </c>
      <c r="G10">
        <v>6.3819900000000001</v>
      </c>
      <c r="H10" t="s">
        <v>158</v>
      </c>
      <c r="I10" s="26">
        <v>50243</v>
      </c>
      <c r="J10">
        <v>205</v>
      </c>
      <c r="K10">
        <v>1</v>
      </c>
      <c r="L10">
        <v>6.3812220000000002</v>
      </c>
      <c r="M10" t="s">
        <v>1489</v>
      </c>
      <c r="N10" t="s">
        <v>558</v>
      </c>
      <c r="O10" t="s">
        <v>165</v>
      </c>
      <c r="P10">
        <v>8.2745265989999996</v>
      </c>
      <c r="Q10">
        <v>199.21466742600001</v>
      </c>
      <c r="R10">
        <v>2024</v>
      </c>
      <c r="S10"/>
      <c r="T10" t="s">
        <v>23</v>
      </c>
      <c r="U10" t="s">
        <v>32</v>
      </c>
      <c r="V10" t="s">
        <v>33</v>
      </c>
    </row>
    <row r="11" spans="1:22" x14ac:dyDescent="0.25">
      <c r="A11" t="s">
        <v>1488</v>
      </c>
      <c r="B11" t="s">
        <v>750</v>
      </c>
      <c r="C11">
        <v>650000</v>
      </c>
      <c r="D11">
        <v>651902.55000000005</v>
      </c>
      <c r="E11">
        <v>650000</v>
      </c>
      <c r="F11" t="s">
        <v>157</v>
      </c>
      <c r="G11">
        <v>7.3319900000000002</v>
      </c>
      <c r="H11" t="s">
        <v>751</v>
      </c>
      <c r="I11" s="26">
        <v>50243</v>
      </c>
      <c r="J11">
        <v>300</v>
      </c>
      <c r="K11">
        <v>1</v>
      </c>
      <c r="L11">
        <v>7.3309769999999999</v>
      </c>
      <c r="M11" t="s">
        <v>1489</v>
      </c>
      <c r="N11" t="s">
        <v>750</v>
      </c>
      <c r="O11" t="s">
        <v>165</v>
      </c>
      <c r="P11">
        <v>8.8400926979999994</v>
      </c>
      <c r="Q11">
        <v>295.53740008699998</v>
      </c>
      <c r="R11">
        <v>2024</v>
      </c>
      <c r="S11"/>
      <c r="T11" t="s">
        <v>27</v>
      </c>
      <c r="U11" t="s">
        <v>32</v>
      </c>
      <c r="V11" t="s">
        <v>37</v>
      </c>
    </row>
    <row r="12" spans="1:22" x14ac:dyDescent="0.25">
      <c r="A12" t="s">
        <v>1488</v>
      </c>
      <c r="B12" t="s">
        <v>559</v>
      </c>
      <c r="C12">
        <v>4000000</v>
      </c>
      <c r="D12">
        <v>4026364</v>
      </c>
      <c r="E12">
        <v>4000000</v>
      </c>
      <c r="F12" t="s">
        <v>157</v>
      </c>
      <c r="G12">
        <v>6.7254899999999997</v>
      </c>
      <c r="H12" t="s">
        <v>560</v>
      </c>
      <c r="I12" s="26">
        <v>50149</v>
      </c>
      <c r="J12">
        <v>240</v>
      </c>
      <c r="K12">
        <v>1</v>
      </c>
      <c r="L12">
        <v>6.7246889999999997</v>
      </c>
      <c r="M12" t="s">
        <v>1489</v>
      </c>
      <c r="N12" t="s">
        <v>559</v>
      </c>
      <c r="O12" t="s">
        <v>165</v>
      </c>
      <c r="P12">
        <v>8.0334814090000002</v>
      </c>
      <c r="Q12">
        <v>229.63817751600001</v>
      </c>
      <c r="R12">
        <v>2024</v>
      </c>
      <c r="S12"/>
      <c r="T12" t="s">
        <v>23</v>
      </c>
      <c r="U12" t="s">
        <v>32</v>
      </c>
      <c r="V12" t="s">
        <v>33</v>
      </c>
    </row>
    <row r="13" spans="1:22" x14ac:dyDescent="0.25">
      <c r="A13" t="s">
        <v>1488</v>
      </c>
      <c r="B13" t="s">
        <v>752</v>
      </c>
      <c r="C13">
        <v>4000000</v>
      </c>
      <c r="D13">
        <v>4035132</v>
      </c>
      <c r="E13">
        <v>4000000</v>
      </c>
      <c r="F13" t="s">
        <v>157</v>
      </c>
      <c r="G13">
        <v>7.7254899999999997</v>
      </c>
      <c r="H13" t="s">
        <v>753</v>
      </c>
      <c r="I13" s="26">
        <v>50149</v>
      </c>
      <c r="J13">
        <v>340</v>
      </c>
      <c r="K13">
        <v>1</v>
      </c>
      <c r="L13">
        <v>7.7244349999999997</v>
      </c>
      <c r="M13" t="s">
        <v>1489</v>
      </c>
      <c r="N13" t="s">
        <v>752</v>
      </c>
      <c r="O13" t="s">
        <v>165</v>
      </c>
      <c r="P13">
        <v>8.6491277780000004</v>
      </c>
      <c r="Q13">
        <v>326.44972183900001</v>
      </c>
      <c r="R13">
        <v>2024</v>
      </c>
      <c r="S13"/>
      <c r="T13" t="s">
        <v>27</v>
      </c>
      <c r="U13" t="s">
        <v>32</v>
      </c>
      <c r="V13" t="s">
        <v>37</v>
      </c>
    </row>
    <row r="14" spans="1:22" x14ac:dyDescent="0.25">
      <c r="A14" t="s">
        <v>1488</v>
      </c>
      <c r="B14" t="s">
        <v>761</v>
      </c>
      <c r="C14">
        <v>1875000</v>
      </c>
      <c r="D14">
        <v>1882241.25</v>
      </c>
      <c r="E14">
        <v>1875000</v>
      </c>
      <c r="F14" t="s">
        <v>562</v>
      </c>
      <c r="G14">
        <v>8.1291600000000006</v>
      </c>
      <c r="H14" t="s">
        <v>762</v>
      </c>
      <c r="I14" s="26">
        <v>49232</v>
      </c>
      <c r="J14">
        <v>381.161</v>
      </c>
      <c r="K14">
        <v>1</v>
      </c>
      <c r="L14">
        <v>8.2523839999999993</v>
      </c>
      <c r="M14" t="s">
        <v>1489</v>
      </c>
      <c r="N14" t="s">
        <v>761</v>
      </c>
      <c r="O14" t="s">
        <v>66</v>
      </c>
      <c r="P14">
        <v>6.3388070499999998</v>
      </c>
      <c r="Q14">
        <v>373.36840535499999</v>
      </c>
      <c r="R14">
        <v>2021</v>
      </c>
      <c r="S14"/>
      <c r="T14" t="s">
        <v>27</v>
      </c>
      <c r="U14" t="s">
        <v>28</v>
      </c>
      <c r="V14" t="s">
        <v>37</v>
      </c>
    </row>
    <row r="15" spans="1:22" x14ac:dyDescent="0.25">
      <c r="A15" t="s">
        <v>1488</v>
      </c>
      <c r="B15" t="s">
        <v>761</v>
      </c>
      <c r="C15">
        <v>110000</v>
      </c>
      <c r="D15">
        <v>110424.82</v>
      </c>
      <c r="E15">
        <v>109999.12</v>
      </c>
      <c r="F15" t="s">
        <v>562</v>
      </c>
      <c r="G15">
        <v>8.1291600000000006</v>
      </c>
      <c r="H15" t="s">
        <v>762</v>
      </c>
      <c r="I15" s="26">
        <v>49232</v>
      </c>
      <c r="J15">
        <v>381.161</v>
      </c>
      <c r="K15">
        <v>1</v>
      </c>
      <c r="L15">
        <v>8.2523839999999993</v>
      </c>
      <c r="M15" t="s">
        <v>1489</v>
      </c>
      <c r="N15" t="s">
        <v>761</v>
      </c>
      <c r="O15" t="s">
        <v>66</v>
      </c>
      <c r="P15">
        <v>6.3388070499999998</v>
      </c>
      <c r="Q15">
        <v>373.36840535499999</v>
      </c>
      <c r="R15">
        <v>2021</v>
      </c>
      <c r="S15"/>
      <c r="T15" t="s">
        <v>27</v>
      </c>
      <c r="U15" t="s">
        <v>28</v>
      </c>
      <c r="V15" t="s">
        <v>37</v>
      </c>
    </row>
    <row r="16" spans="1:22" x14ac:dyDescent="0.25">
      <c r="A16" t="s">
        <v>1488</v>
      </c>
      <c r="B16" t="s">
        <v>761</v>
      </c>
      <c r="C16">
        <v>260000</v>
      </c>
      <c r="D16">
        <v>261004.12</v>
      </c>
      <c r="E16">
        <v>259997.92</v>
      </c>
      <c r="F16" t="s">
        <v>562</v>
      </c>
      <c r="G16">
        <v>8.1291600000000006</v>
      </c>
      <c r="H16" t="s">
        <v>762</v>
      </c>
      <c r="I16" s="26">
        <v>49232</v>
      </c>
      <c r="J16">
        <v>381.161</v>
      </c>
      <c r="K16">
        <v>1</v>
      </c>
      <c r="L16">
        <v>8.2523839999999993</v>
      </c>
      <c r="M16" t="s">
        <v>1489</v>
      </c>
      <c r="N16" t="s">
        <v>761</v>
      </c>
      <c r="O16" t="s">
        <v>66</v>
      </c>
      <c r="P16">
        <v>6.3388070499999998</v>
      </c>
      <c r="Q16">
        <v>373.36840535499999</v>
      </c>
      <c r="R16">
        <v>2021</v>
      </c>
      <c r="S16"/>
      <c r="T16" t="s">
        <v>27</v>
      </c>
      <c r="U16" t="s">
        <v>28</v>
      </c>
      <c r="V16" t="s">
        <v>37</v>
      </c>
    </row>
    <row r="17" spans="1:22" x14ac:dyDescent="0.25">
      <c r="A17" t="s">
        <v>1488</v>
      </c>
      <c r="B17" t="s">
        <v>761</v>
      </c>
      <c r="C17">
        <v>370000</v>
      </c>
      <c r="D17">
        <v>371428.94</v>
      </c>
      <c r="E17">
        <v>369997.04</v>
      </c>
      <c r="F17" t="s">
        <v>562</v>
      </c>
      <c r="G17">
        <v>8.1291600000000006</v>
      </c>
      <c r="H17" t="s">
        <v>762</v>
      </c>
      <c r="I17" s="26">
        <v>49232</v>
      </c>
      <c r="J17">
        <v>381.161</v>
      </c>
      <c r="K17">
        <v>1</v>
      </c>
      <c r="L17">
        <v>8.2523839999999993</v>
      </c>
      <c r="M17" t="s">
        <v>1489</v>
      </c>
      <c r="N17" t="s">
        <v>761</v>
      </c>
      <c r="O17" t="s">
        <v>66</v>
      </c>
      <c r="P17">
        <v>6.3388070499999998</v>
      </c>
      <c r="Q17">
        <v>373.36840535499999</v>
      </c>
      <c r="R17">
        <v>2021</v>
      </c>
      <c r="S17"/>
      <c r="T17" t="s">
        <v>27</v>
      </c>
      <c r="U17" t="s">
        <v>28</v>
      </c>
      <c r="V17" t="s">
        <v>37</v>
      </c>
    </row>
    <row r="18" spans="1:22" x14ac:dyDescent="0.25">
      <c r="A18" t="s">
        <v>1488</v>
      </c>
      <c r="B18" t="s">
        <v>413</v>
      </c>
      <c r="C18">
        <v>12000000</v>
      </c>
      <c r="D18">
        <v>12045000</v>
      </c>
      <c r="E18">
        <v>12000000</v>
      </c>
      <c r="F18" t="s">
        <v>562</v>
      </c>
      <c r="G18">
        <v>7.3203899999999997</v>
      </c>
      <c r="H18" t="s">
        <v>412</v>
      </c>
      <c r="I18" s="26">
        <v>50608</v>
      </c>
      <c r="J18">
        <v>305</v>
      </c>
      <c r="K18">
        <v>1</v>
      </c>
      <c r="L18">
        <v>0</v>
      </c>
      <c r="M18" t="s">
        <v>1489</v>
      </c>
      <c r="N18" t="s">
        <v>413</v>
      </c>
      <c r="O18" t="s">
        <v>66</v>
      </c>
      <c r="P18">
        <v>0</v>
      </c>
      <c r="Q18">
        <v>298.47644213699999</v>
      </c>
      <c r="R18">
        <v>2025</v>
      </c>
      <c r="S18"/>
      <c r="T18" t="s">
        <v>27</v>
      </c>
      <c r="U18" t="s">
        <v>16</v>
      </c>
      <c r="V18" t="s">
        <v>37</v>
      </c>
    </row>
    <row r="19" spans="1:22" x14ac:dyDescent="0.25">
      <c r="A19" t="s">
        <v>1488</v>
      </c>
      <c r="B19" t="s">
        <v>561</v>
      </c>
      <c r="C19">
        <v>2500000</v>
      </c>
      <c r="D19">
        <v>2515297.5</v>
      </c>
      <c r="E19">
        <v>2500000</v>
      </c>
      <c r="F19" t="s">
        <v>562</v>
      </c>
      <c r="G19">
        <v>6.6675500000000003</v>
      </c>
      <c r="H19" t="s">
        <v>563</v>
      </c>
      <c r="I19" s="26">
        <v>50236</v>
      </c>
      <c r="J19">
        <v>235</v>
      </c>
      <c r="K19">
        <v>1</v>
      </c>
      <c r="L19">
        <v>6.6667050000000003</v>
      </c>
      <c r="M19" t="s">
        <v>1489</v>
      </c>
      <c r="N19" t="s">
        <v>561</v>
      </c>
      <c r="O19" t="s">
        <v>66</v>
      </c>
      <c r="P19">
        <v>8.1799956120000008</v>
      </c>
      <c r="Q19">
        <v>225.52068916600001</v>
      </c>
      <c r="R19">
        <v>2024</v>
      </c>
      <c r="S19"/>
      <c r="T19" t="s">
        <v>23</v>
      </c>
      <c r="U19" t="s">
        <v>32</v>
      </c>
      <c r="V19" t="s">
        <v>33</v>
      </c>
    </row>
    <row r="20" spans="1:22" x14ac:dyDescent="0.25">
      <c r="A20" t="s">
        <v>1488</v>
      </c>
      <c r="B20" t="s">
        <v>754</v>
      </c>
      <c r="C20">
        <v>2750000</v>
      </c>
      <c r="D20">
        <v>2771606.75</v>
      </c>
      <c r="E20">
        <v>2750000</v>
      </c>
      <c r="F20" t="s">
        <v>562</v>
      </c>
      <c r="G20">
        <v>7.9675500000000001</v>
      </c>
      <c r="H20" t="s">
        <v>755</v>
      </c>
      <c r="I20" s="26">
        <v>50236</v>
      </c>
      <c r="J20">
        <v>365</v>
      </c>
      <c r="K20">
        <v>1</v>
      </c>
      <c r="L20">
        <v>7.9663440000000003</v>
      </c>
      <c r="M20" t="s">
        <v>1489</v>
      </c>
      <c r="N20" t="s">
        <v>754</v>
      </c>
      <c r="O20" t="s">
        <v>66</v>
      </c>
      <c r="P20">
        <v>8.8331148559999999</v>
      </c>
      <c r="Q20">
        <v>352.91022696300001</v>
      </c>
      <c r="R20">
        <v>2024</v>
      </c>
      <c r="S20"/>
      <c r="T20" t="s">
        <v>27</v>
      </c>
      <c r="U20" t="s">
        <v>32</v>
      </c>
      <c r="V20" t="s">
        <v>37</v>
      </c>
    </row>
    <row r="21" spans="1:22" x14ac:dyDescent="0.25">
      <c r="A21" t="s">
        <v>1488</v>
      </c>
      <c r="B21" t="s">
        <v>756</v>
      </c>
      <c r="C21">
        <v>5000000</v>
      </c>
      <c r="D21">
        <v>5043145</v>
      </c>
      <c r="E21">
        <v>5000000</v>
      </c>
      <c r="F21" t="s">
        <v>562</v>
      </c>
      <c r="G21">
        <v>8.0819899999999993</v>
      </c>
      <c r="H21" t="s">
        <v>757</v>
      </c>
      <c r="I21" s="26">
        <v>50243</v>
      </c>
      <c r="J21">
        <v>375</v>
      </c>
      <c r="K21">
        <v>1</v>
      </c>
      <c r="L21">
        <v>8.0807590000000005</v>
      </c>
      <c r="M21" t="s">
        <v>1489</v>
      </c>
      <c r="N21" t="s">
        <v>756</v>
      </c>
      <c r="O21" t="s">
        <v>66</v>
      </c>
      <c r="P21">
        <v>8.7565212839999997</v>
      </c>
      <c r="Q21">
        <v>361.62832750899997</v>
      </c>
      <c r="R21">
        <v>2024</v>
      </c>
      <c r="S21"/>
      <c r="T21" t="s">
        <v>27</v>
      </c>
      <c r="U21" t="s">
        <v>32</v>
      </c>
      <c r="V21" t="s">
        <v>37</v>
      </c>
    </row>
    <row r="22" spans="1:22" x14ac:dyDescent="0.25">
      <c r="A22" t="s">
        <v>1488</v>
      </c>
      <c r="B22" t="s">
        <v>758</v>
      </c>
      <c r="C22">
        <v>5680000</v>
      </c>
      <c r="D22">
        <v>5702208.7999999998</v>
      </c>
      <c r="E22">
        <v>5680000</v>
      </c>
      <c r="F22" t="s">
        <v>562</v>
      </c>
      <c r="G22">
        <v>8.0291599999999992</v>
      </c>
      <c r="H22" t="s">
        <v>759</v>
      </c>
      <c r="I22" s="26">
        <v>49049</v>
      </c>
      <c r="J22">
        <v>371.161</v>
      </c>
      <c r="K22">
        <v>1</v>
      </c>
      <c r="L22">
        <v>8.1582589999999993</v>
      </c>
      <c r="M22" t="s">
        <v>1489</v>
      </c>
      <c r="N22" t="s">
        <v>758</v>
      </c>
      <c r="O22" t="s">
        <v>166</v>
      </c>
      <c r="P22">
        <v>6.0237551800000002</v>
      </c>
      <c r="Q22">
        <v>362.96682313100001</v>
      </c>
      <c r="R22">
        <v>2021</v>
      </c>
      <c r="S22"/>
      <c r="T22" t="s">
        <v>27</v>
      </c>
      <c r="U22" t="s">
        <v>28</v>
      </c>
      <c r="V22" t="s">
        <v>37</v>
      </c>
    </row>
    <row r="23" spans="1:22" x14ac:dyDescent="0.25">
      <c r="A23" t="s">
        <v>1488</v>
      </c>
      <c r="B23" t="s">
        <v>758</v>
      </c>
      <c r="C23">
        <v>870000</v>
      </c>
      <c r="D23">
        <v>873401.7</v>
      </c>
      <c r="E23">
        <v>867241.23</v>
      </c>
      <c r="F23" t="s">
        <v>562</v>
      </c>
      <c r="G23">
        <v>8.0291599999999992</v>
      </c>
      <c r="H23" t="s">
        <v>759</v>
      </c>
      <c r="I23" s="26">
        <v>49049</v>
      </c>
      <c r="J23">
        <v>371.161</v>
      </c>
      <c r="K23">
        <v>1</v>
      </c>
      <c r="L23">
        <v>8.1582589999999993</v>
      </c>
      <c r="M23" t="s">
        <v>1489</v>
      </c>
      <c r="N23" t="s">
        <v>758</v>
      </c>
      <c r="O23" t="s">
        <v>166</v>
      </c>
      <c r="P23">
        <v>6.0237551800000002</v>
      </c>
      <c r="Q23">
        <v>362.96682313100001</v>
      </c>
      <c r="R23">
        <v>2021</v>
      </c>
      <c r="S23"/>
      <c r="T23" t="s">
        <v>27</v>
      </c>
      <c r="U23" t="s">
        <v>28</v>
      </c>
      <c r="V23" t="s">
        <v>37</v>
      </c>
    </row>
    <row r="24" spans="1:22" x14ac:dyDescent="0.25">
      <c r="A24" t="s">
        <v>1488</v>
      </c>
      <c r="B24" t="s">
        <v>570</v>
      </c>
      <c r="C24">
        <v>9400000</v>
      </c>
      <c r="D24">
        <v>9433633.1999999993</v>
      </c>
      <c r="E24">
        <v>9400000</v>
      </c>
      <c r="F24" t="s">
        <v>571</v>
      </c>
      <c r="G24">
        <v>6.1754899999999999</v>
      </c>
      <c r="H24" t="s">
        <v>572</v>
      </c>
      <c r="I24" s="26">
        <v>50060</v>
      </c>
      <c r="J24">
        <v>185</v>
      </c>
      <c r="K24">
        <v>1</v>
      </c>
      <c r="L24">
        <v>6.1747920000000001</v>
      </c>
      <c r="M24" t="s">
        <v>1489</v>
      </c>
      <c r="N24" t="s">
        <v>570</v>
      </c>
      <c r="O24" t="s">
        <v>67</v>
      </c>
      <c r="P24">
        <v>6.6005668120000003</v>
      </c>
      <c r="Q24">
        <v>178.505259239</v>
      </c>
      <c r="R24">
        <v>2024</v>
      </c>
      <c r="S24"/>
      <c r="T24" t="s">
        <v>23</v>
      </c>
      <c r="U24" t="s">
        <v>28</v>
      </c>
      <c r="V24" t="s">
        <v>33</v>
      </c>
    </row>
    <row r="25" spans="1:22" x14ac:dyDescent="0.25">
      <c r="A25" t="s">
        <v>1488</v>
      </c>
      <c r="B25" t="s">
        <v>769</v>
      </c>
      <c r="C25">
        <v>13200000</v>
      </c>
      <c r="D25">
        <v>13217041.199999999</v>
      </c>
      <c r="E25">
        <v>13200000</v>
      </c>
      <c r="F25" t="s">
        <v>571</v>
      </c>
      <c r="G25">
        <v>7.0754900000000003</v>
      </c>
      <c r="H25" t="s">
        <v>770</v>
      </c>
      <c r="I25" s="26">
        <v>50060</v>
      </c>
      <c r="J25">
        <v>275</v>
      </c>
      <c r="K25">
        <v>1</v>
      </c>
      <c r="L25">
        <v>7.0745750000000003</v>
      </c>
      <c r="M25" t="s">
        <v>1489</v>
      </c>
      <c r="N25" t="s">
        <v>769</v>
      </c>
      <c r="O25" t="s">
        <v>67</v>
      </c>
      <c r="P25">
        <v>7.0697700780000003</v>
      </c>
      <c r="Q25">
        <v>272.62172294800001</v>
      </c>
      <c r="R25">
        <v>2024</v>
      </c>
      <c r="S25"/>
      <c r="T25" t="s">
        <v>27</v>
      </c>
      <c r="U25" t="s">
        <v>28</v>
      </c>
      <c r="V25" t="s">
        <v>37</v>
      </c>
    </row>
    <row r="26" spans="1:22" x14ac:dyDescent="0.25">
      <c r="A26" t="s">
        <v>1488</v>
      </c>
      <c r="B26" t="s">
        <v>771</v>
      </c>
      <c r="C26">
        <v>962000</v>
      </c>
      <c r="D26">
        <v>963790.28</v>
      </c>
      <c r="E26">
        <v>962000</v>
      </c>
      <c r="F26" t="s">
        <v>571</v>
      </c>
      <c r="G26">
        <v>7.0754900000000003</v>
      </c>
      <c r="H26" t="s">
        <v>772</v>
      </c>
      <c r="I26" s="26">
        <v>48599</v>
      </c>
      <c r="J26">
        <v>275</v>
      </c>
      <c r="K26">
        <v>1</v>
      </c>
      <c r="L26">
        <v>7.0745769999999997</v>
      </c>
      <c r="M26" t="s">
        <v>1489</v>
      </c>
      <c r="N26" t="s">
        <v>771</v>
      </c>
      <c r="O26" t="s">
        <v>167</v>
      </c>
      <c r="P26">
        <v>4.6776646770000001</v>
      </c>
      <c r="Q26">
        <v>270.26455466599998</v>
      </c>
      <c r="R26">
        <v>2024</v>
      </c>
      <c r="S26"/>
      <c r="T26" t="s">
        <v>27</v>
      </c>
      <c r="U26" t="s">
        <v>24</v>
      </c>
      <c r="V26" t="s">
        <v>37</v>
      </c>
    </row>
    <row r="27" spans="1:22" x14ac:dyDescent="0.25">
      <c r="A27" t="s">
        <v>1488</v>
      </c>
      <c r="B27" t="s">
        <v>773</v>
      </c>
      <c r="C27">
        <v>3750000</v>
      </c>
      <c r="D27">
        <v>3760511.25</v>
      </c>
      <c r="E27">
        <v>3750000</v>
      </c>
      <c r="F27" t="s">
        <v>571</v>
      </c>
      <c r="G27">
        <v>7.3254900000000003</v>
      </c>
      <c r="H27" t="s">
        <v>774</v>
      </c>
      <c r="I27" s="26">
        <v>50333</v>
      </c>
      <c r="J27">
        <v>300</v>
      </c>
      <c r="K27">
        <v>1</v>
      </c>
      <c r="L27">
        <v>7.3245100000000001</v>
      </c>
      <c r="M27" t="s">
        <v>1489</v>
      </c>
      <c r="N27" t="s">
        <v>773</v>
      </c>
      <c r="O27" t="s">
        <v>67</v>
      </c>
      <c r="P27">
        <v>9.1320602490000002</v>
      </c>
      <c r="Q27">
        <v>295.82525389300002</v>
      </c>
      <c r="R27">
        <v>2024</v>
      </c>
      <c r="S27"/>
      <c r="T27" t="s">
        <v>27</v>
      </c>
      <c r="U27" t="s">
        <v>32</v>
      </c>
      <c r="V27" t="s">
        <v>37</v>
      </c>
    </row>
    <row r="28" spans="1:22" x14ac:dyDescent="0.25">
      <c r="A28" t="s">
        <v>1488</v>
      </c>
      <c r="B28" t="s">
        <v>421</v>
      </c>
      <c r="C28">
        <v>4840000</v>
      </c>
      <c r="D28">
        <v>4849307.32</v>
      </c>
      <c r="E28">
        <v>4840000</v>
      </c>
      <c r="F28" t="s">
        <v>571</v>
      </c>
      <c r="G28">
        <v>7.1027300000000002</v>
      </c>
      <c r="H28" t="s">
        <v>420</v>
      </c>
      <c r="I28" s="26">
        <v>50612</v>
      </c>
      <c r="J28">
        <v>285</v>
      </c>
      <c r="L28">
        <v>7.1008339999999999</v>
      </c>
      <c r="M28" t="s">
        <v>1489</v>
      </c>
      <c r="N28" t="s">
        <v>421</v>
      </c>
      <c r="O28" t="s">
        <v>67</v>
      </c>
      <c r="P28">
        <v>9.7105043670000004</v>
      </c>
      <c r="Q28">
        <v>282.175987131</v>
      </c>
      <c r="R28">
        <v>2025</v>
      </c>
      <c r="S28"/>
      <c r="T28" t="s">
        <v>27</v>
      </c>
      <c r="U28" t="s">
        <v>32</v>
      </c>
      <c r="V28" t="s">
        <v>37</v>
      </c>
    </row>
    <row r="29" spans="1:22" x14ac:dyDescent="0.25">
      <c r="A29" t="s">
        <v>1488</v>
      </c>
      <c r="B29" t="s">
        <v>777</v>
      </c>
      <c r="C29">
        <v>10000000</v>
      </c>
      <c r="D29">
        <v>10062390</v>
      </c>
      <c r="E29">
        <v>10000000</v>
      </c>
      <c r="F29" t="s">
        <v>571</v>
      </c>
      <c r="G29">
        <v>7.7138099999999996</v>
      </c>
      <c r="H29" t="s">
        <v>778</v>
      </c>
      <c r="I29" s="26">
        <v>50156</v>
      </c>
      <c r="J29">
        <v>340</v>
      </c>
      <c r="K29">
        <v>1</v>
      </c>
      <c r="L29">
        <v>7.7127679999999996</v>
      </c>
      <c r="M29" t="s">
        <v>1489</v>
      </c>
      <c r="N29" t="s">
        <v>777</v>
      </c>
      <c r="O29" t="s">
        <v>67</v>
      </c>
      <c r="P29">
        <v>8.5484472290000006</v>
      </c>
      <c r="Q29">
        <v>330.26119481500001</v>
      </c>
      <c r="R29">
        <v>2024</v>
      </c>
      <c r="S29"/>
      <c r="T29" t="s">
        <v>27</v>
      </c>
      <c r="U29" t="s">
        <v>32</v>
      </c>
      <c r="V29" t="s">
        <v>37</v>
      </c>
    </row>
    <row r="30" spans="1:22" x14ac:dyDescent="0.25">
      <c r="A30" t="s">
        <v>1488</v>
      </c>
      <c r="B30" t="s">
        <v>781</v>
      </c>
      <c r="C30">
        <v>2600000</v>
      </c>
      <c r="D30">
        <v>2607404.7999999998</v>
      </c>
      <c r="E30">
        <v>2600000</v>
      </c>
      <c r="F30" t="s">
        <v>571</v>
      </c>
      <c r="G30">
        <v>7.8285400000000003</v>
      </c>
      <c r="H30" t="s">
        <v>782</v>
      </c>
      <c r="I30" s="26">
        <v>50606</v>
      </c>
      <c r="J30">
        <v>350</v>
      </c>
      <c r="K30">
        <v>1</v>
      </c>
      <c r="L30">
        <v>7.8234810000000001</v>
      </c>
      <c r="M30" t="s">
        <v>1489</v>
      </c>
      <c r="N30" t="s">
        <v>781</v>
      </c>
      <c r="O30" t="s">
        <v>67</v>
      </c>
      <c r="P30">
        <v>9.6992957729999993</v>
      </c>
      <c r="Q30">
        <v>345.64255368200003</v>
      </c>
      <c r="R30">
        <v>2025</v>
      </c>
      <c r="S30"/>
      <c r="T30" t="s">
        <v>27</v>
      </c>
      <c r="U30" t="s">
        <v>32</v>
      </c>
      <c r="V30" t="s">
        <v>37</v>
      </c>
    </row>
    <row r="31" spans="1:22" x14ac:dyDescent="0.25">
      <c r="A31" t="s">
        <v>1488</v>
      </c>
      <c r="B31" t="s">
        <v>574</v>
      </c>
      <c r="C31">
        <v>2300000</v>
      </c>
      <c r="D31">
        <v>2302812.9</v>
      </c>
      <c r="E31">
        <v>2300000</v>
      </c>
      <c r="F31" t="s">
        <v>571</v>
      </c>
      <c r="G31">
        <v>6.0754900000000003</v>
      </c>
      <c r="H31" t="s">
        <v>575</v>
      </c>
      <c r="I31" s="26">
        <v>50425</v>
      </c>
      <c r="J31">
        <v>175</v>
      </c>
      <c r="K31">
        <v>1</v>
      </c>
      <c r="L31">
        <v>6.0748150000000001</v>
      </c>
      <c r="M31" t="s">
        <v>1489</v>
      </c>
      <c r="N31" t="s">
        <v>574</v>
      </c>
      <c r="O31" t="s">
        <v>67</v>
      </c>
      <c r="P31">
        <v>8.7332148689999993</v>
      </c>
      <c r="Q31">
        <v>173.176592089</v>
      </c>
      <c r="R31">
        <v>2025</v>
      </c>
      <c r="S31"/>
      <c r="T31" t="s">
        <v>23</v>
      </c>
      <c r="U31" t="s">
        <v>32</v>
      </c>
      <c r="V31" t="s">
        <v>33</v>
      </c>
    </row>
    <row r="32" spans="1:22" x14ac:dyDescent="0.25">
      <c r="A32" t="s">
        <v>1488</v>
      </c>
      <c r="B32" t="s">
        <v>779</v>
      </c>
      <c r="C32">
        <v>11500000</v>
      </c>
      <c r="D32">
        <v>11530026.5</v>
      </c>
      <c r="E32">
        <v>11500000</v>
      </c>
      <c r="F32" t="s">
        <v>571</v>
      </c>
      <c r="G32">
        <v>6.9254899999999999</v>
      </c>
      <c r="H32" t="s">
        <v>780</v>
      </c>
      <c r="I32" s="26">
        <v>50425</v>
      </c>
      <c r="J32">
        <v>260</v>
      </c>
      <c r="K32">
        <v>1</v>
      </c>
      <c r="L32">
        <v>6.924614</v>
      </c>
      <c r="M32" t="s">
        <v>1489</v>
      </c>
      <c r="N32" t="s">
        <v>779</v>
      </c>
      <c r="O32" t="s">
        <v>67</v>
      </c>
      <c r="P32">
        <v>9.254495082</v>
      </c>
      <c r="Q32">
        <v>256.21663535499999</v>
      </c>
      <c r="R32">
        <v>2025</v>
      </c>
      <c r="S32"/>
      <c r="T32" t="s">
        <v>27</v>
      </c>
      <c r="U32" t="s">
        <v>32</v>
      </c>
      <c r="V32" t="s">
        <v>33</v>
      </c>
    </row>
    <row r="33" spans="1:22" x14ac:dyDescent="0.25">
      <c r="A33" t="s">
        <v>1488</v>
      </c>
      <c r="B33" t="s">
        <v>775</v>
      </c>
      <c r="C33">
        <v>7606000</v>
      </c>
      <c r="D33">
        <v>7630856.4100000001</v>
      </c>
      <c r="E33">
        <v>7606000</v>
      </c>
      <c r="F33" t="s">
        <v>571</v>
      </c>
      <c r="G33">
        <v>7.1638099999999998</v>
      </c>
      <c r="H33" t="s">
        <v>776</v>
      </c>
      <c r="I33" s="26">
        <v>50339</v>
      </c>
      <c r="J33">
        <v>285</v>
      </c>
      <c r="K33">
        <v>1</v>
      </c>
      <c r="L33">
        <v>7.162909</v>
      </c>
      <c r="M33" t="s">
        <v>1489</v>
      </c>
      <c r="N33" t="s">
        <v>775</v>
      </c>
      <c r="O33" t="s">
        <v>67</v>
      </c>
      <c r="P33">
        <v>9.0925476589999992</v>
      </c>
      <c r="Q33">
        <v>280.18418309800001</v>
      </c>
      <c r="R33">
        <v>2024</v>
      </c>
      <c r="S33"/>
      <c r="T33" t="s">
        <v>27</v>
      </c>
      <c r="U33" t="s">
        <v>32</v>
      </c>
      <c r="V33" t="s">
        <v>37</v>
      </c>
    </row>
    <row r="34" spans="1:22" x14ac:dyDescent="0.25">
      <c r="A34" t="s">
        <v>1488</v>
      </c>
      <c r="B34" t="s">
        <v>424</v>
      </c>
      <c r="C34">
        <v>4400000</v>
      </c>
      <c r="D34">
        <v>4417111.5999999996</v>
      </c>
      <c r="E34">
        <v>4400000</v>
      </c>
      <c r="F34" t="s">
        <v>577</v>
      </c>
      <c r="G34">
        <v>7.2830700000000004</v>
      </c>
      <c r="H34" t="s">
        <v>423</v>
      </c>
      <c r="I34" s="26">
        <v>50693</v>
      </c>
      <c r="J34">
        <v>300</v>
      </c>
      <c r="K34">
        <v>1</v>
      </c>
      <c r="L34">
        <v>0</v>
      </c>
      <c r="M34" t="s">
        <v>1489</v>
      </c>
      <c r="N34" t="s">
        <v>424</v>
      </c>
      <c r="O34" t="s">
        <v>68</v>
      </c>
      <c r="P34">
        <v>0</v>
      </c>
      <c r="Q34">
        <v>293.33316511300001</v>
      </c>
      <c r="R34">
        <v>2025</v>
      </c>
      <c r="S34"/>
      <c r="T34" t="s">
        <v>27</v>
      </c>
      <c r="U34" t="s">
        <v>16</v>
      </c>
      <c r="V34" t="s">
        <v>37</v>
      </c>
    </row>
    <row r="35" spans="1:22" x14ac:dyDescent="0.25">
      <c r="A35" t="s">
        <v>1488</v>
      </c>
      <c r="B35" t="s">
        <v>576</v>
      </c>
      <c r="C35">
        <v>5000000</v>
      </c>
      <c r="D35">
        <v>5006585</v>
      </c>
      <c r="E35">
        <v>5000000</v>
      </c>
      <c r="F35" t="s">
        <v>577</v>
      </c>
      <c r="G35">
        <v>6.0184600000000001</v>
      </c>
      <c r="H35" t="s">
        <v>578</v>
      </c>
      <c r="I35" s="26">
        <v>50430</v>
      </c>
      <c r="J35">
        <v>170</v>
      </c>
      <c r="K35">
        <v>1</v>
      </c>
      <c r="L35">
        <v>6.0177740000000002</v>
      </c>
      <c r="M35" t="s">
        <v>1489</v>
      </c>
      <c r="N35" t="s">
        <v>576</v>
      </c>
      <c r="O35" t="s">
        <v>68</v>
      </c>
      <c r="P35">
        <v>8.764060787</v>
      </c>
      <c r="Q35">
        <v>168.056914517</v>
      </c>
      <c r="R35">
        <v>2025</v>
      </c>
      <c r="S35"/>
      <c r="T35" t="s">
        <v>23</v>
      </c>
      <c r="U35" t="s">
        <v>32</v>
      </c>
      <c r="V35" t="s">
        <v>33</v>
      </c>
    </row>
    <row r="36" spans="1:22" x14ac:dyDescent="0.25">
      <c r="A36" t="s">
        <v>1488</v>
      </c>
      <c r="B36" t="s">
        <v>802</v>
      </c>
      <c r="C36">
        <v>5450000</v>
      </c>
      <c r="D36">
        <v>5447236.8499999996</v>
      </c>
      <c r="E36">
        <v>5450000</v>
      </c>
      <c r="F36" t="s">
        <v>577</v>
      </c>
      <c r="G36">
        <v>6.9184599999999996</v>
      </c>
      <c r="H36" t="s">
        <v>803</v>
      </c>
      <c r="I36" s="26">
        <v>50430</v>
      </c>
      <c r="J36">
        <v>260</v>
      </c>
      <c r="K36">
        <v>1</v>
      </c>
      <c r="L36">
        <v>6.917554</v>
      </c>
      <c r="M36" t="s">
        <v>1489</v>
      </c>
      <c r="N36" t="s">
        <v>802</v>
      </c>
      <c r="O36" t="s">
        <v>68</v>
      </c>
      <c r="P36">
        <v>9.2831910499999992</v>
      </c>
      <c r="Q36">
        <v>260.60747225</v>
      </c>
      <c r="R36">
        <v>2025</v>
      </c>
      <c r="S36"/>
      <c r="T36" t="s">
        <v>27</v>
      </c>
      <c r="U36" t="s">
        <v>32</v>
      </c>
      <c r="V36" t="s">
        <v>33</v>
      </c>
    </row>
    <row r="37" spans="1:22" x14ac:dyDescent="0.25">
      <c r="A37" t="s">
        <v>1488</v>
      </c>
      <c r="B37" t="s">
        <v>581</v>
      </c>
      <c r="C37">
        <v>5700000</v>
      </c>
      <c r="D37">
        <v>5717100</v>
      </c>
      <c r="E37">
        <v>5700000</v>
      </c>
      <c r="F37" t="s">
        <v>577</v>
      </c>
      <c r="G37">
        <v>6.1675500000000003</v>
      </c>
      <c r="H37" t="s">
        <v>582</v>
      </c>
      <c r="I37" s="26">
        <v>50055</v>
      </c>
      <c r="J37">
        <v>185</v>
      </c>
      <c r="K37">
        <v>1</v>
      </c>
      <c r="L37">
        <v>6.1668250000000002</v>
      </c>
      <c r="M37" t="s">
        <v>1489</v>
      </c>
      <c r="N37" t="s">
        <v>581</v>
      </c>
      <c r="O37" t="s">
        <v>68</v>
      </c>
      <c r="P37">
        <v>8.7414526759999998</v>
      </c>
      <c r="Q37">
        <v>180.638801527</v>
      </c>
      <c r="R37">
        <v>2025</v>
      </c>
      <c r="S37"/>
      <c r="T37" t="s">
        <v>23</v>
      </c>
      <c r="U37" t="s">
        <v>32</v>
      </c>
      <c r="V37" t="s">
        <v>33</v>
      </c>
    </row>
    <row r="38" spans="1:22" x14ac:dyDescent="0.25">
      <c r="A38" t="s">
        <v>1488</v>
      </c>
      <c r="B38" t="s">
        <v>810</v>
      </c>
      <c r="C38">
        <v>14400000</v>
      </c>
      <c r="D38">
        <v>14535777.6</v>
      </c>
      <c r="E38">
        <v>14400000</v>
      </c>
      <c r="F38" t="s">
        <v>577</v>
      </c>
      <c r="G38">
        <v>7.1175499999999996</v>
      </c>
      <c r="H38" t="s">
        <v>811</v>
      </c>
      <c r="I38" s="26">
        <v>50055</v>
      </c>
      <c r="J38">
        <v>280</v>
      </c>
      <c r="K38">
        <v>1</v>
      </c>
      <c r="L38">
        <v>7.1165849999999997</v>
      </c>
      <c r="M38" t="s">
        <v>1489</v>
      </c>
      <c r="N38" t="s">
        <v>810</v>
      </c>
      <c r="O38" t="s">
        <v>68</v>
      </c>
      <c r="P38">
        <v>9.2397407549999997</v>
      </c>
      <c r="Q38">
        <v>266.53895710699999</v>
      </c>
      <c r="R38">
        <v>2025</v>
      </c>
      <c r="S38"/>
      <c r="T38" t="s">
        <v>27</v>
      </c>
      <c r="U38" t="s">
        <v>32</v>
      </c>
      <c r="V38" t="s">
        <v>37</v>
      </c>
    </row>
    <row r="39" spans="1:22" x14ac:dyDescent="0.25">
      <c r="A39" t="s">
        <v>1488</v>
      </c>
      <c r="B39" t="s">
        <v>804</v>
      </c>
      <c r="C39">
        <v>2000000</v>
      </c>
      <c r="D39">
        <v>2011268</v>
      </c>
      <c r="E39">
        <v>2000000</v>
      </c>
      <c r="F39" t="s">
        <v>577</v>
      </c>
      <c r="G39">
        <v>8.81846</v>
      </c>
      <c r="H39" t="s">
        <v>805</v>
      </c>
      <c r="I39" s="26">
        <v>49607</v>
      </c>
      <c r="J39">
        <v>450</v>
      </c>
      <c r="K39">
        <v>1</v>
      </c>
      <c r="L39">
        <v>8.8169830000000005</v>
      </c>
      <c r="M39" t="s">
        <v>1489</v>
      </c>
      <c r="N39" t="s">
        <v>804</v>
      </c>
      <c r="O39" t="s">
        <v>170</v>
      </c>
      <c r="P39">
        <v>7.9824591739999997</v>
      </c>
      <c r="Q39">
        <v>440.29024374300002</v>
      </c>
      <c r="R39">
        <v>2023</v>
      </c>
      <c r="S39"/>
      <c r="T39" t="s">
        <v>27</v>
      </c>
      <c r="U39" t="s">
        <v>28</v>
      </c>
      <c r="V39" t="s">
        <v>37</v>
      </c>
    </row>
    <row r="40" spans="1:22" x14ac:dyDescent="0.25">
      <c r="A40" t="s">
        <v>1488</v>
      </c>
      <c r="B40" t="s">
        <v>808</v>
      </c>
      <c r="C40">
        <v>1000000</v>
      </c>
      <c r="D40">
        <v>1005631</v>
      </c>
      <c r="E40">
        <v>1000000</v>
      </c>
      <c r="F40" t="s">
        <v>577</v>
      </c>
      <c r="G40">
        <v>7.9175500000000003</v>
      </c>
      <c r="H40" t="s">
        <v>809</v>
      </c>
      <c r="I40" s="26">
        <v>49780</v>
      </c>
      <c r="J40">
        <v>360</v>
      </c>
      <c r="K40">
        <v>1</v>
      </c>
      <c r="L40">
        <v>7.9163540000000001</v>
      </c>
      <c r="M40" t="s">
        <v>1489</v>
      </c>
      <c r="N40" t="s">
        <v>808</v>
      </c>
      <c r="O40" t="s">
        <v>68</v>
      </c>
      <c r="P40">
        <v>8.6684641829999993</v>
      </c>
      <c r="Q40">
        <v>351.19647409100003</v>
      </c>
      <c r="R40">
        <v>2024</v>
      </c>
      <c r="S40"/>
      <c r="T40" t="s">
        <v>27</v>
      </c>
      <c r="U40" t="s">
        <v>32</v>
      </c>
      <c r="V40" t="s">
        <v>37</v>
      </c>
    </row>
    <row r="41" spans="1:22" x14ac:dyDescent="0.25">
      <c r="A41" t="s">
        <v>1488</v>
      </c>
      <c r="B41" t="s">
        <v>786</v>
      </c>
      <c r="C41">
        <v>500000</v>
      </c>
      <c r="D41">
        <v>500689</v>
      </c>
      <c r="E41">
        <v>500000</v>
      </c>
      <c r="F41" t="s">
        <v>577</v>
      </c>
      <c r="G41">
        <v>7.6840099999999998</v>
      </c>
      <c r="H41" t="s">
        <v>787</v>
      </c>
      <c r="I41" s="26">
        <v>48686</v>
      </c>
      <c r="J41">
        <v>336.161</v>
      </c>
      <c r="K41">
        <v>1</v>
      </c>
      <c r="L41">
        <v>7.7822480000000001</v>
      </c>
      <c r="M41" t="s">
        <v>1489</v>
      </c>
      <c r="N41" t="s">
        <v>786</v>
      </c>
      <c r="O41" t="s">
        <v>68</v>
      </c>
      <c r="P41">
        <v>5.1649049729999996</v>
      </c>
      <c r="Q41">
        <v>332.84788634300003</v>
      </c>
      <c r="R41">
        <v>2020</v>
      </c>
      <c r="S41"/>
      <c r="T41" t="s">
        <v>27</v>
      </c>
      <c r="U41" t="s">
        <v>24</v>
      </c>
      <c r="V41" t="s">
        <v>37</v>
      </c>
    </row>
    <row r="42" spans="1:22" x14ac:dyDescent="0.25">
      <c r="A42" t="s">
        <v>1488</v>
      </c>
      <c r="B42" t="s">
        <v>786</v>
      </c>
      <c r="C42">
        <v>10200000</v>
      </c>
      <c r="D42">
        <v>10214055.6</v>
      </c>
      <c r="E42">
        <v>10199785.800000001</v>
      </c>
      <c r="F42" t="s">
        <v>577</v>
      </c>
      <c r="G42">
        <v>7.6840099999999998</v>
      </c>
      <c r="H42" t="s">
        <v>787</v>
      </c>
      <c r="I42" s="26">
        <v>48686</v>
      </c>
      <c r="J42">
        <v>336.161</v>
      </c>
      <c r="K42">
        <v>1</v>
      </c>
      <c r="L42">
        <v>7.7822480000000001</v>
      </c>
      <c r="M42" t="s">
        <v>1489</v>
      </c>
      <c r="N42" t="s">
        <v>786</v>
      </c>
      <c r="O42" t="s">
        <v>68</v>
      </c>
      <c r="P42">
        <v>5.1649049729999996</v>
      </c>
      <c r="Q42">
        <v>332.84788634300003</v>
      </c>
      <c r="R42">
        <v>2020</v>
      </c>
      <c r="S42"/>
      <c r="T42" t="s">
        <v>27</v>
      </c>
      <c r="U42" t="s">
        <v>24</v>
      </c>
      <c r="V42" t="s">
        <v>37</v>
      </c>
    </row>
    <row r="43" spans="1:22" x14ac:dyDescent="0.25">
      <c r="A43" t="s">
        <v>1488</v>
      </c>
      <c r="B43" t="s">
        <v>786</v>
      </c>
      <c r="C43">
        <v>12150000</v>
      </c>
      <c r="D43">
        <v>12166742.699999999</v>
      </c>
      <c r="E43">
        <v>12171651.300000001</v>
      </c>
      <c r="F43" t="s">
        <v>577</v>
      </c>
      <c r="G43">
        <v>7.6840099999999998</v>
      </c>
      <c r="H43" t="s">
        <v>787</v>
      </c>
      <c r="I43" s="26">
        <v>48686</v>
      </c>
      <c r="J43">
        <v>336.161</v>
      </c>
      <c r="K43">
        <v>1</v>
      </c>
      <c r="L43">
        <v>7.7822480000000001</v>
      </c>
      <c r="M43" t="s">
        <v>1489</v>
      </c>
      <c r="N43" t="s">
        <v>786</v>
      </c>
      <c r="O43" t="s">
        <v>68</v>
      </c>
      <c r="P43">
        <v>5.1649049729999996</v>
      </c>
      <c r="Q43">
        <v>332.84788634300003</v>
      </c>
      <c r="R43">
        <v>2020</v>
      </c>
      <c r="S43"/>
      <c r="T43" t="s">
        <v>27</v>
      </c>
      <c r="U43" t="s">
        <v>24</v>
      </c>
      <c r="V43" t="s">
        <v>37</v>
      </c>
    </row>
    <row r="44" spans="1:22" x14ac:dyDescent="0.25">
      <c r="A44" t="s">
        <v>1488</v>
      </c>
      <c r="B44" t="s">
        <v>790</v>
      </c>
      <c r="C44">
        <v>484000</v>
      </c>
      <c r="D44">
        <v>484024.2</v>
      </c>
      <c r="E44">
        <v>484000</v>
      </c>
      <c r="F44" t="s">
        <v>577</v>
      </c>
      <c r="G44">
        <v>7.9791600000000003</v>
      </c>
      <c r="H44" t="s">
        <v>791</v>
      </c>
      <c r="I44" s="26">
        <v>49049</v>
      </c>
      <c r="J44">
        <v>366.161</v>
      </c>
      <c r="K44">
        <v>1</v>
      </c>
      <c r="L44">
        <v>8.0511110000000006</v>
      </c>
      <c r="M44" t="s">
        <v>1489</v>
      </c>
      <c r="N44" t="s">
        <v>790</v>
      </c>
      <c r="O44" t="s">
        <v>68</v>
      </c>
      <c r="P44">
        <v>5.7848788879999997</v>
      </c>
      <c r="Q44"/>
      <c r="R44">
        <v>2021</v>
      </c>
      <c r="S44"/>
      <c r="T44" t="s">
        <v>27</v>
      </c>
      <c r="U44" t="s">
        <v>24</v>
      </c>
      <c r="V44" t="s">
        <v>37</v>
      </c>
    </row>
    <row r="45" spans="1:22" x14ac:dyDescent="0.25">
      <c r="A45" t="s">
        <v>1488</v>
      </c>
      <c r="B45" t="s">
        <v>790</v>
      </c>
      <c r="C45">
        <v>5808000</v>
      </c>
      <c r="D45">
        <v>5808290.4000000004</v>
      </c>
      <c r="E45">
        <v>5808000</v>
      </c>
      <c r="F45" t="s">
        <v>577</v>
      </c>
      <c r="G45">
        <v>7.9791600000000003</v>
      </c>
      <c r="H45" t="s">
        <v>791</v>
      </c>
      <c r="I45" s="26">
        <v>49049</v>
      </c>
      <c r="J45">
        <v>366.161</v>
      </c>
      <c r="K45">
        <v>1</v>
      </c>
      <c r="L45">
        <v>8.0511110000000006</v>
      </c>
      <c r="M45" t="s">
        <v>1489</v>
      </c>
      <c r="N45" t="s">
        <v>790</v>
      </c>
      <c r="O45" t="s">
        <v>68</v>
      </c>
      <c r="P45">
        <v>5.7848788879999997</v>
      </c>
      <c r="Q45"/>
      <c r="R45">
        <v>2021</v>
      </c>
      <c r="S45"/>
      <c r="T45" t="s">
        <v>27</v>
      </c>
      <c r="U45" t="s">
        <v>24</v>
      </c>
      <c r="V45" t="s">
        <v>37</v>
      </c>
    </row>
    <row r="46" spans="1:22" x14ac:dyDescent="0.25">
      <c r="A46" t="s">
        <v>1488</v>
      </c>
      <c r="B46" t="s">
        <v>790</v>
      </c>
      <c r="C46">
        <v>1450000</v>
      </c>
      <c r="D46">
        <v>1450072.5</v>
      </c>
      <c r="E46">
        <v>1458082.3</v>
      </c>
      <c r="F46" t="s">
        <v>577</v>
      </c>
      <c r="G46">
        <v>7.9791600000000003</v>
      </c>
      <c r="H46" t="s">
        <v>791</v>
      </c>
      <c r="I46" s="26">
        <v>49049</v>
      </c>
      <c r="J46">
        <v>366.161</v>
      </c>
      <c r="K46">
        <v>1</v>
      </c>
      <c r="L46">
        <v>8.0511110000000006</v>
      </c>
      <c r="M46" t="s">
        <v>1489</v>
      </c>
      <c r="N46" t="s">
        <v>790</v>
      </c>
      <c r="O46" t="s">
        <v>68</v>
      </c>
      <c r="P46">
        <v>5.7848788879999997</v>
      </c>
      <c r="Q46"/>
      <c r="R46">
        <v>2021</v>
      </c>
      <c r="S46"/>
      <c r="T46" t="s">
        <v>27</v>
      </c>
      <c r="U46" t="s">
        <v>24</v>
      </c>
      <c r="V46" t="s">
        <v>37</v>
      </c>
    </row>
    <row r="47" spans="1:22" x14ac:dyDescent="0.25">
      <c r="A47" t="s">
        <v>1488</v>
      </c>
      <c r="B47" t="s">
        <v>790</v>
      </c>
      <c r="C47">
        <v>3250000</v>
      </c>
      <c r="D47">
        <v>3250162.5</v>
      </c>
      <c r="E47">
        <v>3271168.81</v>
      </c>
      <c r="F47" t="s">
        <v>577</v>
      </c>
      <c r="G47">
        <v>7.9791600000000003</v>
      </c>
      <c r="H47" t="s">
        <v>791</v>
      </c>
      <c r="I47" s="26">
        <v>49049</v>
      </c>
      <c r="J47">
        <v>366.161</v>
      </c>
      <c r="K47">
        <v>1</v>
      </c>
      <c r="L47">
        <v>8.0511110000000006</v>
      </c>
      <c r="M47" t="s">
        <v>1489</v>
      </c>
      <c r="N47" t="s">
        <v>790</v>
      </c>
      <c r="O47" t="s">
        <v>68</v>
      </c>
      <c r="P47">
        <v>5.7848788879999997</v>
      </c>
      <c r="Q47"/>
      <c r="R47">
        <v>2021</v>
      </c>
      <c r="S47"/>
      <c r="T47" t="s">
        <v>27</v>
      </c>
      <c r="U47" t="s">
        <v>24</v>
      </c>
      <c r="V47" t="s">
        <v>37</v>
      </c>
    </row>
    <row r="48" spans="1:22" x14ac:dyDescent="0.25">
      <c r="A48" t="s">
        <v>1488</v>
      </c>
      <c r="B48" t="s">
        <v>790</v>
      </c>
      <c r="C48">
        <v>4700000</v>
      </c>
      <c r="D48">
        <v>4700235</v>
      </c>
      <c r="E48">
        <v>4719277.92</v>
      </c>
      <c r="F48" t="s">
        <v>577</v>
      </c>
      <c r="G48">
        <v>7.9791600000000003</v>
      </c>
      <c r="H48" t="s">
        <v>791</v>
      </c>
      <c r="I48" s="26">
        <v>49049</v>
      </c>
      <c r="J48">
        <v>366.161</v>
      </c>
      <c r="K48">
        <v>1</v>
      </c>
      <c r="L48">
        <v>8.0511110000000006</v>
      </c>
      <c r="M48" t="s">
        <v>1489</v>
      </c>
      <c r="N48" t="s">
        <v>790</v>
      </c>
      <c r="O48" t="s">
        <v>68</v>
      </c>
      <c r="P48">
        <v>5.7848788879999997</v>
      </c>
      <c r="Q48"/>
      <c r="R48">
        <v>2021</v>
      </c>
      <c r="S48"/>
      <c r="T48" t="s">
        <v>27</v>
      </c>
      <c r="U48" t="s">
        <v>24</v>
      </c>
      <c r="V48" t="s">
        <v>37</v>
      </c>
    </row>
    <row r="49" spans="1:22" x14ac:dyDescent="0.25">
      <c r="A49" t="s">
        <v>1488</v>
      </c>
      <c r="B49" t="s">
        <v>788</v>
      </c>
      <c r="C49">
        <v>18000000</v>
      </c>
      <c r="D49">
        <v>18172332</v>
      </c>
      <c r="E49">
        <v>18000000</v>
      </c>
      <c r="F49" t="s">
        <v>577</v>
      </c>
      <c r="G49">
        <v>7.3175499999999998</v>
      </c>
      <c r="H49" t="s">
        <v>789</v>
      </c>
      <c r="I49" s="26">
        <v>50420</v>
      </c>
      <c r="J49">
        <v>300</v>
      </c>
      <c r="K49">
        <v>1</v>
      </c>
      <c r="L49">
        <v>7.3165339999999999</v>
      </c>
      <c r="M49" t="s">
        <v>1489</v>
      </c>
      <c r="N49" t="s">
        <v>788</v>
      </c>
      <c r="O49" t="s">
        <v>68</v>
      </c>
      <c r="P49">
        <v>9.246522637</v>
      </c>
      <c r="Q49">
        <v>286.215967842</v>
      </c>
      <c r="R49">
        <v>2024</v>
      </c>
      <c r="S49"/>
      <c r="T49" t="s">
        <v>27</v>
      </c>
      <c r="U49" t="s">
        <v>32</v>
      </c>
      <c r="V49" t="s">
        <v>37</v>
      </c>
    </row>
    <row r="50" spans="1:22" x14ac:dyDescent="0.25">
      <c r="A50" t="s">
        <v>1488</v>
      </c>
      <c r="B50" t="s">
        <v>796</v>
      </c>
      <c r="C50">
        <v>387000</v>
      </c>
      <c r="D50">
        <v>388631.21</v>
      </c>
      <c r="E50">
        <v>387000</v>
      </c>
      <c r="F50" t="s">
        <v>577</v>
      </c>
      <c r="G50">
        <v>7.7300700000000004</v>
      </c>
      <c r="H50" t="s">
        <v>797</v>
      </c>
      <c r="I50" s="26">
        <v>49059</v>
      </c>
      <c r="J50">
        <v>341.161</v>
      </c>
      <c r="K50">
        <v>1</v>
      </c>
      <c r="L50">
        <v>7.8424990000000001</v>
      </c>
      <c r="M50" t="s">
        <v>1489</v>
      </c>
      <c r="N50" t="s">
        <v>796</v>
      </c>
      <c r="O50" t="s">
        <v>68</v>
      </c>
      <c r="P50">
        <v>5.8614029460000001</v>
      </c>
      <c r="Q50">
        <v>332.193811251</v>
      </c>
      <c r="R50">
        <v>2021</v>
      </c>
      <c r="S50"/>
      <c r="T50" t="s">
        <v>27</v>
      </c>
      <c r="U50" t="s">
        <v>24</v>
      </c>
      <c r="V50" t="s">
        <v>37</v>
      </c>
    </row>
    <row r="51" spans="1:22" x14ac:dyDescent="0.25">
      <c r="A51" t="s">
        <v>1488</v>
      </c>
      <c r="B51" t="s">
        <v>796</v>
      </c>
      <c r="C51">
        <v>4650000</v>
      </c>
      <c r="D51">
        <v>4669599.75</v>
      </c>
      <c r="E51">
        <v>4650000</v>
      </c>
      <c r="F51" t="s">
        <v>577</v>
      </c>
      <c r="G51">
        <v>7.7300700000000004</v>
      </c>
      <c r="H51" t="s">
        <v>797</v>
      </c>
      <c r="I51" s="26">
        <v>49059</v>
      </c>
      <c r="J51">
        <v>341.161</v>
      </c>
      <c r="K51">
        <v>1</v>
      </c>
      <c r="L51">
        <v>7.8424990000000001</v>
      </c>
      <c r="M51" t="s">
        <v>1489</v>
      </c>
      <c r="N51" t="s">
        <v>796</v>
      </c>
      <c r="O51" t="s">
        <v>68</v>
      </c>
      <c r="P51">
        <v>5.8614029460000001</v>
      </c>
      <c r="Q51">
        <v>332.193811251</v>
      </c>
      <c r="R51">
        <v>2021</v>
      </c>
      <c r="S51"/>
      <c r="T51" t="s">
        <v>27</v>
      </c>
      <c r="U51" t="s">
        <v>24</v>
      </c>
      <c r="V51" t="s">
        <v>37</v>
      </c>
    </row>
    <row r="52" spans="1:22" x14ac:dyDescent="0.25">
      <c r="A52" t="s">
        <v>1488</v>
      </c>
      <c r="B52" t="s">
        <v>796</v>
      </c>
      <c r="C52">
        <v>570000</v>
      </c>
      <c r="D52">
        <v>572402.55000000005</v>
      </c>
      <c r="E52">
        <v>571179.32999999996</v>
      </c>
      <c r="F52" t="s">
        <v>577</v>
      </c>
      <c r="G52">
        <v>7.7300700000000004</v>
      </c>
      <c r="H52" t="s">
        <v>797</v>
      </c>
      <c r="I52" s="26">
        <v>49059</v>
      </c>
      <c r="J52">
        <v>341.161</v>
      </c>
      <c r="K52">
        <v>1</v>
      </c>
      <c r="L52">
        <v>7.8424990000000001</v>
      </c>
      <c r="M52" t="s">
        <v>1489</v>
      </c>
      <c r="N52" t="s">
        <v>796</v>
      </c>
      <c r="O52" t="s">
        <v>68</v>
      </c>
      <c r="P52">
        <v>5.8614029460000001</v>
      </c>
      <c r="Q52">
        <v>332.193811251</v>
      </c>
      <c r="R52">
        <v>2021</v>
      </c>
      <c r="S52"/>
      <c r="T52" t="s">
        <v>27</v>
      </c>
      <c r="U52" t="s">
        <v>24</v>
      </c>
      <c r="V52" t="s">
        <v>37</v>
      </c>
    </row>
    <row r="53" spans="1:22" x14ac:dyDescent="0.25">
      <c r="A53" t="s">
        <v>1488</v>
      </c>
      <c r="B53" t="s">
        <v>794</v>
      </c>
      <c r="C53">
        <v>11112500</v>
      </c>
      <c r="D53">
        <v>11154471.91</v>
      </c>
      <c r="E53">
        <v>11112500</v>
      </c>
      <c r="F53" t="s">
        <v>577</v>
      </c>
      <c r="G53">
        <v>7.1684599999999996</v>
      </c>
      <c r="H53" t="s">
        <v>795</v>
      </c>
      <c r="I53" s="26">
        <v>50430</v>
      </c>
      <c r="J53">
        <v>285</v>
      </c>
      <c r="K53">
        <v>1</v>
      </c>
      <c r="L53">
        <v>7.1674870000000004</v>
      </c>
      <c r="M53" t="s">
        <v>1489</v>
      </c>
      <c r="N53" t="s">
        <v>794</v>
      </c>
      <c r="O53" t="s">
        <v>68</v>
      </c>
      <c r="P53">
        <v>9.2682575049999993</v>
      </c>
      <c r="Q53">
        <v>279.52014735099999</v>
      </c>
      <c r="R53">
        <v>2025</v>
      </c>
      <c r="S53"/>
      <c r="T53" t="s">
        <v>27</v>
      </c>
      <c r="U53" t="s">
        <v>32</v>
      </c>
      <c r="V53" t="s">
        <v>37</v>
      </c>
    </row>
    <row r="54" spans="1:22" x14ac:dyDescent="0.25">
      <c r="A54" t="s">
        <v>1488</v>
      </c>
      <c r="B54" t="s">
        <v>798</v>
      </c>
      <c r="C54">
        <v>2000000</v>
      </c>
      <c r="D54">
        <v>2016986</v>
      </c>
      <c r="E54">
        <v>2000000</v>
      </c>
      <c r="F54" t="s">
        <v>577</v>
      </c>
      <c r="G54">
        <v>8.2254900000000006</v>
      </c>
      <c r="H54" t="s">
        <v>799</v>
      </c>
      <c r="I54" s="26">
        <v>50150</v>
      </c>
      <c r="J54">
        <v>390</v>
      </c>
      <c r="K54">
        <v>1</v>
      </c>
      <c r="L54">
        <v>8.2242560000000005</v>
      </c>
      <c r="M54" t="s">
        <v>1489</v>
      </c>
      <c r="N54" t="s">
        <v>798</v>
      </c>
      <c r="O54" t="s">
        <v>68</v>
      </c>
      <c r="P54">
        <v>8.6960655219999996</v>
      </c>
      <c r="Q54">
        <v>376.67665521700002</v>
      </c>
      <c r="R54">
        <v>2024</v>
      </c>
      <c r="S54"/>
      <c r="T54" t="s">
        <v>27</v>
      </c>
      <c r="U54" t="s">
        <v>32</v>
      </c>
      <c r="V54" t="s">
        <v>37</v>
      </c>
    </row>
    <row r="55" spans="1:22" x14ac:dyDescent="0.25">
      <c r="A55" t="s">
        <v>1488</v>
      </c>
      <c r="B55" t="s">
        <v>792</v>
      </c>
      <c r="C55">
        <v>10006985</v>
      </c>
      <c r="D55">
        <v>10090753.470000001</v>
      </c>
      <c r="E55">
        <v>10006985</v>
      </c>
      <c r="F55" t="s">
        <v>577</v>
      </c>
      <c r="G55">
        <v>7.4675500000000001</v>
      </c>
      <c r="H55" t="s">
        <v>793</v>
      </c>
      <c r="I55" s="26">
        <v>50328</v>
      </c>
      <c r="J55">
        <v>315</v>
      </c>
      <c r="K55">
        <v>1</v>
      </c>
      <c r="L55">
        <v>7.4664910000000004</v>
      </c>
      <c r="M55" t="s">
        <v>1489</v>
      </c>
      <c r="N55" t="s">
        <v>792</v>
      </c>
      <c r="O55" t="s">
        <v>68</v>
      </c>
      <c r="P55">
        <v>8.6515573440000004</v>
      </c>
      <c r="Q55">
        <v>302.22790723100002</v>
      </c>
      <c r="R55">
        <v>2024</v>
      </c>
      <c r="S55"/>
      <c r="T55" t="s">
        <v>27</v>
      </c>
      <c r="U55" t="s">
        <v>32</v>
      </c>
      <c r="V55" t="s">
        <v>37</v>
      </c>
    </row>
    <row r="56" spans="1:22" x14ac:dyDescent="0.25">
      <c r="A56" t="s">
        <v>1488</v>
      </c>
      <c r="B56" t="s">
        <v>800</v>
      </c>
      <c r="C56">
        <v>4725000</v>
      </c>
      <c r="D56">
        <v>4761821.93</v>
      </c>
      <c r="E56">
        <v>4725000</v>
      </c>
      <c r="F56" t="s">
        <v>577</v>
      </c>
      <c r="G56">
        <v>9.31846</v>
      </c>
      <c r="H56" t="s">
        <v>801</v>
      </c>
      <c r="I56" s="26">
        <v>49881</v>
      </c>
      <c r="J56">
        <v>500</v>
      </c>
      <c r="K56">
        <v>1</v>
      </c>
      <c r="L56">
        <v>9.3168150000000001</v>
      </c>
      <c r="M56" t="s">
        <v>1489</v>
      </c>
      <c r="N56" t="s">
        <v>800</v>
      </c>
      <c r="O56" t="s">
        <v>68</v>
      </c>
      <c r="P56">
        <v>7.6701939509999999</v>
      </c>
      <c r="Q56">
        <v>485.99715747699997</v>
      </c>
      <c r="R56">
        <v>2023</v>
      </c>
      <c r="S56"/>
      <c r="T56" t="s">
        <v>27</v>
      </c>
      <c r="U56" t="s">
        <v>28</v>
      </c>
      <c r="V56" t="s">
        <v>37</v>
      </c>
    </row>
    <row r="57" spans="1:22" x14ac:dyDescent="0.25">
      <c r="A57" t="s">
        <v>1488</v>
      </c>
      <c r="B57" t="s">
        <v>579</v>
      </c>
      <c r="C57">
        <v>1000000</v>
      </c>
      <c r="D57">
        <v>1005684</v>
      </c>
      <c r="E57">
        <v>1000000</v>
      </c>
      <c r="F57" t="s">
        <v>577</v>
      </c>
      <c r="G57">
        <v>7.4175500000000003</v>
      </c>
      <c r="H57" t="s">
        <v>580</v>
      </c>
      <c r="I57" s="26">
        <v>49963</v>
      </c>
      <c r="J57">
        <v>310</v>
      </c>
      <c r="K57">
        <v>1</v>
      </c>
      <c r="L57">
        <v>7.4165020000000004</v>
      </c>
      <c r="M57" t="s">
        <v>1489</v>
      </c>
      <c r="N57" t="s">
        <v>579</v>
      </c>
      <c r="O57" t="s">
        <v>68</v>
      </c>
      <c r="P57">
        <v>7.3271128210000001</v>
      </c>
      <c r="Q57">
        <v>300.137485529</v>
      </c>
      <c r="R57">
        <v>2023</v>
      </c>
      <c r="S57"/>
      <c r="T57" t="s">
        <v>23</v>
      </c>
      <c r="U57" t="s">
        <v>28</v>
      </c>
      <c r="V57" t="s">
        <v>37</v>
      </c>
    </row>
    <row r="58" spans="1:22" x14ac:dyDescent="0.25">
      <c r="A58" t="s">
        <v>1488</v>
      </c>
      <c r="B58" t="s">
        <v>806</v>
      </c>
      <c r="C58">
        <v>1000000</v>
      </c>
      <c r="D58">
        <v>1008484</v>
      </c>
      <c r="E58">
        <v>980000</v>
      </c>
      <c r="F58" t="s">
        <v>577</v>
      </c>
      <c r="G58">
        <v>8.9975500000000004</v>
      </c>
      <c r="H58" t="s">
        <v>807</v>
      </c>
      <c r="I58" s="26">
        <v>49963</v>
      </c>
      <c r="J58">
        <v>468</v>
      </c>
      <c r="K58">
        <v>1</v>
      </c>
      <c r="L58">
        <v>9.3713949999999997</v>
      </c>
      <c r="M58" t="s">
        <v>1489</v>
      </c>
      <c r="N58" t="s">
        <v>806</v>
      </c>
      <c r="O58" t="s">
        <v>68</v>
      </c>
      <c r="P58">
        <v>7.9490822019999996</v>
      </c>
      <c r="Q58">
        <v>453.36464827100002</v>
      </c>
      <c r="R58">
        <v>2023</v>
      </c>
      <c r="S58"/>
      <c r="T58" t="s">
        <v>27</v>
      </c>
      <c r="U58" t="s">
        <v>28</v>
      </c>
      <c r="V58" t="s">
        <v>37</v>
      </c>
    </row>
    <row r="59" spans="1:22" x14ac:dyDescent="0.25">
      <c r="A59" t="s">
        <v>1488</v>
      </c>
      <c r="B59" t="s">
        <v>583</v>
      </c>
      <c r="C59">
        <v>10000000</v>
      </c>
      <c r="D59">
        <v>10039000</v>
      </c>
      <c r="E59">
        <v>10000000</v>
      </c>
      <c r="F59" t="s">
        <v>577</v>
      </c>
      <c r="G59">
        <v>6.1686899999999998</v>
      </c>
      <c r="H59" t="s">
        <v>584</v>
      </c>
      <c r="I59" s="26">
        <v>50429</v>
      </c>
      <c r="J59">
        <v>185</v>
      </c>
      <c r="K59">
        <v>1</v>
      </c>
      <c r="L59">
        <v>6.1679680000000001</v>
      </c>
      <c r="M59" t="s">
        <v>1489</v>
      </c>
      <c r="N59" t="s">
        <v>583</v>
      </c>
      <c r="O59" t="s">
        <v>68</v>
      </c>
      <c r="P59">
        <v>8.6883225379999995</v>
      </c>
      <c r="Q59">
        <v>179.33428810999999</v>
      </c>
      <c r="R59">
        <v>2025</v>
      </c>
      <c r="S59"/>
      <c r="T59" t="s">
        <v>23</v>
      </c>
      <c r="U59" t="s">
        <v>32</v>
      </c>
      <c r="V59" t="s">
        <v>33</v>
      </c>
    </row>
    <row r="60" spans="1:22" x14ac:dyDescent="0.25">
      <c r="A60" t="s">
        <v>1488</v>
      </c>
      <c r="B60" t="s">
        <v>812</v>
      </c>
      <c r="C60">
        <v>25000000</v>
      </c>
      <c r="D60">
        <v>25161100</v>
      </c>
      <c r="E60">
        <v>25000000</v>
      </c>
      <c r="F60" t="s">
        <v>577</v>
      </c>
      <c r="G60">
        <v>6.9686899999999996</v>
      </c>
      <c r="H60" t="s">
        <v>813</v>
      </c>
      <c r="I60" s="26">
        <v>50429</v>
      </c>
      <c r="J60">
        <v>265</v>
      </c>
      <c r="K60">
        <v>1</v>
      </c>
      <c r="L60">
        <v>6.9677680000000004</v>
      </c>
      <c r="M60" t="s">
        <v>1489</v>
      </c>
      <c r="N60" t="s">
        <v>812</v>
      </c>
      <c r="O60" t="s">
        <v>68</v>
      </c>
      <c r="P60">
        <v>9.2225401340000008</v>
      </c>
      <c r="Q60">
        <v>255.79665686600001</v>
      </c>
      <c r="R60">
        <v>2025</v>
      </c>
      <c r="S60"/>
      <c r="T60" t="s">
        <v>27</v>
      </c>
      <c r="U60" t="s">
        <v>32</v>
      </c>
      <c r="V60" t="s">
        <v>33</v>
      </c>
    </row>
    <row r="61" spans="1:22" x14ac:dyDescent="0.25">
      <c r="A61" t="s">
        <v>1488</v>
      </c>
      <c r="B61" t="s">
        <v>429</v>
      </c>
      <c r="C61">
        <v>6600000</v>
      </c>
      <c r="D61">
        <v>6625667.4000000004</v>
      </c>
      <c r="E61">
        <v>6600000</v>
      </c>
      <c r="F61" t="s">
        <v>814</v>
      </c>
      <c r="G61">
        <v>0</v>
      </c>
      <c r="H61" t="s">
        <v>428</v>
      </c>
      <c r="I61" s="26">
        <v>50495</v>
      </c>
      <c r="J61">
        <v>325</v>
      </c>
      <c r="K61">
        <v>1</v>
      </c>
      <c r="L61">
        <v>0</v>
      </c>
      <c r="M61" t="s">
        <v>1489</v>
      </c>
      <c r="N61" t="s">
        <v>429</v>
      </c>
      <c r="O61" t="s">
        <v>69</v>
      </c>
      <c r="P61">
        <v>9.6083370880000007</v>
      </c>
      <c r="Q61">
        <v>318.24634800299998</v>
      </c>
      <c r="R61">
        <v>2025</v>
      </c>
      <c r="S61"/>
      <c r="T61" t="s">
        <v>27</v>
      </c>
      <c r="U61" t="s">
        <v>32</v>
      </c>
      <c r="V61" t="s">
        <v>17</v>
      </c>
    </row>
    <row r="62" spans="1:22" x14ac:dyDescent="0.25">
      <c r="A62" t="s">
        <v>1488</v>
      </c>
      <c r="B62" t="s">
        <v>846</v>
      </c>
      <c r="C62">
        <v>4000000</v>
      </c>
      <c r="D62">
        <v>4036104</v>
      </c>
      <c r="E62">
        <v>4000000</v>
      </c>
      <c r="F62" t="s">
        <v>847</v>
      </c>
      <c r="G62">
        <v>9.0754900000000003</v>
      </c>
      <c r="H62" t="s">
        <v>848</v>
      </c>
      <c r="I62" s="26">
        <v>49968</v>
      </c>
      <c r="J62">
        <v>475</v>
      </c>
      <c r="K62">
        <v>1</v>
      </c>
      <c r="L62">
        <v>9.0739889999999992</v>
      </c>
      <c r="M62" t="s">
        <v>1489</v>
      </c>
      <c r="N62" t="s">
        <v>846</v>
      </c>
      <c r="O62" t="s">
        <v>171</v>
      </c>
      <c r="P62">
        <v>7.751804023</v>
      </c>
      <c r="Q62">
        <v>459.111432052</v>
      </c>
      <c r="R62">
        <v>2023</v>
      </c>
      <c r="S62"/>
      <c r="T62" t="s">
        <v>27</v>
      </c>
      <c r="U62" t="s">
        <v>28</v>
      </c>
      <c r="V62" t="s">
        <v>37</v>
      </c>
    </row>
    <row r="63" spans="1:22" x14ac:dyDescent="0.25">
      <c r="A63" t="s">
        <v>1488</v>
      </c>
      <c r="B63" t="s">
        <v>849</v>
      </c>
      <c r="C63">
        <v>1250000</v>
      </c>
      <c r="D63">
        <v>1249287.5</v>
      </c>
      <c r="E63">
        <v>1250000</v>
      </c>
      <c r="F63" t="s">
        <v>847</v>
      </c>
      <c r="G63">
        <v>7.2754899999999996</v>
      </c>
      <c r="H63" t="s">
        <v>850</v>
      </c>
      <c r="I63" s="26">
        <v>49238</v>
      </c>
      <c r="J63">
        <v>295</v>
      </c>
      <c r="K63">
        <v>1</v>
      </c>
      <c r="L63">
        <v>7.2744879999999998</v>
      </c>
      <c r="M63" t="s">
        <v>1489</v>
      </c>
      <c r="N63" t="s">
        <v>849</v>
      </c>
      <c r="O63" t="s">
        <v>171</v>
      </c>
      <c r="P63">
        <v>6.1968193359999999</v>
      </c>
      <c r="Q63">
        <v>295.95036360300003</v>
      </c>
      <c r="R63">
        <v>2024</v>
      </c>
      <c r="S63"/>
      <c r="T63" t="s">
        <v>27</v>
      </c>
      <c r="U63" t="s">
        <v>28</v>
      </c>
      <c r="V63" t="s">
        <v>37</v>
      </c>
    </row>
    <row r="64" spans="1:22" x14ac:dyDescent="0.25">
      <c r="A64" t="s">
        <v>1488</v>
      </c>
      <c r="B64" t="s">
        <v>851</v>
      </c>
      <c r="C64">
        <v>1020000</v>
      </c>
      <c r="D64">
        <v>1025276.46</v>
      </c>
      <c r="E64">
        <v>1020000</v>
      </c>
      <c r="F64" t="s">
        <v>847</v>
      </c>
      <c r="G64">
        <v>9.3254900000000003</v>
      </c>
      <c r="H64" t="s">
        <v>852</v>
      </c>
      <c r="I64" s="26">
        <v>49969</v>
      </c>
      <c r="J64">
        <v>500</v>
      </c>
      <c r="K64">
        <v>1</v>
      </c>
      <c r="L64">
        <v>9.3238489999999992</v>
      </c>
      <c r="M64" t="s">
        <v>1489</v>
      </c>
      <c r="N64" t="s">
        <v>851</v>
      </c>
      <c r="O64" t="s">
        <v>72</v>
      </c>
      <c r="P64">
        <v>8.0449414650000008</v>
      </c>
      <c r="Q64">
        <v>490.905803322</v>
      </c>
      <c r="R64">
        <v>2023</v>
      </c>
      <c r="S64"/>
      <c r="T64" t="s">
        <v>27</v>
      </c>
      <c r="U64" t="s">
        <v>32</v>
      </c>
      <c r="V64" t="s">
        <v>37</v>
      </c>
    </row>
    <row r="65" spans="1:22" x14ac:dyDescent="0.25">
      <c r="A65" t="s">
        <v>1488</v>
      </c>
      <c r="B65" t="s">
        <v>835</v>
      </c>
      <c r="C65">
        <v>3088000</v>
      </c>
      <c r="D65">
        <v>3101479.12</v>
      </c>
      <c r="E65">
        <v>2912014.88</v>
      </c>
      <c r="F65" t="s">
        <v>833</v>
      </c>
      <c r="G65">
        <v>7.8254900000000003</v>
      </c>
      <c r="H65" t="s">
        <v>836</v>
      </c>
      <c r="I65" s="26">
        <v>49419</v>
      </c>
      <c r="J65">
        <v>350</v>
      </c>
      <c r="K65">
        <v>1</v>
      </c>
      <c r="L65">
        <v>8.5969770000000008</v>
      </c>
      <c r="M65" t="s">
        <v>1489</v>
      </c>
      <c r="N65" t="s">
        <v>835</v>
      </c>
      <c r="O65" t="s">
        <v>73</v>
      </c>
      <c r="P65">
        <v>6.5891017080000003</v>
      </c>
      <c r="Q65">
        <v>341.600877588</v>
      </c>
      <c r="R65">
        <v>2022</v>
      </c>
      <c r="S65"/>
      <c r="T65" t="s">
        <v>27</v>
      </c>
      <c r="U65" t="s">
        <v>28</v>
      </c>
      <c r="V65" t="s">
        <v>37</v>
      </c>
    </row>
    <row r="66" spans="1:22" x14ac:dyDescent="0.25">
      <c r="A66" t="s">
        <v>1488</v>
      </c>
      <c r="B66" t="s">
        <v>433</v>
      </c>
      <c r="C66">
        <v>5900000</v>
      </c>
      <c r="D66">
        <v>5910407.5999999996</v>
      </c>
      <c r="E66">
        <v>5900000</v>
      </c>
      <c r="F66" t="s">
        <v>833</v>
      </c>
      <c r="G66">
        <v>7.2781099999999999</v>
      </c>
      <c r="H66" t="s">
        <v>432</v>
      </c>
      <c r="I66" s="26">
        <v>50601</v>
      </c>
      <c r="J66">
        <v>295</v>
      </c>
      <c r="K66">
        <v>1</v>
      </c>
      <c r="L66">
        <v>7.2769700000000004</v>
      </c>
      <c r="M66" t="s">
        <v>1489</v>
      </c>
      <c r="N66" t="s">
        <v>433</v>
      </c>
      <c r="O66" t="s">
        <v>73</v>
      </c>
      <c r="P66">
        <v>9.7609554579999998</v>
      </c>
      <c r="Q66">
        <v>292.44528924999997</v>
      </c>
      <c r="R66">
        <v>2025</v>
      </c>
      <c r="S66"/>
      <c r="T66" t="s">
        <v>27</v>
      </c>
      <c r="U66" t="s">
        <v>32</v>
      </c>
      <c r="V66" t="s">
        <v>37</v>
      </c>
    </row>
    <row r="67" spans="1:22" x14ac:dyDescent="0.25">
      <c r="A67" t="s">
        <v>1488</v>
      </c>
      <c r="B67" t="s">
        <v>436</v>
      </c>
      <c r="C67">
        <v>6450000</v>
      </c>
      <c r="D67">
        <v>6457198.2000000002</v>
      </c>
      <c r="E67">
        <v>6450000</v>
      </c>
      <c r="F67" t="s">
        <v>833</v>
      </c>
      <c r="G67">
        <v>7.2120600000000001</v>
      </c>
      <c r="H67" t="s">
        <v>435</v>
      </c>
      <c r="I67" s="26">
        <v>50611</v>
      </c>
      <c r="J67">
        <v>290</v>
      </c>
      <c r="K67">
        <v>1</v>
      </c>
      <c r="L67">
        <v>7.2045510000000004</v>
      </c>
      <c r="M67" t="s">
        <v>1489</v>
      </c>
      <c r="N67" t="s">
        <v>436</v>
      </c>
      <c r="O67" t="s">
        <v>73</v>
      </c>
      <c r="P67">
        <v>9.7128119650000002</v>
      </c>
      <c r="Q67">
        <v>286.84214280899999</v>
      </c>
      <c r="R67">
        <v>2025</v>
      </c>
      <c r="S67"/>
      <c r="T67" t="s">
        <v>27</v>
      </c>
      <c r="U67" t="s">
        <v>32</v>
      </c>
      <c r="V67" t="s">
        <v>37</v>
      </c>
    </row>
    <row r="68" spans="1:22" x14ac:dyDescent="0.25">
      <c r="A68" t="s">
        <v>1488</v>
      </c>
      <c r="B68" t="s">
        <v>832</v>
      </c>
      <c r="C68">
        <v>7540000</v>
      </c>
      <c r="D68">
        <v>7422097.0199999996</v>
      </c>
      <c r="E68">
        <v>7540000</v>
      </c>
      <c r="F68" t="s">
        <v>833</v>
      </c>
      <c r="G68">
        <v>7.0754900000000003</v>
      </c>
      <c r="H68" t="s">
        <v>834</v>
      </c>
      <c r="I68" s="26">
        <v>50515</v>
      </c>
      <c r="J68">
        <v>275</v>
      </c>
      <c r="K68">
        <v>1</v>
      </c>
      <c r="L68">
        <v>7.0745760000000004</v>
      </c>
      <c r="M68" t="s">
        <v>1489</v>
      </c>
      <c r="N68" t="s">
        <v>832</v>
      </c>
      <c r="O68" t="s">
        <v>73</v>
      </c>
      <c r="P68">
        <v>9.4884474700000005</v>
      </c>
      <c r="Q68">
        <v>296.88243915200002</v>
      </c>
      <c r="R68">
        <v>2025</v>
      </c>
      <c r="S68"/>
      <c r="T68" t="s">
        <v>27</v>
      </c>
      <c r="U68" t="s">
        <v>32</v>
      </c>
      <c r="V68" t="s">
        <v>37</v>
      </c>
    </row>
    <row r="69" spans="1:22" x14ac:dyDescent="0.25">
      <c r="A69" t="s">
        <v>1488</v>
      </c>
      <c r="B69" t="s">
        <v>438</v>
      </c>
      <c r="C69">
        <v>4700000</v>
      </c>
      <c r="D69">
        <v>4712403.3</v>
      </c>
      <c r="E69">
        <v>4700000</v>
      </c>
      <c r="F69" t="s">
        <v>833</v>
      </c>
      <c r="G69">
        <v>0</v>
      </c>
      <c r="H69" t="s">
        <v>437</v>
      </c>
      <c r="I69" s="26">
        <v>50703</v>
      </c>
      <c r="J69">
        <v>285</v>
      </c>
      <c r="K69">
        <v>1</v>
      </c>
      <c r="L69">
        <v>0</v>
      </c>
      <c r="M69" t="s">
        <v>1489</v>
      </c>
      <c r="N69" t="s">
        <v>438</v>
      </c>
      <c r="O69" t="s">
        <v>74</v>
      </c>
      <c r="P69">
        <v>9.0299999999999994</v>
      </c>
      <c r="Q69"/>
      <c r="R69">
        <v>2025</v>
      </c>
      <c r="S69"/>
      <c r="T69" t="s">
        <v>27</v>
      </c>
      <c r="U69" t="s">
        <v>40</v>
      </c>
      <c r="V69" t="s">
        <v>17</v>
      </c>
    </row>
    <row r="70" spans="1:22" x14ac:dyDescent="0.25">
      <c r="A70" t="s">
        <v>1488</v>
      </c>
      <c r="B70" t="s">
        <v>837</v>
      </c>
      <c r="C70">
        <v>3825000</v>
      </c>
      <c r="D70">
        <v>3812136.53</v>
      </c>
      <c r="E70">
        <v>3710250</v>
      </c>
      <c r="F70" t="s">
        <v>838</v>
      </c>
      <c r="G70">
        <v>7.9400700000000004</v>
      </c>
      <c r="H70" t="s">
        <v>839</v>
      </c>
      <c r="I70" s="26">
        <v>49242</v>
      </c>
      <c r="J70">
        <v>362.161</v>
      </c>
      <c r="K70">
        <v>1</v>
      </c>
      <c r="L70">
        <v>8.0650069999999996</v>
      </c>
      <c r="M70" t="s">
        <v>1489</v>
      </c>
      <c r="N70" t="s">
        <v>837</v>
      </c>
      <c r="O70" t="s">
        <v>172</v>
      </c>
      <c r="P70">
        <v>6.1038457599999996</v>
      </c>
      <c r="Q70">
        <v>368.74097886200002</v>
      </c>
      <c r="R70">
        <v>2021</v>
      </c>
      <c r="S70"/>
      <c r="T70" t="s">
        <v>27</v>
      </c>
      <c r="U70" t="s">
        <v>28</v>
      </c>
      <c r="V70" t="s">
        <v>37</v>
      </c>
    </row>
    <row r="71" spans="1:22" x14ac:dyDescent="0.25">
      <c r="A71" t="s">
        <v>1488</v>
      </c>
      <c r="B71" t="s">
        <v>837</v>
      </c>
      <c r="C71">
        <v>340000</v>
      </c>
      <c r="D71">
        <v>338856.58</v>
      </c>
      <c r="E71">
        <v>340009.52</v>
      </c>
      <c r="F71" t="s">
        <v>838</v>
      </c>
      <c r="G71">
        <v>7.9400700000000004</v>
      </c>
      <c r="H71" t="s">
        <v>839</v>
      </c>
      <c r="I71" s="26">
        <v>49242</v>
      </c>
      <c r="J71">
        <v>362.161</v>
      </c>
      <c r="K71">
        <v>1</v>
      </c>
      <c r="L71">
        <v>8.0650069999999996</v>
      </c>
      <c r="M71" t="s">
        <v>1489</v>
      </c>
      <c r="N71" t="s">
        <v>837</v>
      </c>
      <c r="O71" t="s">
        <v>172</v>
      </c>
      <c r="P71">
        <v>6.1038457599999996</v>
      </c>
      <c r="Q71">
        <v>368.74097886200002</v>
      </c>
      <c r="R71">
        <v>2021</v>
      </c>
      <c r="S71"/>
      <c r="T71" t="s">
        <v>27</v>
      </c>
      <c r="U71" t="s">
        <v>28</v>
      </c>
      <c r="V71" t="s">
        <v>37</v>
      </c>
    </row>
    <row r="72" spans="1:22" x14ac:dyDescent="0.25">
      <c r="A72" t="s">
        <v>1488</v>
      </c>
      <c r="B72" t="s">
        <v>837</v>
      </c>
      <c r="C72">
        <v>570000</v>
      </c>
      <c r="D72">
        <v>568083.09</v>
      </c>
      <c r="E72">
        <v>569454.63</v>
      </c>
      <c r="F72" t="s">
        <v>838</v>
      </c>
      <c r="G72">
        <v>7.9400700000000004</v>
      </c>
      <c r="H72" t="s">
        <v>839</v>
      </c>
      <c r="I72" s="26">
        <v>49242</v>
      </c>
      <c r="J72">
        <v>362.161</v>
      </c>
      <c r="K72">
        <v>1</v>
      </c>
      <c r="L72">
        <v>8.0650069999999996</v>
      </c>
      <c r="M72" t="s">
        <v>1489</v>
      </c>
      <c r="N72" t="s">
        <v>837</v>
      </c>
      <c r="O72" t="s">
        <v>172</v>
      </c>
      <c r="P72">
        <v>6.1038457599999996</v>
      </c>
      <c r="Q72">
        <v>368.74097886200002</v>
      </c>
      <c r="R72">
        <v>2021</v>
      </c>
      <c r="S72"/>
      <c r="T72" t="s">
        <v>27</v>
      </c>
      <c r="U72" t="s">
        <v>28</v>
      </c>
      <c r="V72" t="s">
        <v>37</v>
      </c>
    </row>
    <row r="73" spans="1:22" x14ac:dyDescent="0.25">
      <c r="A73" t="s">
        <v>1488</v>
      </c>
      <c r="B73" t="s">
        <v>837</v>
      </c>
      <c r="C73">
        <v>880000</v>
      </c>
      <c r="D73">
        <v>877040.56</v>
      </c>
      <c r="E73">
        <v>878066.74</v>
      </c>
      <c r="F73" t="s">
        <v>838</v>
      </c>
      <c r="G73">
        <v>7.9400700000000004</v>
      </c>
      <c r="H73" t="s">
        <v>839</v>
      </c>
      <c r="I73" s="26">
        <v>49242</v>
      </c>
      <c r="J73">
        <v>362.161</v>
      </c>
      <c r="K73">
        <v>1</v>
      </c>
      <c r="L73">
        <v>8.0650069999999996</v>
      </c>
      <c r="M73" t="s">
        <v>1489</v>
      </c>
      <c r="N73" t="s">
        <v>837</v>
      </c>
      <c r="O73" t="s">
        <v>172</v>
      </c>
      <c r="P73">
        <v>6.1038457599999996</v>
      </c>
      <c r="Q73">
        <v>368.74097886200002</v>
      </c>
      <c r="R73">
        <v>2021</v>
      </c>
      <c r="S73"/>
      <c r="T73" t="s">
        <v>27</v>
      </c>
      <c r="U73" t="s">
        <v>28</v>
      </c>
      <c r="V73" t="s">
        <v>37</v>
      </c>
    </row>
    <row r="74" spans="1:22" x14ac:dyDescent="0.25">
      <c r="A74" t="s">
        <v>1488</v>
      </c>
      <c r="B74" t="s">
        <v>817</v>
      </c>
      <c r="C74">
        <v>4715544</v>
      </c>
      <c r="D74">
        <v>4727842.1399999997</v>
      </c>
      <c r="E74">
        <v>4715544</v>
      </c>
      <c r="F74" t="s">
        <v>592</v>
      </c>
      <c r="G74">
        <v>8.2291600000000003</v>
      </c>
      <c r="H74" t="s">
        <v>818</v>
      </c>
      <c r="I74" s="26">
        <v>49414</v>
      </c>
      <c r="J74">
        <v>391.161</v>
      </c>
      <c r="K74">
        <v>1</v>
      </c>
      <c r="L74">
        <v>-3.3802639999999999</v>
      </c>
      <c r="M74" t="s">
        <v>1489</v>
      </c>
      <c r="N74" t="s">
        <v>817</v>
      </c>
      <c r="O74" t="s">
        <v>173</v>
      </c>
      <c r="P74">
        <v>5.8917479899999998</v>
      </c>
      <c r="Q74">
        <v>385.47442456099998</v>
      </c>
      <c r="R74">
        <v>2021</v>
      </c>
      <c r="S74"/>
      <c r="T74" t="s">
        <v>27</v>
      </c>
      <c r="U74" t="s">
        <v>24</v>
      </c>
      <c r="V74" t="s">
        <v>37</v>
      </c>
    </row>
    <row r="75" spans="1:22" x14ac:dyDescent="0.25">
      <c r="A75" t="s">
        <v>1488</v>
      </c>
      <c r="B75" t="s">
        <v>817</v>
      </c>
      <c r="C75">
        <v>1410000</v>
      </c>
      <c r="D75">
        <v>1413677.28</v>
      </c>
      <c r="E75">
        <v>1416402.81</v>
      </c>
      <c r="F75" t="s">
        <v>592</v>
      </c>
      <c r="G75">
        <v>8.2291600000000003</v>
      </c>
      <c r="H75" t="s">
        <v>818</v>
      </c>
      <c r="I75" s="26">
        <v>49414</v>
      </c>
      <c r="J75">
        <v>391.161</v>
      </c>
      <c r="K75">
        <v>1</v>
      </c>
      <c r="L75">
        <v>-3.3802639999999999</v>
      </c>
      <c r="M75" t="s">
        <v>1489</v>
      </c>
      <c r="N75" t="s">
        <v>817</v>
      </c>
      <c r="O75" t="s">
        <v>173</v>
      </c>
      <c r="P75">
        <v>5.8917479899999998</v>
      </c>
      <c r="Q75">
        <v>385.47442456099998</v>
      </c>
      <c r="R75">
        <v>2021</v>
      </c>
      <c r="S75"/>
      <c r="T75" t="s">
        <v>27</v>
      </c>
      <c r="U75" t="s">
        <v>24</v>
      </c>
      <c r="V75" t="s">
        <v>37</v>
      </c>
    </row>
    <row r="76" spans="1:22" x14ac:dyDescent="0.25">
      <c r="A76" t="s">
        <v>1488</v>
      </c>
      <c r="B76" t="s">
        <v>817</v>
      </c>
      <c r="C76">
        <v>1700000</v>
      </c>
      <c r="D76">
        <v>1704433.6</v>
      </c>
      <c r="E76">
        <v>1707860.8</v>
      </c>
      <c r="F76" t="s">
        <v>592</v>
      </c>
      <c r="G76">
        <v>8.2291600000000003</v>
      </c>
      <c r="H76" t="s">
        <v>818</v>
      </c>
      <c r="I76" s="26">
        <v>49414</v>
      </c>
      <c r="J76">
        <v>391.161</v>
      </c>
      <c r="K76">
        <v>1</v>
      </c>
      <c r="L76">
        <v>-3.3802639999999999</v>
      </c>
      <c r="M76" t="s">
        <v>1489</v>
      </c>
      <c r="N76" t="s">
        <v>817</v>
      </c>
      <c r="O76" t="s">
        <v>173</v>
      </c>
      <c r="P76">
        <v>5.8917479899999998</v>
      </c>
      <c r="Q76">
        <v>385.47442456099998</v>
      </c>
      <c r="R76">
        <v>2021</v>
      </c>
      <c r="S76"/>
      <c r="T76" t="s">
        <v>27</v>
      </c>
      <c r="U76" t="s">
        <v>24</v>
      </c>
      <c r="V76" t="s">
        <v>37</v>
      </c>
    </row>
    <row r="77" spans="1:22" x14ac:dyDescent="0.25">
      <c r="A77" t="s">
        <v>1488</v>
      </c>
      <c r="B77" t="s">
        <v>817</v>
      </c>
      <c r="C77">
        <v>2890000</v>
      </c>
      <c r="D77">
        <v>2897537.12</v>
      </c>
      <c r="E77">
        <v>2899739.84</v>
      </c>
      <c r="F77" t="s">
        <v>592</v>
      </c>
      <c r="G77">
        <v>8.2291600000000003</v>
      </c>
      <c r="H77" t="s">
        <v>818</v>
      </c>
      <c r="I77" s="26">
        <v>49414</v>
      </c>
      <c r="J77">
        <v>391.161</v>
      </c>
      <c r="K77">
        <v>1</v>
      </c>
      <c r="L77">
        <v>-3.3802639999999999</v>
      </c>
      <c r="M77" t="s">
        <v>1489</v>
      </c>
      <c r="N77" t="s">
        <v>817</v>
      </c>
      <c r="O77" t="s">
        <v>173</v>
      </c>
      <c r="P77">
        <v>5.8917479899999998</v>
      </c>
      <c r="Q77">
        <v>385.47442456099998</v>
      </c>
      <c r="R77">
        <v>2021</v>
      </c>
      <c r="S77"/>
      <c r="T77" t="s">
        <v>27</v>
      </c>
      <c r="U77" t="s">
        <v>24</v>
      </c>
      <c r="V77" t="s">
        <v>37</v>
      </c>
    </row>
    <row r="78" spans="1:22" x14ac:dyDescent="0.25">
      <c r="A78" t="s">
        <v>1488</v>
      </c>
      <c r="B78" t="s">
        <v>817</v>
      </c>
      <c r="C78">
        <v>3170000</v>
      </c>
      <c r="D78">
        <v>3178267.36</v>
      </c>
      <c r="E78">
        <v>3187055.53</v>
      </c>
      <c r="F78" t="s">
        <v>592</v>
      </c>
      <c r="G78">
        <v>8.2291600000000003</v>
      </c>
      <c r="H78" t="s">
        <v>818</v>
      </c>
      <c r="I78" s="26">
        <v>49414</v>
      </c>
      <c r="J78">
        <v>391.161</v>
      </c>
      <c r="K78">
        <v>1</v>
      </c>
      <c r="L78">
        <v>-3.3802639999999999</v>
      </c>
      <c r="M78" t="s">
        <v>1489</v>
      </c>
      <c r="N78" t="s">
        <v>817</v>
      </c>
      <c r="O78" t="s">
        <v>173</v>
      </c>
      <c r="P78">
        <v>5.8917479899999998</v>
      </c>
      <c r="Q78">
        <v>385.47442456099998</v>
      </c>
      <c r="R78">
        <v>2021</v>
      </c>
      <c r="S78"/>
      <c r="T78" t="s">
        <v>27</v>
      </c>
      <c r="U78" t="s">
        <v>24</v>
      </c>
      <c r="V78" t="s">
        <v>37</v>
      </c>
    </row>
    <row r="79" spans="1:22" x14ac:dyDescent="0.25">
      <c r="A79" t="s">
        <v>1488</v>
      </c>
      <c r="B79" t="s">
        <v>819</v>
      </c>
      <c r="C79">
        <v>250000</v>
      </c>
      <c r="D79">
        <v>251655</v>
      </c>
      <c r="E79">
        <v>231875</v>
      </c>
      <c r="F79" t="s">
        <v>592</v>
      </c>
      <c r="G79">
        <v>7.7291600000000003</v>
      </c>
      <c r="H79" t="s">
        <v>820</v>
      </c>
      <c r="I79" s="26">
        <v>49140</v>
      </c>
      <c r="J79">
        <v>341.161</v>
      </c>
      <c r="K79">
        <v>1</v>
      </c>
      <c r="L79">
        <v>6.6764340000000004</v>
      </c>
      <c r="M79" t="s">
        <v>1489</v>
      </c>
      <c r="N79" t="s">
        <v>819</v>
      </c>
      <c r="O79" t="s">
        <v>173</v>
      </c>
      <c r="P79">
        <v>5.9726698110000003</v>
      </c>
      <c r="Q79">
        <v>327.47682120000002</v>
      </c>
      <c r="R79">
        <v>2021</v>
      </c>
      <c r="S79"/>
      <c r="T79" t="s">
        <v>27</v>
      </c>
      <c r="U79" t="s">
        <v>24</v>
      </c>
      <c r="V79" t="s">
        <v>37</v>
      </c>
    </row>
    <row r="80" spans="1:22" x14ac:dyDescent="0.25">
      <c r="A80" t="s">
        <v>1488</v>
      </c>
      <c r="B80" t="s">
        <v>819</v>
      </c>
      <c r="C80">
        <v>1602024</v>
      </c>
      <c r="D80">
        <v>1612629.4</v>
      </c>
      <c r="E80">
        <v>1481872.2</v>
      </c>
      <c r="F80" t="s">
        <v>592</v>
      </c>
      <c r="G80">
        <v>7.7291600000000003</v>
      </c>
      <c r="H80" t="s">
        <v>820</v>
      </c>
      <c r="I80" s="26">
        <v>49140</v>
      </c>
      <c r="J80">
        <v>341.161</v>
      </c>
      <c r="K80">
        <v>1</v>
      </c>
      <c r="L80">
        <v>6.6764340000000004</v>
      </c>
      <c r="M80" t="s">
        <v>1489</v>
      </c>
      <c r="N80" t="s">
        <v>819</v>
      </c>
      <c r="O80" t="s">
        <v>173</v>
      </c>
      <c r="P80">
        <v>5.9726698110000003</v>
      </c>
      <c r="Q80">
        <v>327.47682120000002</v>
      </c>
      <c r="R80">
        <v>2021</v>
      </c>
      <c r="S80"/>
      <c r="T80" t="s">
        <v>27</v>
      </c>
      <c r="U80" t="s">
        <v>24</v>
      </c>
      <c r="V80" t="s">
        <v>37</v>
      </c>
    </row>
    <row r="81" spans="1:22" x14ac:dyDescent="0.25">
      <c r="A81" t="s">
        <v>1488</v>
      </c>
      <c r="B81" t="s">
        <v>591</v>
      </c>
      <c r="C81">
        <v>6925356</v>
      </c>
      <c r="D81">
        <v>6951464.5899999999</v>
      </c>
      <c r="E81">
        <v>6925356</v>
      </c>
      <c r="F81" t="s">
        <v>592</v>
      </c>
      <c r="G81">
        <v>7.3754900000000001</v>
      </c>
      <c r="H81" t="s">
        <v>593</v>
      </c>
      <c r="I81" s="26">
        <v>49876</v>
      </c>
      <c r="J81">
        <v>305</v>
      </c>
      <c r="K81">
        <v>1</v>
      </c>
      <c r="L81">
        <v>7.3744969999999999</v>
      </c>
      <c r="M81" t="s">
        <v>1489</v>
      </c>
      <c r="N81" t="s">
        <v>591</v>
      </c>
      <c r="O81" t="s">
        <v>173</v>
      </c>
      <c r="P81">
        <v>7.0784279249999997</v>
      </c>
      <c r="Q81">
        <v>298.23239691499998</v>
      </c>
      <c r="R81">
        <v>2023</v>
      </c>
      <c r="S81"/>
      <c r="T81" t="s">
        <v>23</v>
      </c>
      <c r="U81" t="s">
        <v>28</v>
      </c>
      <c r="V81" t="s">
        <v>37</v>
      </c>
    </row>
    <row r="82" spans="1:22" x14ac:dyDescent="0.25">
      <c r="A82" t="s">
        <v>1488</v>
      </c>
      <c r="B82" t="s">
        <v>824</v>
      </c>
      <c r="C82">
        <v>8656695</v>
      </c>
      <c r="D82">
        <v>8702843.8399999999</v>
      </c>
      <c r="E82">
        <v>8656695</v>
      </c>
      <c r="F82" t="s">
        <v>592</v>
      </c>
      <c r="G82">
        <v>9.5754900000000003</v>
      </c>
      <c r="H82" t="s">
        <v>825</v>
      </c>
      <c r="I82" s="26">
        <v>49876</v>
      </c>
      <c r="J82">
        <v>525</v>
      </c>
      <c r="K82">
        <v>1</v>
      </c>
      <c r="L82">
        <v>9.5738199999999996</v>
      </c>
      <c r="M82" t="s">
        <v>1489</v>
      </c>
      <c r="N82" t="s">
        <v>824</v>
      </c>
      <c r="O82" t="s">
        <v>173</v>
      </c>
      <c r="P82">
        <v>7.6626210439999998</v>
      </c>
      <c r="Q82">
        <v>515.22103468800003</v>
      </c>
      <c r="R82">
        <v>2023</v>
      </c>
      <c r="S82"/>
      <c r="T82" t="s">
        <v>27</v>
      </c>
      <c r="U82" t="s">
        <v>28</v>
      </c>
      <c r="V82" t="s">
        <v>37</v>
      </c>
    </row>
    <row r="83" spans="1:22" x14ac:dyDescent="0.25">
      <c r="A83" t="s">
        <v>1488</v>
      </c>
      <c r="B83" t="s">
        <v>822</v>
      </c>
      <c r="C83">
        <v>2000000</v>
      </c>
      <c r="D83">
        <v>2009818</v>
      </c>
      <c r="E83">
        <v>2000000</v>
      </c>
      <c r="F83" t="s">
        <v>592</v>
      </c>
      <c r="G83">
        <v>7.5754900000000003</v>
      </c>
      <c r="H83" t="s">
        <v>823</v>
      </c>
      <c r="I83" s="26">
        <v>50333</v>
      </c>
      <c r="J83">
        <v>325</v>
      </c>
      <c r="K83">
        <v>1</v>
      </c>
      <c r="L83">
        <v>7.5744429999999996</v>
      </c>
      <c r="M83" t="s">
        <v>1489</v>
      </c>
      <c r="N83" t="s">
        <v>822</v>
      </c>
      <c r="O83" t="s">
        <v>173</v>
      </c>
      <c r="P83">
        <v>9.1109611570000002</v>
      </c>
      <c r="Q83">
        <v>317.682202195</v>
      </c>
      <c r="R83">
        <v>2024</v>
      </c>
      <c r="S83"/>
      <c r="T83" t="s">
        <v>27</v>
      </c>
      <c r="U83" t="s">
        <v>32</v>
      </c>
      <c r="V83" t="s">
        <v>37</v>
      </c>
    </row>
    <row r="84" spans="1:22" x14ac:dyDescent="0.25">
      <c r="A84" t="s">
        <v>1488</v>
      </c>
      <c r="B84" t="s">
        <v>826</v>
      </c>
      <c r="C84">
        <v>3250000</v>
      </c>
      <c r="D84">
        <v>3283367.75</v>
      </c>
      <c r="E84">
        <v>3250000</v>
      </c>
      <c r="F84" t="s">
        <v>592</v>
      </c>
      <c r="G84">
        <v>8.8254900000000003</v>
      </c>
      <c r="H84" t="s">
        <v>827</v>
      </c>
      <c r="I84" s="26">
        <v>50060</v>
      </c>
      <c r="J84">
        <v>450</v>
      </c>
      <c r="K84">
        <v>1</v>
      </c>
      <c r="L84">
        <v>8.8240700000000007</v>
      </c>
      <c r="M84" t="s">
        <v>1489</v>
      </c>
      <c r="N84" t="s">
        <v>826</v>
      </c>
      <c r="O84" t="s">
        <v>173</v>
      </c>
      <c r="P84">
        <v>8.3829586420000002</v>
      </c>
      <c r="Q84">
        <v>433.081205657</v>
      </c>
      <c r="R84">
        <v>2024</v>
      </c>
      <c r="S84"/>
      <c r="T84" t="s">
        <v>27</v>
      </c>
      <c r="U84" t="s">
        <v>32</v>
      </c>
      <c r="V84" t="s">
        <v>37</v>
      </c>
    </row>
    <row r="85" spans="1:22" x14ac:dyDescent="0.25">
      <c r="A85" t="s">
        <v>1488</v>
      </c>
      <c r="B85" t="s">
        <v>830</v>
      </c>
      <c r="C85">
        <v>12000000</v>
      </c>
      <c r="D85">
        <v>12076320</v>
      </c>
      <c r="E85">
        <v>12000000</v>
      </c>
      <c r="F85" t="s">
        <v>592</v>
      </c>
      <c r="G85">
        <v>6.9254899999999999</v>
      </c>
      <c r="H85" t="s">
        <v>831</v>
      </c>
      <c r="I85" s="26">
        <v>50515</v>
      </c>
      <c r="J85">
        <v>260</v>
      </c>
      <c r="K85">
        <v>1</v>
      </c>
      <c r="L85">
        <v>6.9171449999999997</v>
      </c>
      <c r="M85" t="s">
        <v>1489</v>
      </c>
      <c r="N85" t="s">
        <v>830</v>
      </c>
      <c r="O85" t="s">
        <v>173</v>
      </c>
      <c r="P85">
        <v>9.4260733030000008</v>
      </c>
      <c r="Q85">
        <v>250.865982145</v>
      </c>
      <c r="R85">
        <v>2025</v>
      </c>
      <c r="S85"/>
      <c r="T85" t="s">
        <v>27</v>
      </c>
      <c r="U85" t="s">
        <v>32</v>
      </c>
      <c r="V85" t="s">
        <v>33</v>
      </c>
    </row>
    <row r="86" spans="1:22" x14ac:dyDescent="0.25">
      <c r="A86" t="s">
        <v>1488</v>
      </c>
      <c r="B86" t="s">
        <v>594</v>
      </c>
      <c r="C86">
        <v>2000000</v>
      </c>
      <c r="D86">
        <v>2007498</v>
      </c>
      <c r="E86">
        <v>2000000</v>
      </c>
      <c r="F86" t="s">
        <v>592</v>
      </c>
      <c r="G86">
        <v>6.3175499999999998</v>
      </c>
      <c r="H86" t="s">
        <v>595</v>
      </c>
      <c r="I86" s="26">
        <v>50966</v>
      </c>
      <c r="J86">
        <v>200</v>
      </c>
      <c r="K86">
        <v>1</v>
      </c>
      <c r="L86">
        <v>6.3167949999999999</v>
      </c>
      <c r="M86" t="s">
        <v>1489</v>
      </c>
      <c r="N86" t="s">
        <v>594</v>
      </c>
      <c r="O86" t="s">
        <v>173</v>
      </c>
      <c r="P86">
        <v>8.3332714289999998</v>
      </c>
      <c r="Q86">
        <v>194.31970694099999</v>
      </c>
      <c r="R86">
        <v>2024</v>
      </c>
      <c r="S86"/>
      <c r="T86" t="s">
        <v>23</v>
      </c>
      <c r="U86" t="s">
        <v>32</v>
      </c>
      <c r="V86" t="s">
        <v>33</v>
      </c>
    </row>
    <row r="87" spans="1:22" x14ac:dyDescent="0.25">
      <c r="A87" t="s">
        <v>1488</v>
      </c>
      <c r="B87" t="s">
        <v>828</v>
      </c>
      <c r="C87">
        <v>2000000</v>
      </c>
      <c r="D87">
        <v>2007688</v>
      </c>
      <c r="E87">
        <v>2000000</v>
      </c>
      <c r="F87" t="s">
        <v>592</v>
      </c>
      <c r="G87">
        <v>7.4675500000000001</v>
      </c>
      <c r="H87" t="s">
        <v>829</v>
      </c>
      <c r="I87" s="26">
        <v>50966</v>
      </c>
      <c r="J87">
        <v>315</v>
      </c>
      <c r="K87">
        <v>1</v>
      </c>
      <c r="L87">
        <v>7.4664950000000001</v>
      </c>
      <c r="M87" t="s">
        <v>1489</v>
      </c>
      <c r="N87" t="s">
        <v>828</v>
      </c>
      <c r="O87" t="s">
        <v>173</v>
      </c>
      <c r="P87">
        <v>8.8988028799999999</v>
      </c>
      <c r="Q87">
        <v>309.16787931800002</v>
      </c>
      <c r="R87">
        <v>2024</v>
      </c>
      <c r="S87"/>
      <c r="T87" t="s">
        <v>27</v>
      </c>
      <c r="U87" t="s">
        <v>32</v>
      </c>
      <c r="V87" t="s">
        <v>37</v>
      </c>
    </row>
    <row r="88" spans="1:22" x14ac:dyDescent="0.25">
      <c r="A88" t="s">
        <v>1488</v>
      </c>
      <c r="B88" t="s">
        <v>843</v>
      </c>
      <c r="C88">
        <v>3825000</v>
      </c>
      <c r="D88">
        <v>3689606.48</v>
      </c>
      <c r="E88">
        <v>3805875</v>
      </c>
      <c r="F88" t="s">
        <v>841</v>
      </c>
      <c r="G88">
        <v>8.0271000000000008</v>
      </c>
      <c r="H88" t="s">
        <v>844</v>
      </c>
      <c r="I88" s="26">
        <v>49329</v>
      </c>
      <c r="J88">
        <v>370.161</v>
      </c>
      <c r="K88">
        <v>1</v>
      </c>
      <c r="L88">
        <v>8.1823149999999991</v>
      </c>
      <c r="M88" t="s">
        <v>1489</v>
      </c>
      <c r="N88" t="s">
        <v>843</v>
      </c>
      <c r="O88" t="s">
        <v>174</v>
      </c>
      <c r="P88">
        <v>6.4729215379999996</v>
      </c>
      <c r="Q88">
        <v>439.31658472599997</v>
      </c>
      <c r="R88">
        <v>2021</v>
      </c>
      <c r="S88"/>
      <c r="T88" t="s">
        <v>27</v>
      </c>
      <c r="U88" t="s">
        <v>28</v>
      </c>
      <c r="V88" t="s">
        <v>37</v>
      </c>
    </row>
    <row r="89" spans="1:22" x14ac:dyDescent="0.25">
      <c r="A89" t="s">
        <v>1488</v>
      </c>
      <c r="B89" t="s">
        <v>843</v>
      </c>
      <c r="C89">
        <v>880000</v>
      </c>
      <c r="D89">
        <v>848850.64</v>
      </c>
      <c r="E89">
        <v>870663.27</v>
      </c>
      <c r="F89" t="s">
        <v>841</v>
      </c>
      <c r="G89">
        <v>8.0271000000000008</v>
      </c>
      <c r="H89" t="s">
        <v>844</v>
      </c>
      <c r="I89" s="26">
        <v>49329</v>
      </c>
      <c r="J89">
        <v>370.161</v>
      </c>
      <c r="K89">
        <v>1</v>
      </c>
      <c r="L89">
        <v>8.1823149999999991</v>
      </c>
      <c r="M89" t="s">
        <v>1489</v>
      </c>
      <c r="N89" t="s">
        <v>843</v>
      </c>
      <c r="O89" t="s">
        <v>174</v>
      </c>
      <c r="P89">
        <v>6.4729215379999996</v>
      </c>
      <c r="Q89">
        <v>439.31658472599997</v>
      </c>
      <c r="R89">
        <v>2021</v>
      </c>
      <c r="S89"/>
      <c r="T89" t="s">
        <v>27</v>
      </c>
      <c r="U89" t="s">
        <v>28</v>
      </c>
      <c r="V89" t="s">
        <v>37</v>
      </c>
    </row>
    <row r="90" spans="1:22" x14ac:dyDescent="0.25">
      <c r="A90" t="s">
        <v>1488</v>
      </c>
      <c r="B90" t="s">
        <v>843</v>
      </c>
      <c r="C90">
        <v>910000</v>
      </c>
      <c r="D90">
        <v>877788.73</v>
      </c>
      <c r="E90">
        <v>904532.69</v>
      </c>
      <c r="F90" t="s">
        <v>841</v>
      </c>
      <c r="G90">
        <v>8.0271000000000008</v>
      </c>
      <c r="H90" t="s">
        <v>844</v>
      </c>
      <c r="I90" s="26">
        <v>49329</v>
      </c>
      <c r="J90">
        <v>370.161</v>
      </c>
      <c r="K90">
        <v>1</v>
      </c>
      <c r="L90">
        <v>8.1823149999999991</v>
      </c>
      <c r="M90" t="s">
        <v>1489</v>
      </c>
      <c r="N90" t="s">
        <v>843</v>
      </c>
      <c r="O90" t="s">
        <v>174</v>
      </c>
      <c r="P90">
        <v>6.4729215379999996</v>
      </c>
      <c r="Q90">
        <v>439.31658472599997</v>
      </c>
      <c r="R90">
        <v>2021</v>
      </c>
      <c r="S90"/>
      <c r="T90" t="s">
        <v>27</v>
      </c>
      <c r="U90" t="s">
        <v>28</v>
      </c>
      <c r="V90" t="s">
        <v>37</v>
      </c>
    </row>
    <row r="91" spans="1:22" x14ac:dyDescent="0.25">
      <c r="A91" t="s">
        <v>1488</v>
      </c>
      <c r="B91" t="s">
        <v>840</v>
      </c>
      <c r="C91">
        <v>3735590</v>
      </c>
      <c r="D91">
        <v>3667337.04</v>
      </c>
      <c r="E91">
        <v>3735590</v>
      </c>
      <c r="F91" t="s">
        <v>841</v>
      </c>
      <c r="G91">
        <v>8.2302999999999997</v>
      </c>
      <c r="H91" t="s">
        <v>842</v>
      </c>
      <c r="I91" s="26">
        <v>49058</v>
      </c>
      <c r="J91">
        <v>391.161</v>
      </c>
      <c r="K91">
        <v>1</v>
      </c>
      <c r="L91">
        <v>8.3880350000000004</v>
      </c>
      <c r="M91" t="s">
        <v>1489</v>
      </c>
      <c r="N91" t="s">
        <v>840</v>
      </c>
      <c r="O91" t="s">
        <v>174</v>
      </c>
      <c r="P91">
        <v>5.6713935390000003</v>
      </c>
      <c r="Q91">
        <v>430.27955936900003</v>
      </c>
      <c r="R91">
        <v>2021</v>
      </c>
      <c r="S91"/>
      <c r="T91" t="s">
        <v>27</v>
      </c>
      <c r="U91" t="s">
        <v>24</v>
      </c>
      <c r="V91" t="s">
        <v>37</v>
      </c>
    </row>
    <row r="92" spans="1:22" x14ac:dyDescent="0.25">
      <c r="A92" t="s">
        <v>1488</v>
      </c>
      <c r="B92" t="s">
        <v>840</v>
      </c>
      <c r="C92">
        <v>3620000</v>
      </c>
      <c r="D92">
        <v>3553858.98</v>
      </c>
      <c r="E92">
        <v>3617378.58</v>
      </c>
      <c r="F92" t="s">
        <v>841</v>
      </c>
      <c r="G92">
        <v>8.2302999999999997</v>
      </c>
      <c r="H92" t="s">
        <v>842</v>
      </c>
      <c r="I92" s="26">
        <v>49058</v>
      </c>
      <c r="J92">
        <v>391.161</v>
      </c>
      <c r="K92">
        <v>1</v>
      </c>
      <c r="L92">
        <v>8.3880350000000004</v>
      </c>
      <c r="M92" t="s">
        <v>1489</v>
      </c>
      <c r="N92" t="s">
        <v>840</v>
      </c>
      <c r="O92" t="s">
        <v>174</v>
      </c>
      <c r="P92">
        <v>5.6713935390000003</v>
      </c>
      <c r="Q92">
        <v>430.27955936900003</v>
      </c>
      <c r="R92">
        <v>2021</v>
      </c>
      <c r="S92"/>
      <c r="T92" t="s">
        <v>27</v>
      </c>
      <c r="U92" t="s">
        <v>24</v>
      </c>
      <c r="V92" t="s">
        <v>37</v>
      </c>
    </row>
    <row r="93" spans="1:22" x14ac:dyDescent="0.25">
      <c r="A93" t="s">
        <v>1488</v>
      </c>
      <c r="B93" t="s">
        <v>840</v>
      </c>
      <c r="C93">
        <v>3630000</v>
      </c>
      <c r="D93">
        <v>3563676.27</v>
      </c>
      <c r="E93">
        <v>3607340.67</v>
      </c>
      <c r="F93" t="s">
        <v>841</v>
      </c>
      <c r="G93">
        <v>8.2302999999999997</v>
      </c>
      <c r="H93" t="s">
        <v>842</v>
      </c>
      <c r="I93" s="26">
        <v>49058</v>
      </c>
      <c r="J93">
        <v>391.161</v>
      </c>
      <c r="K93">
        <v>1</v>
      </c>
      <c r="L93">
        <v>8.3880350000000004</v>
      </c>
      <c r="M93" t="s">
        <v>1489</v>
      </c>
      <c r="N93" t="s">
        <v>840</v>
      </c>
      <c r="O93" t="s">
        <v>174</v>
      </c>
      <c r="P93">
        <v>5.6713935390000003</v>
      </c>
      <c r="Q93">
        <v>430.27955936900003</v>
      </c>
      <c r="R93">
        <v>2021</v>
      </c>
      <c r="S93"/>
      <c r="T93" t="s">
        <v>27</v>
      </c>
      <c r="U93" t="s">
        <v>24</v>
      </c>
      <c r="V93" t="s">
        <v>37</v>
      </c>
    </row>
    <row r="94" spans="1:22" x14ac:dyDescent="0.25">
      <c r="A94" t="s">
        <v>1488</v>
      </c>
      <c r="B94" t="s">
        <v>881</v>
      </c>
      <c r="C94">
        <v>3750000</v>
      </c>
      <c r="D94">
        <v>3777866.25</v>
      </c>
      <c r="E94">
        <v>3750000</v>
      </c>
      <c r="F94" t="s">
        <v>605</v>
      </c>
      <c r="G94">
        <v>8.56846</v>
      </c>
      <c r="H94" t="s">
        <v>882</v>
      </c>
      <c r="I94" s="26">
        <v>49699</v>
      </c>
      <c r="J94">
        <v>425</v>
      </c>
      <c r="K94">
        <v>1</v>
      </c>
      <c r="L94">
        <v>8.5670669999999998</v>
      </c>
      <c r="M94" t="s">
        <v>1489</v>
      </c>
      <c r="N94" t="s">
        <v>881</v>
      </c>
      <c r="O94" t="s">
        <v>175</v>
      </c>
      <c r="P94">
        <v>7.0815850380000001</v>
      </c>
      <c r="Q94">
        <v>411.24271999400003</v>
      </c>
      <c r="R94">
        <v>2024</v>
      </c>
      <c r="S94"/>
      <c r="T94" t="s">
        <v>27</v>
      </c>
      <c r="U94" t="s">
        <v>28</v>
      </c>
      <c r="V94" t="s">
        <v>37</v>
      </c>
    </row>
    <row r="95" spans="1:22" x14ac:dyDescent="0.25">
      <c r="A95" t="s">
        <v>1488</v>
      </c>
      <c r="B95" t="s">
        <v>871</v>
      </c>
      <c r="C95">
        <v>4500000</v>
      </c>
      <c r="D95">
        <v>4523665.5</v>
      </c>
      <c r="E95">
        <v>4500000</v>
      </c>
      <c r="F95" t="s">
        <v>605</v>
      </c>
      <c r="G95">
        <v>7.5754900000000003</v>
      </c>
      <c r="H95" t="s">
        <v>872</v>
      </c>
      <c r="I95" s="26">
        <v>50333</v>
      </c>
      <c r="J95">
        <v>325</v>
      </c>
      <c r="K95">
        <v>1</v>
      </c>
      <c r="L95">
        <v>7.5744429999999996</v>
      </c>
      <c r="M95" t="s">
        <v>1489</v>
      </c>
      <c r="N95" t="s">
        <v>871</v>
      </c>
      <c r="O95" t="s">
        <v>176</v>
      </c>
      <c r="P95">
        <v>8.2237173099999996</v>
      </c>
      <c r="Q95">
        <v>316.56079368000002</v>
      </c>
      <c r="R95">
        <v>2024</v>
      </c>
      <c r="S95"/>
      <c r="T95" t="s">
        <v>27</v>
      </c>
      <c r="U95" t="s">
        <v>32</v>
      </c>
      <c r="V95" t="s">
        <v>37</v>
      </c>
    </row>
    <row r="96" spans="1:22" x14ac:dyDescent="0.25">
      <c r="A96" t="s">
        <v>1488</v>
      </c>
      <c r="B96" t="s">
        <v>873</v>
      </c>
      <c r="C96">
        <v>4850000</v>
      </c>
      <c r="D96">
        <v>4878338.55</v>
      </c>
      <c r="E96">
        <v>4850000</v>
      </c>
      <c r="F96" t="s">
        <v>605</v>
      </c>
      <c r="G96">
        <v>7.4675500000000001</v>
      </c>
      <c r="H96" t="s">
        <v>874</v>
      </c>
      <c r="I96" s="26">
        <v>50328</v>
      </c>
      <c r="J96">
        <v>315</v>
      </c>
      <c r="K96">
        <v>1</v>
      </c>
      <c r="L96">
        <v>7.4664910000000004</v>
      </c>
      <c r="M96" t="s">
        <v>1489</v>
      </c>
      <c r="N96" t="s">
        <v>873</v>
      </c>
      <c r="O96" t="s">
        <v>175</v>
      </c>
      <c r="P96">
        <v>8.9742748680000002</v>
      </c>
      <c r="Q96">
        <v>306.26486671999999</v>
      </c>
      <c r="R96">
        <v>2024</v>
      </c>
      <c r="S96"/>
      <c r="T96" t="s">
        <v>27</v>
      </c>
      <c r="U96" t="s">
        <v>32</v>
      </c>
      <c r="V96" t="s">
        <v>37</v>
      </c>
    </row>
    <row r="97" spans="1:22" x14ac:dyDescent="0.25">
      <c r="A97" t="s">
        <v>1488</v>
      </c>
      <c r="B97" t="s">
        <v>867</v>
      </c>
      <c r="C97">
        <v>9300000</v>
      </c>
      <c r="D97">
        <v>9355716.3000000007</v>
      </c>
      <c r="E97">
        <v>9300000</v>
      </c>
      <c r="F97" t="s">
        <v>605</v>
      </c>
      <c r="G97">
        <v>7.0254899999999996</v>
      </c>
      <c r="H97" t="s">
        <v>868</v>
      </c>
      <c r="I97" s="26">
        <v>50515</v>
      </c>
      <c r="J97">
        <v>270</v>
      </c>
      <c r="K97">
        <v>1</v>
      </c>
      <c r="L97">
        <v>7.0245889999999997</v>
      </c>
      <c r="M97" t="s">
        <v>1489</v>
      </c>
      <c r="N97" t="s">
        <v>867</v>
      </c>
      <c r="O97" t="s">
        <v>176</v>
      </c>
      <c r="P97">
        <v>9.4256779539999993</v>
      </c>
      <c r="Q97">
        <v>261.55272108899999</v>
      </c>
      <c r="R97">
        <v>2025</v>
      </c>
      <c r="S97"/>
      <c r="T97" t="s">
        <v>27</v>
      </c>
      <c r="U97" t="s">
        <v>32</v>
      </c>
      <c r="V97" t="s">
        <v>37</v>
      </c>
    </row>
    <row r="98" spans="1:22" x14ac:dyDescent="0.25">
      <c r="A98" t="s">
        <v>1488</v>
      </c>
      <c r="B98" t="s">
        <v>877</v>
      </c>
      <c r="C98">
        <v>19075000</v>
      </c>
      <c r="D98">
        <v>19015638.600000001</v>
      </c>
      <c r="E98">
        <v>19075000</v>
      </c>
      <c r="F98" t="s">
        <v>605</v>
      </c>
      <c r="G98">
        <v>6.7254899999999997</v>
      </c>
      <c r="H98" t="s">
        <v>878</v>
      </c>
      <c r="I98" s="26">
        <v>49237</v>
      </c>
      <c r="J98">
        <v>240</v>
      </c>
      <c r="K98">
        <v>1</v>
      </c>
      <c r="L98">
        <v>6.7246670000000002</v>
      </c>
      <c r="M98" t="s">
        <v>1489</v>
      </c>
      <c r="N98" t="s">
        <v>877</v>
      </c>
      <c r="O98" t="s">
        <v>175</v>
      </c>
      <c r="P98">
        <v>6.0773598829999997</v>
      </c>
      <c r="Q98">
        <v>245.93692035500001</v>
      </c>
      <c r="R98">
        <v>2025</v>
      </c>
      <c r="S98"/>
      <c r="T98" t="s">
        <v>27</v>
      </c>
      <c r="U98" t="s">
        <v>28</v>
      </c>
      <c r="V98" t="s">
        <v>33</v>
      </c>
    </row>
    <row r="99" spans="1:22" x14ac:dyDescent="0.25">
      <c r="A99" t="s">
        <v>1488</v>
      </c>
      <c r="B99" t="s">
        <v>604</v>
      </c>
      <c r="C99">
        <v>4500000</v>
      </c>
      <c r="D99">
        <v>4529335.5</v>
      </c>
      <c r="E99">
        <v>4500000</v>
      </c>
      <c r="F99" t="s">
        <v>605</v>
      </c>
      <c r="G99">
        <v>6.6184599999999998</v>
      </c>
      <c r="H99" t="s">
        <v>606</v>
      </c>
      <c r="I99" s="26">
        <v>50155</v>
      </c>
      <c r="J99">
        <v>230</v>
      </c>
      <c r="K99">
        <v>1</v>
      </c>
      <c r="L99">
        <v>6.6176300000000001</v>
      </c>
      <c r="M99" t="s">
        <v>1489</v>
      </c>
      <c r="N99" t="s">
        <v>604</v>
      </c>
      <c r="O99" t="s">
        <v>175</v>
      </c>
      <c r="P99">
        <v>8.008476902</v>
      </c>
      <c r="Q99">
        <v>219.75974915899999</v>
      </c>
      <c r="R99">
        <v>2024</v>
      </c>
      <c r="S99"/>
      <c r="T99" t="s">
        <v>23</v>
      </c>
      <c r="U99" t="s">
        <v>32</v>
      </c>
      <c r="V99" t="s">
        <v>33</v>
      </c>
    </row>
    <row r="100" spans="1:22" x14ac:dyDescent="0.25">
      <c r="A100" t="s">
        <v>1488</v>
      </c>
      <c r="B100" t="s">
        <v>883</v>
      </c>
      <c r="C100">
        <v>5500000</v>
      </c>
      <c r="D100">
        <v>5523496</v>
      </c>
      <c r="E100">
        <v>5500000</v>
      </c>
      <c r="F100" t="s">
        <v>605</v>
      </c>
      <c r="G100">
        <v>7.6184599999999998</v>
      </c>
      <c r="H100" t="s">
        <v>884</v>
      </c>
      <c r="I100" s="26">
        <v>50155</v>
      </c>
      <c r="J100">
        <v>330</v>
      </c>
      <c r="K100">
        <v>1</v>
      </c>
      <c r="L100">
        <v>7.6173599999999997</v>
      </c>
      <c r="M100" t="s">
        <v>1489</v>
      </c>
      <c r="N100" t="s">
        <v>883</v>
      </c>
      <c r="O100" t="s">
        <v>175</v>
      </c>
      <c r="P100">
        <v>8.5944441279999992</v>
      </c>
      <c r="Q100">
        <v>323.31099872700003</v>
      </c>
      <c r="R100">
        <v>2024</v>
      </c>
      <c r="S100"/>
      <c r="T100" t="s">
        <v>27</v>
      </c>
      <c r="U100" t="s">
        <v>32</v>
      </c>
      <c r="V100" t="s">
        <v>37</v>
      </c>
    </row>
    <row r="101" spans="1:22" x14ac:dyDescent="0.25">
      <c r="A101" t="s">
        <v>1488</v>
      </c>
      <c r="B101" t="s">
        <v>879</v>
      </c>
      <c r="C101">
        <v>1770000</v>
      </c>
      <c r="D101">
        <v>1776702.99</v>
      </c>
      <c r="E101">
        <v>1770000</v>
      </c>
      <c r="F101" t="s">
        <v>605</v>
      </c>
      <c r="G101">
        <v>6.8684599999999998</v>
      </c>
      <c r="H101" t="s">
        <v>880</v>
      </c>
      <c r="I101" s="26">
        <v>50430</v>
      </c>
      <c r="J101">
        <v>255</v>
      </c>
      <c r="K101">
        <v>1</v>
      </c>
      <c r="L101">
        <v>6.8675670000000002</v>
      </c>
      <c r="M101" t="s">
        <v>1489</v>
      </c>
      <c r="N101" t="s">
        <v>879</v>
      </c>
      <c r="O101" t="s">
        <v>175</v>
      </c>
      <c r="P101">
        <v>9.2198360860000008</v>
      </c>
      <c r="Q101">
        <v>249.55739058699999</v>
      </c>
      <c r="R101">
        <v>2025</v>
      </c>
      <c r="S101"/>
      <c r="T101" t="s">
        <v>27</v>
      </c>
      <c r="U101" t="s">
        <v>32</v>
      </c>
      <c r="V101" t="s">
        <v>33</v>
      </c>
    </row>
    <row r="102" spans="1:22" x14ac:dyDescent="0.25">
      <c r="A102" t="s">
        <v>1488</v>
      </c>
      <c r="B102" t="s">
        <v>875</v>
      </c>
      <c r="C102">
        <v>1550000</v>
      </c>
      <c r="D102">
        <v>1555569.15</v>
      </c>
      <c r="E102">
        <v>1550000</v>
      </c>
      <c r="F102" t="s">
        <v>605</v>
      </c>
      <c r="G102">
        <v>7.9291600000000004</v>
      </c>
      <c r="H102" t="s">
        <v>876</v>
      </c>
      <c r="I102" s="26">
        <v>49232</v>
      </c>
      <c r="J102">
        <v>361.161</v>
      </c>
      <c r="K102">
        <v>1</v>
      </c>
      <c r="L102">
        <v>8.0367569999999997</v>
      </c>
      <c r="M102" t="s">
        <v>1489</v>
      </c>
      <c r="N102" t="s">
        <v>875</v>
      </c>
      <c r="O102" t="s">
        <v>175</v>
      </c>
      <c r="P102">
        <v>6.0971576990000003</v>
      </c>
      <c r="Q102">
        <v>353.72934695999999</v>
      </c>
      <c r="R102">
        <v>2021</v>
      </c>
      <c r="S102"/>
      <c r="T102" t="s">
        <v>27</v>
      </c>
      <c r="U102" t="s">
        <v>28</v>
      </c>
      <c r="V102" t="s">
        <v>37</v>
      </c>
    </row>
    <row r="103" spans="1:22" x14ac:dyDescent="0.25">
      <c r="A103" t="s">
        <v>1488</v>
      </c>
      <c r="B103" t="s">
        <v>875</v>
      </c>
      <c r="C103">
        <v>330000</v>
      </c>
      <c r="D103">
        <v>331185.69</v>
      </c>
      <c r="E103">
        <v>330935.21999999997</v>
      </c>
      <c r="F103" t="s">
        <v>605</v>
      </c>
      <c r="G103">
        <v>7.9291600000000004</v>
      </c>
      <c r="H103" t="s">
        <v>876</v>
      </c>
      <c r="I103" s="26">
        <v>49232</v>
      </c>
      <c r="J103">
        <v>361.161</v>
      </c>
      <c r="K103">
        <v>1</v>
      </c>
      <c r="L103">
        <v>8.0367569999999997</v>
      </c>
      <c r="M103" t="s">
        <v>1489</v>
      </c>
      <c r="N103" t="s">
        <v>875</v>
      </c>
      <c r="O103" t="s">
        <v>175</v>
      </c>
      <c r="P103">
        <v>6.0971576990000003</v>
      </c>
      <c r="Q103">
        <v>353.72934695999999</v>
      </c>
      <c r="R103">
        <v>2021</v>
      </c>
      <c r="S103"/>
      <c r="T103" t="s">
        <v>27</v>
      </c>
      <c r="U103" t="s">
        <v>28</v>
      </c>
      <c r="V103" t="s">
        <v>37</v>
      </c>
    </row>
    <row r="104" spans="1:22" x14ac:dyDescent="0.25">
      <c r="A104" t="s">
        <v>1488</v>
      </c>
      <c r="B104" t="s">
        <v>875</v>
      </c>
      <c r="C104">
        <v>330000</v>
      </c>
      <c r="D104">
        <v>331185.69</v>
      </c>
      <c r="E104">
        <v>330935.21999999997</v>
      </c>
      <c r="F104" t="s">
        <v>605</v>
      </c>
      <c r="G104">
        <v>7.9291600000000004</v>
      </c>
      <c r="H104" t="s">
        <v>876</v>
      </c>
      <c r="I104" s="26">
        <v>49232</v>
      </c>
      <c r="J104">
        <v>361.161</v>
      </c>
      <c r="K104">
        <v>1</v>
      </c>
      <c r="L104">
        <v>8.0367569999999997</v>
      </c>
      <c r="M104" t="s">
        <v>1489</v>
      </c>
      <c r="N104" t="s">
        <v>875</v>
      </c>
      <c r="O104" t="s">
        <v>175</v>
      </c>
      <c r="P104">
        <v>6.0971576990000003</v>
      </c>
      <c r="Q104">
        <v>353.72934695999999</v>
      </c>
      <c r="R104">
        <v>2021</v>
      </c>
      <c r="S104"/>
      <c r="T104" t="s">
        <v>27</v>
      </c>
      <c r="U104" t="s">
        <v>28</v>
      </c>
      <c r="V104" t="s">
        <v>37</v>
      </c>
    </row>
    <row r="105" spans="1:22" x14ac:dyDescent="0.25">
      <c r="A105" t="s">
        <v>1488</v>
      </c>
      <c r="B105" t="s">
        <v>869</v>
      </c>
      <c r="C105">
        <v>6500000</v>
      </c>
      <c r="D105">
        <v>6532513</v>
      </c>
      <c r="E105">
        <v>6500000</v>
      </c>
      <c r="F105" t="s">
        <v>605</v>
      </c>
      <c r="G105">
        <v>7.3675499999999996</v>
      </c>
      <c r="H105" t="s">
        <v>870</v>
      </c>
      <c r="I105" s="26">
        <v>50328</v>
      </c>
      <c r="J105">
        <v>305</v>
      </c>
      <c r="K105">
        <v>1</v>
      </c>
      <c r="L105">
        <v>7.3665190000000003</v>
      </c>
      <c r="M105" t="s">
        <v>1489</v>
      </c>
      <c r="N105" t="s">
        <v>869</v>
      </c>
      <c r="O105" t="s">
        <v>176</v>
      </c>
      <c r="P105">
        <v>8.2262426130000001</v>
      </c>
      <c r="Q105">
        <v>297.03343017100002</v>
      </c>
      <c r="R105">
        <v>2024</v>
      </c>
      <c r="S105"/>
      <c r="T105" t="s">
        <v>27</v>
      </c>
      <c r="U105" t="s">
        <v>32</v>
      </c>
      <c r="V105" t="s">
        <v>37</v>
      </c>
    </row>
    <row r="106" spans="1:22" x14ac:dyDescent="0.25">
      <c r="A106" t="s">
        <v>1488</v>
      </c>
      <c r="B106" t="s">
        <v>607</v>
      </c>
      <c r="C106">
        <v>6400000</v>
      </c>
      <c r="D106">
        <v>6424896</v>
      </c>
      <c r="E106">
        <v>6400000</v>
      </c>
      <c r="F106" t="s">
        <v>605</v>
      </c>
      <c r="G106">
        <v>6.2184600000000003</v>
      </c>
      <c r="H106" t="s">
        <v>608</v>
      </c>
      <c r="I106" s="26">
        <v>50430</v>
      </c>
      <c r="J106">
        <v>190</v>
      </c>
      <c r="K106">
        <v>1</v>
      </c>
      <c r="L106">
        <v>6.2177280000000001</v>
      </c>
      <c r="M106" t="s">
        <v>1489</v>
      </c>
      <c r="N106" t="s">
        <v>607</v>
      </c>
      <c r="O106" t="s">
        <v>176</v>
      </c>
      <c r="P106">
        <v>8.6746584640000002</v>
      </c>
      <c r="Q106">
        <v>184.31276813599999</v>
      </c>
      <c r="R106">
        <v>2024</v>
      </c>
      <c r="S106"/>
      <c r="T106" t="s">
        <v>23</v>
      </c>
      <c r="U106" t="s">
        <v>32</v>
      </c>
      <c r="V106" t="s">
        <v>33</v>
      </c>
    </row>
    <row r="107" spans="1:22" x14ac:dyDescent="0.25">
      <c r="A107" t="s">
        <v>1488</v>
      </c>
      <c r="B107" t="s">
        <v>885</v>
      </c>
      <c r="C107">
        <v>6400000</v>
      </c>
      <c r="D107">
        <v>6444211.2000000002</v>
      </c>
      <c r="E107">
        <v>6400000</v>
      </c>
      <c r="F107" t="s">
        <v>605</v>
      </c>
      <c r="G107">
        <v>7.2684600000000001</v>
      </c>
      <c r="H107" t="s">
        <v>886</v>
      </c>
      <c r="I107" s="26">
        <v>50430</v>
      </c>
      <c r="J107">
        <v>295</v>
      </c>
      <c r="K107">
        <v>1</v>
      </c>
      <c r="L107">
        <v>7.2674599999999998</v>
      </c>
      <c r="M107" t="s">
        <v>1489</v>
      </c>
      <c r="N107" t="s">
        <v>885</v>
      </c>
      <c r="O107" t="s">
        <v>176</v>
      </c>
      <c r="P107">
        <v>9.1957404359999995</v>
      </c>
      <c r="Q107">
        <v>284.97664206899998</v>
      </c>
      <c r="R107">
        <v>2024</v>
      </c>
      <c r="S107"/>
      <c r="T107" t="s">
        <v>27</v>
      </c>
      <c r="U107" t="s">
        <v>32</v>
      </c>
      <c r="V107" t="s">
        <v>37</v>
      </c>
    </row>
    <row r="108" spans="1:22" x14ac:dyDescent="0.25">
      <c r="A108" t="s">
        <v>1488</v>
      </c>
      <c r="B108" t="s">
        <v>609</v>
      </c>
      <c r="C108">
        <v>3000000</v>
      </c>
      <c r="D108">
        <v>3013095</v>
      </c>
      <c r="E108">
        <v>3000000</v>
      </c>
      <c r="F108" t="s">
        <v>605</v>
      </c>
      <c r="G108">
        <v>5.95648</v>
      </c>
      <c r="H108" t="s">
        <v>610</v>
      </c>
      <c r="I108" s="26">
        <v>50510</v>
      </c>
      <c r="J108">
        <v>170</v>
      </c>
      <c r="K108">
        <v>1</v>
      </c>
      <c r="L108">
        <v>5.950043</v>
      </c>
      <c r="M108" t="s">
        <v>1489</v>
      </c>
      <c r="N108" t="s">
        <v>609</v>
      </c>
      <c r="O108" t="s">
        <v>176</v>
      </c>
      <c r="P108">
        <v>8.8324970579999995</v>
      </c>
      <c r="Q108">
        <v>163.68526963299999</v>
      </c>
      <c r="R108">
        <v>2025</v>
      </c>
      <c r="S108"/>
      <c r="T108" t="s">
        <v>23</v>
      </c>
      <c r="U108" t="s">
        <v>32</v>
      </c>
      <c r="V108" t="s">
        <v>29</v>
      </c>
    </row>
    <row r="109" spans="1:22" x14ac:dyDescent="0.25">
      <c r="A109" t="s">
        <v>1488</v>
      </c>
      <c r="B109" t="s">
        <v>887</v>
      </c>
      <c r="C109">
        <v>9000000</v>
      </c>
      <c r="D109">
        <v>9016380</v>
      </c>
      <c r="E109">
        <v>9000000</v>
      </c>
      <c r="F109" t="s">
        <v>605</v>
      </c>
      <c r="G109">
        <v>6.8064799999999996</v>
      </c>
      <c r="H109" t="s">
        <v>888</v>
      </c>
      <c r="I109" s="26">
        <v>50510</v>
      </c>
      <c r="J109">
        <v>255</v>
      </c>
      <c r="K109">
        <v>1</v>
      </c>
      <c r="L109">
        <v>6.7979279999999997</v>
      </c>
      <c r="M109" t="s">
        <v>1489</v>
      </c>
      <c r="N109" t="s">
        <v>887</v>
      </c>
      <c r="O109" t="s">
        <v>176</v>
      </c>
      <c r="P109">
        <v>9.3559513990000003</v>
      </c>
      <c r="Q109">
        <v>252.18056983700001</v>
      </c>
      <c r="R109">
        <v>2025</v>
      </c>
      <c r="S109"/>
      <c r="T109" t="s">
        <v>27</v>
      </c>
      <c r="U109" t="s">
        <v>32</v>
      </c>
      <c r="V109" t="s">
        <v>33</v>
      </c>
    </row>
    <row r="110" spans="1:22" x14ac:dyDescent="0.25">
      <c r="A110" t="s">
        <v>1488</v>
      </c>
      <c r="B110" t="s">
        <v>856</v>
      </c>
      <c r="C110">
        <v>4400000</v>
      </c>
      <c r="D110">
        <v>4412430</v>
      </c>
      <c r="E110">
        <v>4400000</v>
      </c>
      <c r="F110" t="s">
        <v>854</v>
      </c>
      <c r="G110">
        <v>7.51755</v>
      </c>
      <c r="H110" t="s">
        <v>857</v>
      </c>
      <c r="I110" s="26">
        <v>50236</v>
      </c>
      <c r="J110">
        <v>320</v>
      </c>
      <c r="K110">
        <v>1</v>
      </c>
      <c r="L110">
        <v>7.5164759999999999</v>
      </c>
      <c r="M110" t="s">
        <v>1489</v>
      </c>
      <c r="N110" t="s">
        <v>856</v>
      </c>
      <c r="O110" t="s">
        <v>75</v>
      </c>
      <c r="P110">
        <v>8.8606200590000004</v>
      </c>
      <c r="Q110">
        <v>315.64964186899999</v>
      </c>
      <c r="R110">
        <v>2024</v>
      </c>
      <c r="S110"/>
      <c r="T110" t="s">
        <v>27</v>
      </c>
      <c r="U110" t="s">
        <v>32</v>
      </c>
      <c r="V110" t="s">
        <v>37</v>
      </c>
    </row>
    <row r="111" spans="1:22" x14ac:dyDescent="0.25">
      <c r="A111" t="s">
        <v>1488</v>
      </c>
      <c r="B111" t="s">
        <v>444</v>
      </c>
      <c r="C111">
        <v>4330000</v>
      </c>
      <c r="D111">
        <v>4356196.5</v>
      </c>
      <c r="E111">
        <v>4330000</v>
      </c>
      <c r="F111" t="s">
        <v>854</v>
      </c>
      <c r="G111">
        <v>7.5208700000000004</v>
      </c>
      <c r="H111" t="s">
        <v>443</v>
      </c>
      <c r="I111" s="26">
        <v>50606</v>
      </c>
      <c r="J111">
        <v>315</v>
      </c>
      <c r="L111">
        <v>7.5121950000000002</v>
      </c>
      <c r="M111" t="s">
        <v>1489</v>
      </c>
      <c r="N111" t="s">
        <v>444</v>
      </c>
      <c r="O111" t="s">
        <v>75</v>
      </c>
      <c r="P111">
        <v>9.6493193579999996</v>
      </c>
      <c r="Q111">
        <v>304.51113927799997</v>
      </c>
      <c r="R111">
        <v>2025</v>
      </c>
      <c r="S111"/>
      <c r="T111" t="s">
        <v>27</v>
      </c>
      <c r="U111" t="s">
        <v>32</v>
      </c>
      <c r="V111" t="s">
        <v>37</v>
      </c>
    </row>
    <row r="112" spans="1:22" x14ac:dyDescent="0.25">
      <c r="A112" t="s">
        <v>1488</v>
      </c>
      <c r="B112" t="s">
        <v>853</v>
      </c>
      <c r="C112">
        <v>3000000</v>
      </c>
      <c r="D112">
        <v>3011019</v>
      </c>
      <c r="E112">
        <v>3000000</v>
      </c>
      <c r="F112" t="s">
        <v>854</v>
      </c>
      <c r="G112">
        <v>7.4754899999999997</v>
      </c>
      <c r="H112" t="s">
        <v>855</v>
      </c>
      <c r="I112" s="26">
        <v>50332</v>
      </c>
      <c r="J112">
        <v>315</v>
      </c>
      <c r="K112">
        <v>1</v>
      </c>
      <c r="L112">
        <v>7.4744999999999999</v>
      </c>
      <c r="M112" t="s">
        <v>1489</v>
      </c>
      <c r="N112" t="s">
        <v>853</v>
      </c>
      <c r="O112" t="s">
        <v>75</v>
      </c>
      <c r="P112">
        <v>9.0704570459999996</v>
      </c>
      <c r="Q112">
        <v>309.500057997</v>
      </c>
      <c r="R112">
        <v>2024</v>
      </c>
      <c r="S112"/>
      <c r="T112" t="s">
        <v>27</v>
      </c>
      <c r="U112" t="s">
        <v>32</v>
      </c>
      <c r="V112" t="s">
        <v>37</v>
      </c>
    </row>
    <row r="113" spans="1:22" x14ac:dyDescent="0.25">
      <c r="A113" t="s">
        <v>1488</v>
      </c>
      <c r="B113" t="s">
        <v>858</v>
      </c>
      <c r="C113">
        <v>14000000</v>
      </c>
      <c r="D113">
        <v>14043652</v>
      </c>
      <c r="E113">
        <v>14000000</v>
      </c>
      <c r="F113" t="s">
        <v>854</v>
      </c>
      <c r="G113">
        <v>7.0928399999999998</v>
      </c>
      <c r="H113" t="s">
        <v>859</v>
      </c>
      <c r="I113" s="26">
        <v>50517</v>
      </c>
      <c r="J113">
        <v>275</v>
      </c>
      <c r="K113">
        <v>1</v>
      </c>
      <c r="L113">
        <v>7.0843809999999996</v>
      </c>
      <c r="M113" t="s">
        <v>1489</v>
      </c>
      <c r="N113" t="s">
        <v>858</v>
      </c>
      <c r="O113" t="s">
        <v>75</v>
      </c>
      <c r="P113">
        <v>9.4552336169999993</v>
      </c>
      <c r="Q113">
        <v>270.335801178</v>
      </c>
      <c r="R113">
        <v>2025</v>
      </c>
      <c r="S113"/>
      <c r="T113" t="s">
        <v>27</v>
      </c>
      <c r="U113" t="s">
        <v>32</v>
      </c>
      <c r="V113" t="s">
        <v>37</v>
      </c>
    </row>
    <row r="114" spans="1:22" x14ac:dyDescent="0.25">
      <c r="A114" t="s">
        <v>1488</v>
      </c>
      <c r="B114" t="s">
        <v>596</v>
      </c>
      <c r="C114">
        <v>7817058</v>
      </c>
      <c r="D114">
        <v>7828494.3600000003</v>
      </c>
      <c r="E114">
        <v>7817058</v>
      </c>
      <c r="F114" t="s">
        <v>597</v>
      </c>
      <c r="G114">
        <v>7.2754899999999996</v>
      </c>
      <c r="H114" t="s">
        <v>598</v>
      </c>
      <c r="I114" s="26">
        <v>50150</v>
      </c>
      <c r="J114">
        <v>295</v>
      </c>
      <c r="K114">
        <v>1</v>
      </c>
      <c r="L114">
        <v>7.2745230000000003</v>
      </c>
      <c r="M114" t="s">
        <v>1489</v>
      </c>
      <c r="N114" t="s">
        <v>596</v>
      </c>
      <c r="O114" t="s">
        <v>160</v>
      </c>
      <c r="P114">
        <v>7.4787454569999996</v>
      </c>
      <c r="Q114">
        <v>292.40153467599998</v>
      </c>
      <c r="R114">
        <v>2025</v>
      </c>
      <c r="S114"/>
      <c r="T114" t="s">
        <v>23</v>
      </c>
      <c r="U114" t="s">
        <v>28</v>
      </c>
      <c r="V114" t="s">
        <v>37</v>
      </c>
    </row>
    <row r="115" spans="1:22" x14ac:dyDescent="0.25">
      <c r="A115" t="s">
        <v>1488</v>
      </c>
      <c r="B115" t="s">
        <v>601</v>
      </c>
      <c r="C115">
        <v>4000000</v>
      </c>
      <c r="D115">
        <v>4011808</v>
      </c>
      <c r="E115">
        <v>4000000</v>
      </c>
      <c r="F115" t="s">
        <v>602</v>
      </c>
      <c r="G115">
        <v>8.4254899999999999</v>
      </c>
      <c r="H115" t="s">
        <v>603</v>
      </c>
      <c r="I115" s="26">
        <v>48872</v>
      </c>
      <c r="J115">
        <v>410</v>
      </c>
      <c r="K115">
        <v>1</v>
      </c>
      <c r="L115">
        <v>8.4242000000000008</v>
      </c>
      <c r="M115" t="s">
        <v>1489</v>
      </c>
      <c r="N115" t="s">
        <v>601</v>
      </c>
      <c r="O115" t="s">
        <v>160</v>
      </c>
      <c r="P115">
        <v>3.1294006460000001</v>
      </c>
      <c r="Q115">
        <v>398.828619817</v>
      </c>
      <c r="R115">
        <v>2023</v>
      </c>
      <c r="S115"/>
      <c r="T115" t="s">
        <v>23</v>
      </c>
      <c r="U115" t="s">
        <v>20</v>
      </c>
      <c r="V115" t="s">
        <v>37</v>
      </c>
    </row>
    <row r="116" spans="1:22" x14ac:dyDescent="0.25">
      <c r="A116" t="s">
        <v>1488</v>
      </c>
      <c r="B116" t="s">
        <v>599</v>
      </c>
      <c r="C116">
        <v>14700000</v>
      </c>
      <c r="D116">
        <v>14516441.1</v>
      </c>
      <c r="E116">
        <v>14700000</v>
      </c>
      <c r="F116" t="s">
        <v>597</v>
      </c>
      <c r="G116">
        <v>6.6675500000000003</v>
      </c>
      <c r="H116" t="s">
        <v>600</v>
      </c>
      <c r="I116" s="26">
        <v>50420</v>
      </c>
      <c r="J116">
        <v>235</v>
      </c>
      <c r="K116">
        <v>1</v>
      </c>
      <c r="L116">
        <v>6.6667059999999996</v>
      </c>
      <c r="M116" t="s">
        <v>1489</v>
      </c>
      <c r="N116" t="s">
        <v>599</v>
      </c>
      <c r="O116" t="s">
        <v>160</v>
      </c>
      <c r="P116">
        <v>8.2323538490000008</v>
      </c>
      <c r="Q116">
        <v>254.042459791</v>
      </c>
      <c r="R116">
        <v>2024</v>
      </c>
      <c r="S116"/>
      <c r="T116" t="s">
        <v>23</v>
      </c>
      <c r="U116" t="s">
        <v>32</v>
      </c>
      <c r="V116" t="s">
        <v>33</v>
      </c>
    </row>
    <row r="117" spans="1:22" x14ac:dyDescent="0.25">
      <c r="A117" t="s">
        <v>1488</v>
      </c>
      <c r="B117" t="s">
        <v>862</v>
      </c>
      <c r="C117">
        <v>16400000</v>
      </c>
      <c r="D117">
        <v>16163233.199999999</v>
      </c>
      <c r="E117">
        <v>16400000</v>
      </c>
      <c r="F117" t="s">
        <v>597</v>
      </c>
      <c r="G117">
        <v>8.2175499999999992</v>
      </c>
      <c r="H117" t="s">
        <v>863</v>
      </c>
      <c r="I117" s="26">
        <v>50420</v>
      </c>
      <c r="J117">
        <v>390</v>
      </c>
      <c r="K117">
        <v>1</v>
      </c>
      <c r="L117">
        <v>8.2162679999999995</v>
      </c>
      <c r="M117" t="s">
        <v>1489</v>
      </c>
      <c r="N117" t="s">
        <v>862</v>
      </c>
      <c r="O117" t="s">
        <v>160</v>
      </c>
      <c r="P117">
        <v>8.7429402809999992</v>
      </c>
      <c r="Q117">
        <v>412.36305529800001</v>
      </c>
      <c r="R117">
        <v>2024</v>
      </c>
      <c r="S117"/>
      <c r="T117" t="s">
        <v>27</v>
      </c>
      <c r="U117" t="s">
        <v>32</v>
      </c>
      <c r="V117" t="s">
        <v>37</v>
      </c>
    </row>
    <row r="118" spans="1:22" x14ac:dyDescent="0.25">
      <c r="A118" t="s">
        <v>1488</v>
      </c>
      <c r="B118" t="s">
        <v>864</v>
      </c>
      <c r="C118">
        <v>4290000</v>
      </c>
      <c r="D118">
        <v>4283063.07</v>
      </c>
      <c r="E118">
        <v>4257825</v>
      </c>
      <c r="F118" t="s">
        <v>865</v>
      </c>
      <c r="G118">
        <v>7.5871000000000004</v>
      </c>
      <c r="H118" t="s">
        <v>866</v>
      </c>
      <c r="I118" s="26">
        <v>49053</v>
      </c>
      <c r="J118">
        <v>326.161</v>
      </c>
      <c r="K118">
        <v>1</v>
      </c>
      <c r="L118">
        <v>7.6893289999999999</v>
      </c>
      <c r="M118" t="s">
        <v>1489</v>
      </c>
      <c r="N118" t="s">
        <v>864</v>
      </c>
      <c r="O118" t="s">
        <v>177</v>
      </c>
      <c r="P118">
        <v>6.035785229</v>
      </c>
      <c r="Q118">
        <v>329.24995327099998</v>
      </c>
      <c r="R118">
        <v>2021</v>
      </c>
      <c r="S118"/>
      <c r="T118" t="s">
        <v>27</v>
      </c>
      <c r="U118" t="s">
        <v>28</v>
      </c>
      <c r="V118" t="s">
        <v>37</v>
      </c>
    </row>
    <row r="119" spans="1:22" x14ac:dyDescent="0.25">
      <c r="A119" t="s">
        <v>1488</v>
      </c>
      <c r="B119" t="s">
        <v>904</v>
      </c>
      <c r="C119">
        <v>41840107</v>
      </c>
      <c r="D119">
        <v>41918933.759999998</v>
      </c>
      <c r="E119">
        <v>41840107</v>
      </c>
      <c r="F119" t="s">
        <v>193</v>
      </c>
      <c r="G119">
        <v>8.0840099999999993</v>
      </c>
      <c r="H119" t="s">
        <v>905</v>
      </c>
      <c r="I119" s="26">
        <v>49142</v>
      </c>
      <c r="J119">
        <v>376.161</v>
      </c>
      <c r="K119">
        <v>1</v>
      </c>
      <c r="L119">
        <v>8.2033240000000003</v>
      </c>
      <c r="M119" t="s">
        <v>1489</v>
      </c>
      <c r="N119" t="s">
        <v>904</v>
      </c>
      <c r="O119" t="s">
        <v>82</v>
      </c>
      <c r="P119">
        <v>6.1117025890000001</v>
      </c>
      <c r="Q119">
        <v>372.16351089400001</v>
      </c>
      <c r="R119">
        <v>2021</v>
      </c>
      <c r="S119"/>
      <c r="T119" t="s">
        <v>27</v>
      </c>
      <c r="U119" t="s">
        <v>28</v>
      </c>
      <c r="V119" t="s">
        <v>37</v>
      </c>
    </row>
    <row r="120" spans="1:22" x14ac:dyDescent="0.25">
      <c r="A120" t="s">
        <v>1488</v>
      </c>
      <c r="B120" t="s">
        <v>901</v>
      </c>
      <c r="C120">
        <v>25827082</v>
      </c>
      <c r="D120">
        <v>25878219.620000001</v>
      </c>
      <c r="E120">
        <v>25827082</v>
      </c>
      <c r="F120" t="s">
        <v>193</v>
      </c>
      <c r="G120">
        <v>7.9340099999999998</v>
      </c>
      <c r="H120" t="s">
        <v>902</v>
      </c>
      <c r="I120" s="26">
        <v>49142</v>
      </c>
      <c r="J120">
        <v>361.161</v>
      </c>
      <c r="K120">
        <v>1</v>
      </c>
      <c r="L120">
        <v>8.0510730000000006</v>
      </c>
      <c r="M120" t="s">
        <v>1489</v>
      </c>
      <c r="N120" t="s">
        <v>901</v>
      </c>
      <c r="O120" t="s">
        <v>82</v>
      </c>
      <c r="P120">
        <v>5.9506012559999997</v>
      </c>
      <c r="Q120">
        <v>356.928036394</v>
      </c>
      <c r="R120">
        <v>2021</v>
      </c>
      <c r="S120"/>
      <c r="T120" t="s">
        <v>27</v>
      </c>
      <c r="U120" t="s">
        <v>24</v>
      </c>
      <c r="V120" t="s">
        <v>37</v>
      </c>
    </row>
    <row r="121" spans="1:22" x14ac:dyDescent="0.25">
      <c r="A121" t="s">
        <v>1488</v>
      </c>
      <c r="B121" t="s">
        <v>548</v>
      </c>
      <c r="C121">
        <v>49875000</v>
      </c>
      <c r="D121">
        <v>49927468.5</v>
      </c>
      <c r="E121">
        <v>49875000</v>
      </c>
      <c r="F121" t="s">
        <v>275</v>
      </c>
      <c r="G121">
        <v>6.3340100000000001</v>
      </c>
      <c r="H121" t="s">
        <v>549</v>
      </c>
      <c r="I121" s="26">
        <v>47955</v>
      </c>
      <c r="J121">
        <v>201.161</v>
      </c>
      <c r="K121">
        <v>1</v>
      </c>
      <c r="L121">
        <v>6.4269610000000004</v>
      </c>
      <c r="M121" t="s">
        <v>1489</v>
      </c>
      <c r="N121" t="s">
        <v>548</v>
      </c>
      <c r="O121" t="s">
        <v>82</v>
      </c>
      <c r="P121">
        <v>2.6908278320000001</v>
      </c>
      <c r="Q121">
        <v>196.60919201199999</v>
      </c>
      <c r="R121">
        <v>2018</v>
      </c>
      <c r="S121"/>
      <c r="T121" t="s">
        <v>19</v>
      </c>
      <c r="U121" t="s">
        <v>20</v>
      </c>
      <c r="V121" t="s">
        <v>33</v>
      </c>
    </row>
    <row r="122" spans="1:22" x14ac:dyDescent="0.25">
      <c r="A122" t="s">
        <v>1497</v>
      </c>
      <c r="B122" t="s">
        <v>913</v>
      </c>
      <c r="C122">
        <v>9375000</v>
      </c>
      <c r="D122">
        <v>9416437.5</v>
      </c>
      <c r="E122">
        <v>9375000</v>
      </c>
      <c r="F122" t="s">
        <v>275</v>
      </c>
      <c r="G122">
        <v>7.0840100000000001</v>
      </c>
      <c r="H122" t="s">
        <v>914</v>
      </c>
      <c r="I122" s="26">
        <v>47955</v>
      </c>
      <c r="J122">
        <v>276.161</v>
      </c>
      <c r="K122">
        <v>1</v>
      </c>
      <c r="L122">
        <v>7.1881240000000002</v>
      </c>
      <c r="M122" t="s">
        <v>1489</v>
      </c>
      <c r="N122" t="s">
        <v>913</v>
      </c>
      <c r="O122" t="s">
        <v>82</v>
      </c>
      <c r="P122">
        <v>3.02864588</v>
      </c>
      <c r="Q122">
        <v>259.61456228999998</v>
      </c>
      <c r="R122">
        <v>2018</v>
      </c>
      <c r="S122"/>
      <c r="T122" t="s">
        <v>27</v>
      </c>
      <c r="U122" t="s">
        <v>20</v>
      </c>
      <c r="V122" t="s">
        <v>37</v>
      </c>
    </row>
    <row r="123" spans="1:22" x14ac:dyDescent="0.25">
      <c r="A123" t="s">
        <v>1488</v>
      </c>
      <c r="B123" t="s">
        <v>543</v>
      </c>
      <c r="C123">
        <v>5250000</v>
      </c>
      <c r="D123">
        <v>5266899.75</v>
      </c>
      <c r="E123">
        <v>5250000</v>
      </c>
      <c r="F123" t="s">
        <v>193</v>
      </c>
      <c r="G123">
        <v>6.1871</v>
      </c>
      <c r="H123" t="s">
        <v>544</v>
      </c>
      <c r="I123" s="26">
        <v>48049</v>
      </c>
      <c r="J123">
        <v>186.161</v>
      </c>
      <c r="K123">
        <v>1</v>
      </c>
      <c r="L123">
        <v>6.2725549999999997</v>
      </c>
      <c r="M123" t="s">
        <v>1489</v>
      </c>
      <c r="N123" t="s">
        <v>543</v>
      </c>
      <c r="O123" t="s">
        <v>82</v>
      </c>
      <c r="P123">
        <v>2.5091379690000002</v>
      </c>
      <c r="Q123">
        <v>171.24414171399999</v>
      </c>
      <c r="R123">
        <v>2018</v>
      </c>
      <c r="S123"/>
      <c r="T123" t="s">
        <v>15</v>
      </c>
      <c r="U123" t="s">
        <v>20</v>
      </c>
      <c r="V123" t="s">
        <v>33</v>
      </c>
    </row>
    <row r="124" spans="1:22" x14ac:dyDescent="0.25">
      <c r="A124" t="s">
        <v>1488</v>
      </c>
      <c r="B124" t="s">
        <v>546</v>
      </c>
      <c r="C124">
        <v>20625000</v>
      </c>
      <c r="D124">
        <v>20658515.629999999</v>
      </c>
      <c r="E124">
        <v>20625000</v>
      </c>
      <c r="F124" t="s">
        <v>193</v>
      </c>
      <c r="G124">
        <v>6.4870999999999999</v>
      </c>
      <c r="H124" t="s">
        <v>547</v>
      </c>
      <c r="I124" s="26">
        <v>48049</v>
      </c>
      <c r="J124">
        <v>216.161</v>
      </c>
      <c r="K124">
        <v>1</v>
      </c>
      <c r="L124">
        <v>6.57667</v>
      </c>
      <c r="M124" t="s">
        <v>1489</v>
      </c>
      <c r="N124" t="s">
        <v>546</v>
      </c>
      <c r="O124" t="s">
        <v>82</v>
      </c>
      <c r="P124">
        <v>2.933313965</v>
      </c>
      <c r="Q124">
        <v>209.711357316</v>
      </c>
      <c r="R124">
        <v>2018</v>
      </c>
      <c r="S124"/>
      <c r="T124" t="s">
        <v>19</v>
      </c>
      <c r="U124" t="s">
        <v>20</v>
      </c>
      <c r="V124" t="s">
        <v>33</v>
      </c>
    </row>
    <row r="125" spans="1:22" x14ac:dyDescent="0.25">
      <c r="A125" t="s">
        <v>1488</v>
      </c>
      <c r="B125" t="s">
        <v>546</v>
      </c>
      <c r="C125">
        <v>18000000</v>
      </c>
      <c r="D125">
        <v>18029250</v>
      </c>
      <c r="E125">
        <v>18000000</v>
      </c>
      <c r="F125" t="s">
        <v>193</v>
      </c>
      <c r="G125">
        <v>6.4870999999999999</v>
      </c>
      <c r="H125" t="s">
        <v>547</v>
      </c>
      <c r="I125" s="26">
        <v>48049</v>
      </c>
      <c r="J125">
        <v>216.161</v>
      </c>
      <c r="K125">
        <v>1</v>
      </c>
      <c r="L125">
        <v>6.57667</v>
      </c>
      <c r="M125" t="s">
        <v>1489</v>
      </c>
      <c r="N125" t="s">
        <v>546</v>
      </c>
      <c r="O125" t="s">
        <v>82</v>
      </c>
      <c r="P125">
        <v>2.933313965</v>
      </c>
      <c r="Q125">
        <v>209.711357316</v>
      </c>
      <c r="R125">
        <v>2018</v>
      </c>
      <c r="S125"/>
      <c r="T125" t="s">
        <v>19</v>
      </c>
      <c r="U125" t="s">
        <v>20</v>
      </c>
      <c r="V125" t="s">
        <v>33</v>
      </c>
    </row>
    <row r="126" spans="1:22" x14ac:dyDescent="0.25">
      <c r="A126" t="s">
        <v>1488</v>
      </c>
      <c r="B126" t="s">
        <v>906</v>
      </c>
      <c r="C126">
        <v>25125000</v>
      </c>
      <c r="D126">
        <v>25175400.75</v>
      </c>
      <c r="E126">
        <v>25125000</v>
      </c>
      <c r="F126" t="s">
        <v>193</v>
      </c>
      <c r="G126">
        <v>7.3871000000000002</v>
      </c>
      <c r="H126" t="s">
        <v>907</v>
      </c>
      <c r="I126" s="26">
        <v>48049</v>
      </c>
      <c r="J126">
        <v>306.161</v>
      </c>
      <c r="K126">
        <v>1</v>
      </c>
      <c r="L126">
        <v>7.4890030000000003</v>
      </c>
      <c r="M126" t="s">
        <v>1489</v>
      </c>
      <c r="N126" t="s">
        <v>906</v>
      </c>
      <c r="O126" t="s">
        <v>82</v>
      </c>
      <c r="P126">
        <v>3.2730261939999998</v>
      </c>
      <c r="Q126">
        <v>298.87447825700002</v>
      </c>
      <c r="R126">
        <v>2018</v>
      </c>
      <c r="S126"/>
      <c r="T126" t="s">
        <v>27</v>
      </c>
      <c r="U126" t="s">
        <v>20</v>
      </c>
      <c r="V126" t="s">
        <v>37</v>
      </c>
    </row>
    <row r="127" spans="1:22" x14ac:dyDescent="0.25">
      <c r="A127" t="s">
        <v>1488</v>
      </c>
      <c r="B127" t="s">
        <v>447</v>
      </c>
      <c r="C127">
        <v>10000000</v>
      </c>
      <c r="D127">
        <v>10010670</v>
      </c>
      <c r="E127">
        <v>10000000</v>
      </c>
      <c r="F127" t="s">
        <v>275</v>
      </c>
      <c r="G127">
        <v>7.2810899999999998</v>
      </c>
      <c r="H127" t="s">
        <v>446</v>
      </c>
      <c r="I127" s="26">
        <v>50495</v>
      </c>
      <c r="J127">
        <v>300</v>
      </c>
      <c r="L127">
        <v>7.272195</v>
      </c>
      <c r="M127" t="s">
        <v>1489</v>
      </c>
      <c r="N127" t="s">
        <v>447</v>
      </c>
      <c r="O127" t="s">
        <v>82</v>
      </c>
      <c r="P127">
        <v>9.5236410809999992</v>
      </c>
      <c r="Q127">
        <v>296.80928519600002</v>
      </c>
      <c r="R127">
        <v>2025</v>
      </c>
      <c r="S127"/>
      <c r="T127" t="s">
        <v>27</v>
      </c>
      <c r="U127" t="s">
        <v>32</v>
      </c>
      <c r="V127" t="s">
        <v>37</v>
      </c>
    </row>
    <row r="128" spans="1:22" x14ac:dyDescent="0.25">
      <c r="A128" t="s">
        <v>1488</v>
      </c>
      <c r="B128" t="s">
        <v>916</v>
      </c>
      <c r="C128">
        <v>3800000</v>
      </c>
      <c r="D128">
        <v>3806513.2</v>
      </c>
      <c r="E128">
        <v>3800000</v>
      </c>
      <c r="F128" t="s">
        <v>275</v>
      </c>
      <c r="G128">
        <v>8.0399700000000003</v>
      </c>
      <c r="H128" t="s">
        <v>917</v>
      </c>
      <c r="I128" s="26">
        <v>50495</v>
      </c>
      <c r="J128">
        <v>375</v>
      </c>
      <c r="K128">
        <v>1</v>
      </c>
      <c r="L128">
        <v>8.0322010000000006</v>
      </c>
      <c r="M128" t="s">
        <v>1489</v>
      </c>
      <c r="N128" t="s">
        <v>916</v>
      </c>
      <c r="O128" t="s">
        <v>82</v>
      </c>
      <c r="P128">
        <v>9.2648249749999998</v>
      </c>
      <c r="Q128">
        <v>372.106840686</v>
      </c>
      <c r="R128">
        <v>2025</v>
      </c>
      <c r="S128"/>
      <c r="T128" t="s">
        <v>27</v>
      </c>
      <c r="U128" t="s">
        <v>32</v>
      </c>
      <c r="V128" t="s">
        <v>37</v>
      </c>
    </row>
    <row r="129" spans="1:22" x14ac:dyDescent="0.25">
      <c r="A129" t="s">
        <v>1488</v>
      </c>
      <c r="B129" t="s">
        <v>918</v>
      </c>
      <c r="C129">
        <v>1140000</v>
      </c>
      <c r="D129">
        <v>1163243.46</v>
      </c>
      <c r="E129">
        <v>1140000</v>
      </c>
      <c r="F129" t="s">
        <v>275</v>
      </c>
      <c r="G129">
        <v>10.28997</v>
      </c>
      <c r="H129" t="s">
        <v>919</v>
      </c>
      <c r="I129" s="26">
        <v>50495</v>
      </c>
      <c r="J129">
        <v>600</v>
      </c>
      <c r="K129">
        <v>1</v>
      </c>
      <c r="L129">
        <v>10.276664999999999</v>
      </c>
      <c r="M129" t="s">
        <v>1489</v>
      </c>
      <c r="N129" t="s">
        <v>918</v>
      </c>
      <c r="O129" t="s">
        <v>82</v>
      </c>
      <c r="P129">
        <v>9.5529454479999991</v>
      </c>
      <c r="Q129">
        <v>567.33707069499997</v>
      </c>
      <c r="R129">
        <v>2025</v>
      </c>
      <c r="S129"/>
      <c r="T129" t="s">
        <v>27</v>
      </c>
      <c r="U129" t="s">
        <v>32</v>
      </c>
      <c r="V129" t="s">
        <v>37</v>
      </c>
    </row>
    <row r="130" spans="1:22" x14ac:dyDescent="0.25">
      <c r="A130" t="s">
        <v>1488</v>
      </c>
      <c r="B130" t="s">
        <v>923</v>
      </c>
      <c r="C130">
        <v>5675000</v>
      </c>
      <c r="D130">
        <v>5629032.5</v>
      </c>
      <c r="E130">
        <v>5648895</v>
      </c>
      <c r="F130" t="s">
        <v>924</v>
      </c>
      <c r="G130">
        <v>8.1271000000000004</v>
      </c>
      <c r="H130" t="s">
        <v>925</v>
      </c>
      <c r="I130" s="26">
        <v>49329</v>
      </c>
      <c r="J130">
        <v>380.161</v>
      </c>
      <c r="K130">
        <v>1</v>
      </c>
      <c r="L130">
        <v>8.1404309999999995</v>
      </c>
      <c r="M130" t="s">
        <v>1489</v>
      </c>
      <c r="N130" t="s">
        <v>923</v>
      </c>
      <c r="O130" t="s">
        <v>180</v>
      </c>
      <c r="P130">
        <v>6.4179559399999997</v>
      </c>
      <c r="Q130">
        <v>395.84944849200002</v>
      </c>
      <c r="R130">
        <v>2021</v>
      </c>
      <c r="S130"/>
      <c r="T130" t="s">
        <v>27</v>
      </c>
      <c r="U130" t="s">
        <v>28</v>
      </c>
      <c r="V130" t="s">
        <v>37</v>
      </c>
    </row>
    <row r="131" spans="1:22" x14ac:dyDescent="0.25">
      <c r="A131" t="s">
        <v>1488</v>
      </c>
      <c r="B131" t="s">
        <v>923</v>
      </c>
      <c r="C131">
        <v>910000</v>
      </c>
      <c r="D131">
        <v>902629</v>
      </c>
      <c r="E131">
        <v>908920.09</v>
      </c>
      <c r="F131" t="s">
        <v>924</v>
      </c>
      <c r="G131">
        <v>8.1271000000000004</v>
      </c>
      <c r="H131" t="s">
        <v>925</v>
      </c>
      <c r="I131" s="26">
        <v>49329</v>
      </c>
      <c r="J131">
        <v>380.161</v>
      </c>
      <c r="K131">
        <v>1</v>
      </c>
      <c r="L131">
        <v>8.1404309999999995</v>
      </c>
      <c r="M131" t="s">
        <v>1489</v>
      </c>
      <c r="N131" t="s">
        <v>923</v>
      </c>
      <c r="O131" t="s">
        <v>180</v>
      </c>
      <c r="P131">
        <v>6.4179559399999997</v>
      </c>
      <c r="Q131">
        <v>395.84944849200002</v>
      </c>
      <c r="R131">
        <v>2021</v>
      </c>
      <c r="S131"/>
      <c r="T131" t="s">
        <v>27</v>
      </c>
      <c r="U131" t="s">
        <v>28</v>
      </c>
      <c r="V131" t="s">
        <v>37</v>
      </c>
    </row>
    <row r="132" spans="1:22" x14ac:dyDescent="0.25">
      <c r="A132" t="s">
        <v>1488</v>
      </c>
      <c r="B132" t="s">
        <v>923</v>
      </c>
      <c r="C132">
        <v>1870000</v>
      </c>
      <c r="D132">
        <v>1854853</v>
      </c>
      <c r="E132">
        <v>1865728.23</v>
      </c>
      <c r="F132" t="s">
        <v>924</v>
      </c>
      <c r="G132">
        <v>8.1271000000000004</v>
      </c>
      <c r="H132" t="s">
        <v>925</v>
      </c>
      <c r="I132" s="26">
        <v>49329</v>
      </c>
      <c r="J132">
        <v>380.161</v>
      </c>
      <c r="K132">
        <v>1</v>
      </c>
      <c r="L132">
        <v>8.1404309999999995</v>
      </c>
      <c r="M132" t="s">
        <v>1489</v>
      </c>
      <c r="N132" t="s">
        <v>923</v>
      </c>
      <c r="O132" t="s">
        <v>180</v>
      </c>
      <c r="P132">
        <v>6.4179559399999997</v>
      </c>
      <c r="Q132">
        <v>395.84944849200002</v>
      </c>
      <c r="R132">
        <v>2021</v>
      </c>
      <c r="S132"/>
      <c r="T132" t="s">
        <v>27</v>
      </c>
      <c r="U132" t="s">
        <v>28</v>
      </c>
      <c r="V132" t="s">
        <v>37</v>
      </c>
    </row>
    <row r="133" spans="1:22" x14ac:dyDescent="0.25">
      <c r="A133" t="s">
        <v>1488</v>
      </c>
      <c r="B133" t="s">
        <v>948</v>
      </c>
      <c r="C133">
        <v>6250000</v>
      </c>
      <c r="D133">
        <v>6289037.5</v>
      </c>
      <c r="E133">
        <v>6250000</v>
      </c>
      <c r="F133" t="s">
        <v>949</v>
      </c>
      <c r="G133">
        <v>7.5724</v>
      </c>
      <c r="H133" t="s">
        <v>950</v>
      </c>
      <c r="I133" s="26">
        <v>50238</v>
      </c>
      <c r="J133">
        <v>325</v>
      </c>
      <c r="K133">
        <v>1</v>
      </c>
      <c r="L133">
        <v>7.5712989999999998</v>
      </c>
      <c r="M133" t="s">
        <v>1489</v>
      </c>
      <c r="N133" t="s">
        <v>948</v>
      </c>
      <c r="O133" t="s">
        <v>181</v>
      </c>
      <c r="P133">
        <v>8.1791668590000004</v>
      </c>
      <c r="Q133">
        <v>314.99478045900003</v>
      </c>
      <c r="R133">
        <v>2024</v>
      </c>
      <c r="S133"/>
      <c r="T133" t="s">
        <v>27</v>
      </c>
      <c r="U133" t="s">
        <v>32</v>
      </c>
      <c r="V133" t="s">
        <v>37</v>
      </c>
    </row>
    <row r="134" spans="1:22" x14ac:dyDescent="0.25">
      <c r="A134" t="s">
        <v>1488</v>
      </c>
      <c r="B134" t="s">
        <v>951</v>
      </c>
      <c r="C134">
        <v>1800000</v>
      </c>
      <c r="D134">
        <v>1817402.4</v>
      </c>
      <c r="E134">
        <v>1827000</v>
      </c>
      <c r="F134" t="s">
        <v>949</v>
      </c>
      <c r="G134">
        <v>9.2224000000000004</v>
      </c>
      <c r="H134" t="s">
        <v>952</v>
      </c>
      <c r="I134" s="26">
        <v>50238</v>
      </c>
      <c r="J134">
        <v>490</v>
      </c>
      <c r="K134">
        <v>1</v>
      </c>
      <c r="L134">
        <v>8.9437650000000009</v>
      </c>
      <c r="M134" t="s">
        <v>1489</v>
      </c>
      <c r="N134" t="s">
        <v>951</v>
      </c>
      <c r="O134" t="s">
        <v>181</v>
      </c>
      <c r="P134">
        <v>8.4638888889999997</v>
      </c>
      <c r="Q134">
        <v>473.93626813899999</v>
      </c>
      <c r="R134">
        <v>2024</v>
      </c>
      <c r="S134"/>
      <c r="T134" t="s">
        <v>27</v>
      </c>
      <c r="U134" t="s">
        <v>32</v>
      </c>
      <c r="V134" t="s">
        <v>37</v>
      </c>
    </row>
    <row r="135" spans="1:22" x14ac:dyDescent="0.25">
      <c r="A135" t="s">
        <v>1488</v>
      </c>
      <c r="B135" t="s">
        <v>955</v>
      </c>
      <c r="C135">
        <v>1000000</v>
      </c>
      <c r="D135">
        <v>1008521</v>
      </c>
      <c r="E135">
        <v>1000000</v>
      </c>
      <c r="F135" t="s">
        <v>949</v>
      </c>
      <c r="G135">
        <v>7.6177700000000002</v>
      </c>
      <c r="H135" t="s">
        <v>956</v>
      </c>
      <c r="I135" s="26">
        <v>50237</v>
      </c>
      <c r="J135">
        <v>330</v>
      </c>
      <c r="K135">
        <v>1</v>
      </c>
      <c r="L135">
        <v>7.6166650000000002</v>
      </c>
      <c r="M135" t="s">
        <v>1489</v>
      </c>
      <c r="N135" t="s">
        <v>955</v>
      </c>
      <c r="O135" t="s">
        <v>181</v>
      </c>
      <c r="P135">
        <v>8.4375997060000003</v>
      </c>
      <c r="Q135">
        <v>316.69259890799998</v>
      </c>
      <c r="R135">
        <v>2024</v>
      </c>
      <c r="S135"/>
      <c r="T135" t="s">
        <v>27</v>
      </c>
      <c r="U135" t="s">
        <v>32</v>
      </c>
      <c r="V135" t="s">
        <v>37</v>
      </c>
    </row>
    <row r="136" spans="1:22" x14ac:dyDescent="0.25">
      <c r="A136" t="s">
        <v>1488</v>
      </c>
      <c r="B136" t="s">
        <v>957</v>
      </c>
      <c r="C136">
        <v>5375000</v>
      </c>
      <c r="D136">
        <v>5401165.5</v>
      </c>
      <c r="E136">
        <v>5375000</v>
      </c>
      <c r="F136" t="s">
        <v>949</v>
      </c>
      <c r="G136">
        <v>7.6871</v>
      </c>
      <c r="H136" t="s">
        <v>958</v>
      </c>
      <c r="I136" s="26">
        <v>49237</v>
      </c>
      <c r="J136">
        <v>336.161</v>
      </c>
      <c r="K136">
        <v>1</v>
      </c>
      <c r="L136">
        <v>7.7946989999999996</v>
      </c>
      <c r="M136" t="s">
        <v>1489</v>
      </c>
      <c r="N136" t="s">
        <v>957</v>
      </c>
      <c r="O136" t="s">
        <v>181</v>
      </c>
      <c r="P136">
        <v>6.2533369509999996</v>
      </c>
      <c r="Q136">
        <v>326.49885373199999</v>
      </c>
      <c r="R136">
        <v>2021</v>
      </c>
      <c r="S136"/>
      <c r="T136" t="s">
        <v>27</v>
      </c>
      <c r="U136" t="s">
        <v>28</v>
      </c>
      <c r="V136" t="s">
        <v>37</v>
      </c>
    </row>
    <row r="137" spans="1:22" x14ac:dyDescent="0.25">
      <c r="A137" t="s">
        <v>1488</v>
      </c>
      <c r="B137" t="s">
        <v>959</v>
      </c>
      <c r="C137">
        <v>6300000</v>
      </c>
      <c r="D137">
        <v>6323643.9000000004</v>
      </c>
      <c r="E137">
        <v>6300000</v>
      </c>
      <c r="F137" t="s">
        <v>949</v>
      </c>
      <c r="G137">
        <v>7.1175499999999996</v>
      </c>
      <c r="H137" t="s">
        <v>960</v>
      </c>
      <c r="I137" s="26">
        <v>51150</v>
      </c>
      <c r="J137">
        <v>280</v>
      </c>
      <c r="K137">
        <v>1</v>
      </c>
      <c r="L137">
        <v>7.1165909999999997</v>
      </c>
      <c r="M137" t="s">
        <v>1489</v>
      </c>
      <c r="N137" t="s">
        <v>959</v>
      </c>
      <c r="O137" t="s">
        <v>181</v>
      </c>
      <c r="P137">
        <v>9.1877874459999997</v>
      </c>
      <c r="Q137">
        <v>274.52920969100001</v>
      </c>
      <c r="R137">
        <v>2024</v>
      </c>
      <c r="S137"/>
      <c r="T137" t="s">
        <v>27</v>
      </c>
      <c r="U137" t="s">
        <v>32</v>
      </c>
      <c r="V137" t="s">
        <v>37</v>
      </c>
    </row>
    <row r="138" spans="1:22" x14ac:dyDescent="0.25">
      <c r="A138" t="s">
        <v>1488</v>
      </c>
      <c r="B138" t="s">
        <v>961</v>
      </c>
      <c r="C138">
        <v>3000000</v>
      </c>
      <c r="D138">
        <v>3016140</v>
      </c>
      <c r="E138">
        <v>3000000</v>
      </c>
      <c r="F138" t="s">
        <v>949</v>
      </c>
      <c r="G138">
        <v>7.4684600000000003</v>
      </c>
      <c r="H138" t="s">
        <v>962</v>
      </c>
      <c r="I138" s="26">
        <v>50246</v>
      </c>
      <c r="J138">
        <v>315</v>
      </c>
      <c r="K138">
        <v>1</v>
      </c>
      <c r="L138">
        <v>7.467403</v>
      </c>
      <c r="M138" t="s">
        <v>1489</v>
      </c>
      <c r="N138" t="s">
        <v>961</v>
      </c>
      <c r="O138" t="s">
        <v>181</v>
      </c>
      <c r="P138">
        <v>8.8329233269999996</v>
      </c>
      <c r="Q138">
        <v>306.8425105</v>
      </c>
      <c r="R138">
        <v>2024</v>
      </c>
      <c r="S138"/>
      <c r="T138" t="s">
        <v>27</v>
      </c>
      <c r="U138" t="s">
        <v>32</v>
      </c>
      <c r="V138" t="s">
        <v>37</v>
      </c>
    </row>
    <row r="139" spans="1:22" x14ac:dyDescent="0.25">
      <c r="A139" t="s">
        <v>1488</v>
      </c>
      <c r="B139" t="s">
        <v>963</v>
      </c>
      <c r="C139">
        <v>510000</v>
      </c>
      <c r="D139">
        <v>512373.03</v>
      </c>
      <c r="E139">
        <v>508087.5</v>
      </c>
      <c r="F139" t="s">
        <v>949</v>
      </c>
      <c r="G139">
        <v>7.5791599999999999</v>
      </c>
      <c r="H139" t="s">
        <v>964</v>
      </c>
      <c r="I139" s="26">
        <v>49871</v>
      </c>
      <c r="J139">
        <v>326.161</v>
      </c>
      <c r="K139">
        <v>1</v>
      </c>
      <c r="L139">
        <v>7.9921259999999998</v>
      </c>
      <c r="M139" t="s">
        <v>1489</v>
      </c>
      <c r="N139" t="s">
        <v>963</v>
      </c>
      <c r="O139" t="s">
        <v>181</v>
      </c>
      <c r="P139">
        <v>6.0957346230000002</v>
      </c>
      <c r="Q139">
        <v>316.75026647700003</v>
      </c>
      <c r="R139">
        <v>2021</v>
      </c>
      <c r="S139"/>
      <c r="T139" t="s">
        <v>27</v>
      </c>
      <c r="U139" t="s">
        <v>28</v>
      </c>
      <c r="V139" t="s">
        <v>37</v>
      </c>
    </row>
    <row r="140" spans="1:22" x14ac:dyDescent="0.25">
      <c r="A140" t="s">
        <v>1488</v>
      </c>
      <c r="B140" t="s">
        <v>963</v>
      </c>
      <c r="C140">
        <v>2675000</v>
      </c>
      <c r="D140">
        <v>2687446.78</v>
      </c>
      <c r="E140">
        <v>2604781.25</v>
      </c>
      <c r="F140" t="s">
        <v>949</v>
      </c>
      <c r="G140">
        <v>7.5791599999999999</v>
      </c>
      <c r="H140" t="s">
        <v>964</v>
      </c>
      <c r="I140" s="26">
        <v>49871</v>
      </c>
      <c r="J140">
        <v>326.161</v>
      </c>
      <c r="K140">
        <v>1</v>
      </c>
      <c r="L140">
        <v>7.9921259999999998</v>
      </c>
      <c r="M140" t="s">
        <v>1489</v>
      </c>
      <c r="N140" t="s">
        <v>963</v>
      </c>
      <c r="O140" t="s">
        <v>181</v>
      </c>
      <c r="P140">
        <v>6.0957346230000002</v>
      </c>
      <c r="Q140">
        <v>316.75026647700003</v>
      </c>
      <c r="R140">
        <v>2021</v>
      </c>
      <c r="S140"/>
      <c r="T140" t="s">
        <v>27</v>
      </c>
      <c r="U140" t="s">
        <v>28</v>
      </c>
      <c r="V140" t="s">
        <v>37</v>
      </c>
    </row>
    <row r="141" spans="1:22" x14ac:dyDescent="0.25">
      <c r="A141" t="s">
        <v>1488</v>
      </c>
      <c r="B141" t="s">
        <v>966</v>
      </c>
      <c r="C141">
        <v>3825000</v>
      </c>
      <c r="D141">
        <v>3844086.75</v>
      </c>
      <c r="E141">
        <v>3825000</v>
      </c>
      <c r="F141" t="s">
        <v>949</v>
      </c>
      <c r="G141">
        <v>7.5805999999999996</v>
      </c>
      <c r="H141" t="s">
        <v>967</v>
      </c>
      <c r="I141" s="26">
        <v>49332</v>
      </c>
      <c r="J141">
        <v>326.161</v>
      </c>
      <c r="K141">
        <v>1</v>
      </c>
      <c r="L141">
        <v>7.6795249999999999</v>
      </c>
      <c r="M141" t="s">
        <v>1489</v>
      </c>
      <c r="N141" t="s">
        <v>966</v>
      </c>
      <c r="O141" t="s">
        <v>181</v>
      </c>
      <c r="P141">
        <v>6.3854852409999996</v>
      </c>
      <c r="Q141">
        <v>316.45862257300001</v>
      </c>
      <c r="R141">
        <v>2021</v>
      </c>
      <c r="S141"/>
      <c r="T141" t="s">
        <v>27</v>
      </c>
      <c r="U141" t="s">
        <v>28</v>
      </c>
      <c r="V141" t="s">
        <v>37</v>
      </c>
    </row>
    <row r="142" spans="1:22" x14ac:dyDescent="0.25">
      <c r="A142" t="s">
        <v>1488</v>
      </c>
      <c r="B142" t="s">
        <v>966</v>
      </c>
      <c r="C142">
        <v>270000</v>
      </c>
      <c r="D142">
        <v>271347.3</v>
      </c>
      <c r="E142">
        <v>270609.65999999997</v>
      </c>
      <c r="F142" t="s">
        <v>949</v>
      </c>
      <c r="G142">
        <v>7.5805999999999996</v>
      </c>
      <c r="H142" t="s">
        <v>967</v>
      </c>
      <c r="I142" s="26">
        <v>49332</v>
      </c>
      <c r="J142">
        <v>326.161</v>
      </c>
      <c r="K142">
        <v>1</v>
      </c>
      <c r="L142">
        <v>7.6795249999999999</v>
      </c>
      <c r="M142" t="s">
        <v>1489</v>
      </c>
      <c r="N142" t="s">
        <v>966</v>
      </c>
      <c r="O142" t="s">
        <v>181</v>
      </c>
      <c r="P142">
        <v>6.3854852409999996</v>
      </c>
      <c r="Q142">
        <v>316.45862257300001</v>
      </c>
      <c r="R142">
        <v>2021</v>
      </c>
      <c r="S142"/>
      <c r="T142" t="s">
        <v>27</v>
      </c>
      <c r="U142" t="s">
        <v>28</v>
      </c>
      <c r="V142" t="s">
        <v>37</v>
      </c>
    </row>
    <row r="143" spans="1:22" x14ac:dyDescent="0.25">
      <c r="A143" t="s">
        <v>1488</v>
      </c>
      <c r="B143" t="s">
        <v>966</v>
      </c>
      <c r="C143">
        <v>340000</v>
      </c>
      <c r="D143">
        <v>341696.6</v>
      </c>
      <c r="E143">
        <v>340873.46</v>
      </c>
      <c r="F143" t="s">
        <v>949</v>
      </c>
      <c r="G143">
        <v>7.5805999999999996</v>
      </c>
      <c r="H143" t="s">
        <v>967</v>
      </c>
      <c r="I143" s="26">
        <v>49332</v>
      </c>
      <c r="J143">
        <v>326.161</v>
      </c>
      <c r="K143">
        <v>1</v>
      </c>
      <c r="L143">
        <v>7.6795249999999999</v>
      </c>
      <c r="M143" t="s">
        <v>1489</v>
      </c>
      <c r="N143" t="s">
        <v>966</v>
      </c>
      <c r="O143" t="s">
        <v>181</v>
      </c>
      <c r="P143">
        <v>6.3854852409999996</v>
      </c>
      <c r="Q143">
        <v>316.45862257300001</v>
      </c>
      <c r="R143">
        <v>2021</v>
      </c>
      <c r="S143"/>
      <c r="T143" t="s">
        <v>27</v>
      </c>
      <c r="U143" t="s">
        <v>28</v>
      </c>
      <c r="V143" t="s">
        <v>37</v>
      </c>
    </row>
    <row r="144" spans="1:22" x14ac:dyDescent="0.25">
      <c r="A144" t="s">
        <v>1488</v>
      </c>
      <c r="B144" t="s">
        <v>966</v>
      </c>
      <c r="C144">
        <v>1180000</v>
      </c>
      <c r="D144">
        <v>1185888.2</v>
      </c>
      <c r="E144">
        <v>1184061.6499999999</v>
      </c>
      <c r="F144" t="s">
        <v>949</v>
      </c>
      <c r="G144">
        <v>7.5805999999999996</v>
      </c>
      <c r="H144" t="s">
        <v>967</v>
      </c>
      <c r="I144" s="26">
        <v>49332</v>
      </c>
      <c r="J144">
        <v>326.161</v>
      </c>
      <c r="K144">
        <v>1</v>
      </c>
      <c r="L144">
        <v>7.6795249999999999</v>
      </c>
      <c r="M144" t="s">
        <v>1489</v>
      </c>
      <c r="N144" t="s">
        <v>966</v>
      </c>
      <c r="O144" t="s">
        <v>181</v>
      </c>
      <c r="P144">
        <v>6.3854852409999996</v>
      </c>
      <c r="Q144">
        <v>316.45862257300001</v>
      </c>
      <c r="R144">
        <v>2021</v>
      </c>
      <c r="S144"/>
      <c r="T144" t="s">
        <v>27</v>
      </c>
      <c r="U144" t="s">
        <v>28</v>
      </c>
      <c r="V144" t="s">
        <v>37</v>
      </c>
    </row>
    <row r="145" spans="1:22" x14ac:dyDescent="0.25">
      <c r="A145" t="s">
        <v>1488</v>
      </c>
      <c r="B145" t="s">
        <v>970</v>
      </c>
      <c r="C145">
        <v>800000</v>
      </c>
      <c r="D145">
        <v>807516</v>
      </c>
      <c r="E145">
        <v>800000</v>
      </c>
      <c r="F145" t="s">
        <v>949</v>
      </c>
      <c r="G145">
        <v>8.0289999999999999</v>
      </c>
      <c r="H145" t="s">
        <v>971</v>
      </c>
      <c r="I145" s="26">
        <v>50148</v>
      </c>
      <c r="J145">
        <v>370</v>
      </c>
      <c r="K145">
        <v>1</v>
      </c>
      <c r="L145">
        <v>8.0277689999999993</v>
      </c>
      <c r="M145" t="s">
        <v>1489</v>
      </c>
      <c r="N145" t="s">
        <v>970</v>
      </c>
      <c r="O145" t="s">
        <v>181</v>
      </c>
      <c r="P145">
        <v>8.5114692129999998</v>
      </c>
      <c r="Q145">
        <v>355.17960926400002</v>
      </c>
      <c r="R145">
        <v>2024</v>
      </c>
      <c r="S145"/>
      <c r="T145" t="s">
        <v>27</v>
      </c>
      <c r="U145" t="s">
        <v>32</v>
      </c>
      <c r="V145" t="s">
        <v>37</v>
      </c>
    </row>
    <row r="146" spans="1:22" x14ac:dyDescent="0.25">
      <c r="A146" t="s">
        <v>1488</v>
      </c>
      <c r="B146" t="s">
        <v>968</v>
      </c>
      <c r="C146">
        <v>1250000</v>
      </c>
      <c r="D146">
        <v>1258395</v>
      </c>
      <c r="E146">
        <v>1250000</v>
      </c>
      <c r="F146" t="s">
        <v>949</v>
      </c>
      <c r="G146">
        <v>8.2177699999999998</v>
      </c>
      <c r="H146" t="s">
        <v>969</v>
      </c>
      <c r="I146" s="26">
        <v>50056</v>
      </c>
      <c r="J146">
        <v>390</v>
      </c>
      <c r="K146">
        <v>1</v>
      </c>
      <c r="L146">
        <v>8.2164809999999999</v>
      </c>
      <c r="M146" t="s">
        <v>1489</v>
      </c>
      <c r="N146" t="s">
        <v>968</v>
      </c>
      <c r="O146" t="s">
        <v>181</v>
      </c>
      <c r="P146">
        <v>8.3143012810000005</v>
      </c>
      <c r="Q146">
        <v>379.06448589600001</v>
      </c>
      <c r="R146">
        <v>2024</v>
      </c>
      <c r="S146"/>
      <c r="T146" t="s">
        <v>27</v>
      </c>
      <c r="U146" t="s">
        <v>32</v>
      </c>
      <c r="V146" t="s">
        <v>37</v>
      </c>
    </row>
    <row r="147" spans="1:22" x14ac:dyDescent="0.25">
      <c r="A147" t="s">
        <v>1488</v>
      </c>
      <c r="B147" t="s">
        <v>616</v>
      </c>
      <c r="C147">
        <v>3000000</v>
      </c>
      <c r="D147">
        <v>3001191</v>
      </c>
      <c r="E147">
        <v>3000000</v>
      </c>
      <c r="F147" t="s">
        <v>617</v>
      </c>
      <c r="G147">
        <v>5.9761800000000003</v>
      </c>
      <c r="H147" t="s">
        <v>618</v>
      </c>
      <c r="I147" s="26">
        <v>50518</v>
      </c>
      <c r="J147">
        <v>170</v>
      </c>
      <c r="K147">
        <v>1</v>
      </c>
      <c r="L147">
        <v>5.9690719999999997</v>
      </c>
      <c r="M147" t="s">
        <v>1489</v>
      </c>
      <c r="N147" t="s">
        <v>616</v>
      </c>
      <c r="O147" t="s">
        <v>181</v>
      </c>
      <c r="P147">
        <v>8.8342951270000007</v>
      </c>
      <c r="Q147">
        <v>169.24193471800001</v>
      </c>
      <c r="R147">
        <v>2025</v>
      </c>
      <c r="S147"/>
      <c r="T147" t="s">
        <v>23</v>
      </c>
      <c r="U147" t="s">
        <v>32</v>
      </c>
      <c r="V147" t="s">
        <v>29</v>
      </c>
    </row>
    <row r="148" spans="1:22" x14ac:dyDescent="0.25">
      <c r="A148" t="s">
        <v>1488</v>
      </c>
      <c r="B148" t="s">
        <v>974</v>
      </c>
      <c r="C148">
        <v>10000000</v>
      </c>
      <c r="D148">
        <v>10017600</v>
      </c>
      <c r="E148">
        <v>10000000</v>
      </c>
      <c r="F148" t="s">
        <v>617</v>
      </c>
      <c r="G148">
        <v>6.7761800000000001</v>
      </c>
      <c r="H148" t="s">
        <v>975</v>
      </c>
      <c r="I148" s="26">
        <v>50518</v>
      </c>
      <c r="J148">
        <v>250</v>
      </c>
      <c r="K148">
        <v>1</v>
      </c>
      <c r="L148">
        <v>6.7668900000000001</v>
      </c>
      <c r="M148" t="s">
        <v>1489</v>
      </c>
      <c r="N148" t="s">
        <v>974</v>
      </c>
      <c r="O148" t="s">
        <v>181</v>
      </c>
      <c r="P148">
        <v>9.4038470479999994</v>
      </c>
      <c r="Q148">
        <v>247.26417668900001</v>
      </c>
      <c r="R148">
        <v>2025</v>
      </c>
      <c r="S148"/>
      <c r="T148" t="s">
        <v>27</v>
      </c>
      <c r="U148" t="s">
        <v>32</v>
      </c>
      <c r="V148" t="s">
        <v>33</v>
      </c>
    </row>
    <row r="149" spans="1:22" x14ac:dyDescent="0.25">
      <c r="A149" t="s">
        <v>1488</v>
      </c>
      <c r="B149" t="s">
        <v>896</v>
      </c>
      <c r="C149">
        <v>1000000</v>
      </c>
      <c r="D149">
        <v>1001911</v>
      </c>
      <c r="E149">
        <v>971250</v>
      </c>
      <c r="F149" t="s">
        <v>897</v>
      </c>
      <c r="G149">
        <v>7.6291599999999997</v>
      </c>
      <c r="H149" t="s">
        <v>898</v>
      </c>
      <c r="I149" s="26">
        <v>49140</v>
      </c>
      <c r="J149">
        <v>331.161</v>
      </c>
      <c r="K149">
        <v>1</v>
      </c>
      <c r="L149">
        <v>8.226153</v>
      </c>
      <c r="M149" t="s">
        <v>1489</v>
      </c>
      <c r="N149" t="s">
        <v>896</v>
      </c>
      <c r="O149" t="s">
        <v>182</v>
      </c>
      <c r="P149">
        <v>6.0435283450000004</v>
      </c>
      <c r="Q149"/>
      <c r="R149">
        <v>2021</v>
      </c>
      <c r="S149"/>
      <c r="T149" t="s">
        <v>27</v>
      </c>
      <c r="U149" t="s">
        <v>28</v>
      </c>
      <c r="V149" t="s">
        <v>37</v>
      </c>
    </row>
    <row r="150" spans="1:22" x14ac:dyDescent="0.25">
      <c r="A150" t="s">
        <v>1488</v>
      </c>
      <c r="B150" t="s">
        <v>894</v>
      </c>
      <c r="C150">
        <v>2434928</v>
      </c>
      <c r="D150">
        <v>2439678.54</v>
      </c>
      <c r="E150">
        <v>2434928</v>
      </c>
      <c r="F150" t="s">
        <v>890</v>
      </c>
      <c r="G150">
        <v>7.9291600000000004</v>
      </c>
      <c r="H150" t="s">
        <v>895</v>
      </c>
      <c r="I150" s="26">
        <v>49049</v>
      </c>
      <c r="J150">
        <v>361.161</v>
      </c>
      <c r="K150">
        <v>1</v>
      </c>
      <c r="L150">
        <v>8.0216019999999997</v>
      </c>
      <c r="M150" t="s">
        <v>1489</v>
      </c>
      <c r="N150" t="s">
        <v>894</v>
      </c>
      <c r="O150" t="s">
        <v>182</v>
      </c>
      <c r="P150">
        <v>5.7851950810000004</v>
      </c>
      <c r="Q150">
        <v>356.83061153199998</v>
      </c>
      <c r="R150">
        <v>2021</v>
      </c>
      <c r="S150"/>
      <c r="T150" t="s">
        <v>27</v>
      </c>
      <c r="U150" t="s">
        <v>24</v>
      </c>
      <c r="V150" t="s">
        <v>37</v>
      </c>
    </row>
    <row r="151" spans="1:22" x14ac:dyDescent="0.25">
      <c r="A151" t="s">
        <v>1488</v>
      </c>
      <c r="B151" t="s">
        <v>894</v>
      </c>
      <c r="C151">
        <v>520000</v>
      </c>
      <c r="D151">
        <v>521014.52</v>
      </c>
      <c r="E151">
        <v>523604.64</v>
      </c>
      <c r="F151" t="s">
        <v>890</v>
      </c>
      <c r="G151">
        <v>7.9291600000000004</v>
      </c>
      <c r="H151" t="s">
        <v>895</v>
      </c>
      <c r="I151" s="26">
        <v>49049</v>
      </c>
      <c r="J151">
        <v>361.161</v>
      </c>
      <c r="K151">
        <v>1</v>
      </c>
      <c r="L151">
        <v>8.0216019999999997</v>
      </c>
      <c r="M151" t="s">
        <v>1489</v>
      </c>
      <c r="N151" t="s">
        <v>894</v>
      </c>
      <c r="O151" t="s">
        <v>182</v>
      </c>
      <c r="P151">
        <v>5.7851950810000004</v>
      </c>
      <c r="Q151">
        <v>356.83061153199998</v>
      </c>
      <c r="R151">
        <v>2021</v>
      </c>
      <c r="S151"/>
      <c r="T151" t="s">
        <v>27</v>
      </c>
      <c r="U151" t="s">
        <v>24</v>
      </c>
      <c r="V151" t="s">
        <v>37</v>
      </c>
    </row>
    <row r="152" spans="1:22" x14ac:dyDescent="0.25">
      <c r="A152" t="s">
        <v>1488</v>
      </c>
      <c r="B152" t="s">
        <v>894</v>
      </c>
      <c r="C152">
        <v>1180000</v>
      </c>
      <c r="D152">
        <v>1182302.18</v>
      </c>
      <c r="E152">
        <v>1183133.1499999999</v>
      </c>
      <c r="F152" t="s">
        <v>890</v>
      </c>
      <c r="G152">
        <v>7.9291600000000004</v>
      </c>
      <c r="H152" t="s">
        <v>895</v>
      </c>
      <c r="I152" s="26">
        <v>49049</v>
      </c>
      <c r="J152">
        <v>361.161</v>
      </c>
      <c r="K152">
        <v>1</v>
      </c>
      <c r="L152">
        <v>8.0216019999999997</v>
      </c>
      <c r="M152" t="s">
        <v>1489</v>
      </c>
      <c r="N152" t="s">
        <v>894</v>
      </c>
      <c r="O152" t="s">
        <v>182</v>
      </c>
      <c r="P152">
        <v>5.7851950810000004</v>
      </c>
      <c r="Q152">
        <v>356.83061153199998</v>
      </c>
      <c r="R152">
        <v>2021</v>
      </c>
      <c r="S152"/>
      <c r="T152" t="s">
        <v>27</v>
      </c>
      <c r="U152" t="s">
        <v>24</v>
      </c>
      <c r="V152" t="s">
        <v>37</v>
      </c>
    </row>
    <row r="153" spans="1:22" x14ac:dyDescent="0.25">
      <c r="A153" t="s">
        <v>1488</v>
      </c>
      <c r="B153" t="s">
        <v>894</v>
      </c>
      <c r="C153">
        <v>1709999</v>
      </c>
      <c r="D153">
        <v>1713335.21</v>
      </c>
      <c r="E153">
        <v>1713369.8</v>
      </c>
      <c r="F153" t="s">
        <v>890</v>
      </c>
      <c r="G153">
        <v>7.9291600000000004</v>
      </c>
      <c r="H153" t="s">
        <v>895</v>
      </c>
      <c r="I153" s="26">
        <v>49049</v>
      </c>
      <c r="J153">
        <v>361.161</v>
      </c>
      <c r="K153">
        <v>1</v>
      </c>
      <c r="L153">
        <v>8.0216019999999997</v>
      </c>
      <c r="M153" t="s">
        <v>1489</v>
      </c>
      <c r="N153" t="s">
        <v>894</v>
      </c>
      <c r="O153" t="s">
        <v>182</v>
      </c>
      <c r="P153">
        <v>5.7851950810000004</v>
      </c>
      <c r="Q153">
        <v>356.83061153199998</v>
      </c>
      <c r="R153">
        <v>2021</v>
      </c>
      <c r="S153"/>
      <c r="T153" t="s">
        <v>27</v>
      </c>
      <c r="U153" t="s">
        <v>24</v>
      </c>
      <c r="V153" t="s">
        <v>37</v>
      </c>
    </row>
    <row r="154" spans="1:22" x14ac:dyDescent="0.25">
      <c r="A154" t="s">
        <v>1488</v>
      </c>
      <c r="B154" t="s">
        <v>889</v>
      </c>
      <c r="C154">
        <v>3500000</v>
      </c>
      <c r="D154">
        <v>3531353</v>
      </c>
      <c r="E154">
        <v>3500000</v>
      </c>
      <c r="F154" t="s">
        <v>890</v>
      </c>
      <c r="G154">
        <v>7.9675500000000001</v>
      </c>
      <c r="H154" t="s">
        <v>891</v>
      </c>
      <c r="I154" s="26">
        <v>50236</v>
      </c>
      <c r="J154">
        <v>365</v>
      </c>
      <c r="K154">
        <v>1</v>
      </c>
      <c r="L154">
        <v>7.9663440000000003</v>
      </c>
      <c r="M154" t="s">
        <v>1489</v>
      </c>
      <c r="N154" t="s">
        <v>889</v>
      </c>
      <c r="O154" t="s">
        <v>182</v>
      </c>
      <c r="P154">
        <v>8.7783984359999998</v>
      </c>
      <c r="Q154">
        <v>351.20959434399998</v>
      </c>
      <c r="R154">
        <v>2024</v>
      </c>
      <c r="S154"/>
      <c r="T154" t="s">
        <v>27</v>
      </c>
      <c r="U154" t="s">
        <v>32</v>
      </c>
      <c r="V154" t="s">
        <v>37</v>
      </c>
    </row>
    <row r="155" spans="1:22" x14ac:dyDescent="0.25">
      <c r="A155" t="s">
        <v>1488</v>
      </c>
      <c r="B155" t="s">
        <v>892</v>
      </c>
      <c r="C155">
        <v>3200000</v>
      </c>
      <c r="D155">
        <v>3229504</v>
      </c>
      <c r="E155">
        <v>3248000</v>
      </c>
      <c r="F155" t="s">
        <v>890</v>
      </c>
      <c r="G155">
        <v>9.4675499999999992</v>
      </c>
      <c r="H155" t="s">
        <v>893</v>
      </c>
      <c r="I155" s="26">
        <v>50236</v>
      </c>
      <c r="J155">
        <v>515</v>
      </c>
      <c r="K155">
        <v>1</v>
      </c>
      <c r="L155">
        <v>9.1873509999999996</v>
      </c>
      <c r="M155" t="s">
        <v>1489</v>
      </c>
      <c r="N155" t="s">
        <v>892</v>
      </c>
      <c r="O155" t="s">
        <v>182</v>
      </c>
      <c r="P155">
        <v>9.1088963750000005</v>
      </c>
      <c r="Q155">
        <v>500.24838342300001</v>
      </c>
      <c r="R155">
        <v>2024</v>
      </c>
      <c r="S155"/>
      <c r="T155" t="s">
        <v>27</v>
      </c>
      <c r="U155" t="s">
        <v>32</v>
      </c>
      <c r="V155" t="s">
        <v>37</v>
      </c>
    </row>
    <row r="156" spans="1:22" x14ac:dyDescent="0.25">
      <c r="A156" t="s">
        <v>1488</v>
      </c>
      <c r="B156" t="s">
        <v>899</v>
      </c>
      <c r="C156">
        <v>12000000</v>
      </c>
      <c r="D156">
        <v>12068196</v>
      </c>
      <c r="E156">
        <v>12000000</v>
      </c>
      <c r="F156" t="s">
        <v>897</v>
      </c>
      <c r="G156">
        <v>7.0361200000000004</v>
      </c>
      <c r="H156" t="s">
        <v>900</v>
      </c>
      <c r="I156" s="26">
        <v>50510</v>
      </c>
      <c r="J156">
        <v>275</v>
      </c>
      <c r="K156">
        <v>1</v>
      </c>
      <c r="L156">
        <v>7.0279189999999998</v>
      </c>
      <c r="M156" t="s">
        <v>1489</v>
      </c>
      <c r="N156" t="s">
        <v>899</v>
      </c>
      <c r="O156" t="s">
        <v>183</v>
      </c>
      <c r="P156">
        <v>9.4424039149999999</v>
      </c>
      <c r="Q156">
        <v>266.67058556199999</v>
      </c>
      <c r="R156">
        <v>2025</v>
      </c>
      <c r="S156"/>
      <c r="T156" t="s">
        <v>27</v>
      </c>
      <c r="U156" t="s">
        <v>32</v>
      </c>
      <c r="V156" t="s">
        <v>37</v>
      </c>
    </row>
    <row r="157" spans="1:22" x14ac:dyDescent="0.25">
      <c r="A157" t="s">
        <v>1488</v>
      </c>
      <c r="B157" t="s">
        <v>624</v>
      </c>
      <c r="C157">
        <v>3900000</v>
      </c>
      <c r="D157">
        <v>3925119.9</v>
      </c>
      <c r="E157">
        <v>3900000</v>
      </c>
      <c r="F157" t="s">
        <v>625</v>
      </c>
      <c r="G157">
        <v>6.6254900000000001</v>
      </c>
      <c r="H157" t="s">
        <v>626</v>
      </c>
      <c r="I157" s="26">
        <v>50241</v>
      </c>
      <c r="J157">
        <v>230</v>
      </c>
      <c r="K157">
        <v>1</v>
      </c>
      <c r="L157">
        <v>6.6246879999999999</v>
      </c>
      <c r="M157" t="s">
        <v>1489</v>
      </c>
      <c r="N157" t="s">
        <v>624</v>
      </c>
      <c r="O157" t="s">
        <v>101</v>
      </c>
      <c r="P157">
        <v>8.2162902980000005</v>
      </c>
      <c r="Q157">
        <v>220.09591254200001</v>
      </c>
      <c r="R157">
        <v>2024</v>
      </c>
      <c r="S157"/>
      <c r="T157" t="s">
        <v>23</v>
      </c>
      <c r="U157" t="s">
        <v>32</v>
      </c>
      <c r="V157" t="s">
        <v>33</v>
      </c>
    </row>
    <row r="158" spans="1:22" x14ac:dyDescent="0.25">
      <c r="A158" t="s">
        <v>1488</v>
      </c>
      <c r="B158" t="s">
        <v>978</v>
      </c>
      <c r="C158">
        <v>3200000</v>
      </c>
      <c r="D158">
        <v>3224432</v>
      </c>
      <c r="E158">
        <v>3200000</v>
      </c>
      <c r="F158" t="s">
        <v>625</v>
      </c>
      <c r="G158">
        <v>7.5754900000000003</v>
      </c>
      <c r="H158" t="s">
        <v>979</v>
      </c>
      <c r="I158" s="26">
        <v>50241</v>
      </c>
      <c r="J158">
        <v>325</v>
      </c>
      <c r="K158">
        <v>1</v>
      </c>
      <c r="L158">
        <v>7.5744429999999996</v>
      </c>
      <c r="M158" t="s">
        <v>1489</v>
      </c>
      <c r="N158" t="s">
        <v>978</v>
      </c>
      <c r="O158" t="s">
        <v>101</v>
      </c>
      <c r="P158">
        <v>8.8070333250000008</v>
      </c>
      <c r="Q158">
        <v>313.43340656599997</v>
      </c>
      <c r="R158">
        <v>2024</v>
      </c>
      <c r="S158"/>
      <c r="T158" t="s">
        <v>27</v>
      </c>
      <c r="U158" t="s">
        <v>32</v>
      </c>
      <c r="V158" t="s">
        <v>37</v>
      </c>
    </row>
    <row r="159" spans="1:22" x14ac:dyDescent="0.25">
      <c r="A159" t="s">
        <v>1488</v>
      </c>
      <c r="B159" t="s">
        <v>926</v>
      </c>
      <c r="C159">
        <v>6400000</v>
      </c>
      <c r="D159">
        <v>6412595.2000000002</v>
      </c>
      <c r="E159">
        <v>6400000</v>
      </c>
      <c r="F159" t="s">
        <v>612</v>
      </c>
      <c r="G159">
        <v>7.1754899999999999</v>
      </c>
      <c r="H159" t="s">
        <v>927</v>
      </c>
      <c r="I159" s="26">
        <v>49145</v>
      </c>
      <c r="J159">
        <v>285</v>
      </c>
      <c r="K159">
        <v>1</v>
      </c>
      <c r="L159">
        <v>7.1745539999999997</v>
      </c>
      <c r="M159" t="s">
        <v>1489</v>
      </c>
      <c r="N159" t="s">
        <v>926</v>
      </c>
      <c r="O159" t="s">
        <v>82</v>
      </c>
      <c r="P159">
        <v>5.7513620699999999</v>
      </c>
      <c r="Q159">
        <v>280.77000808499997</v>
      </c>
      <c r="R159">
        <v>2024</v>
      </c>
      <c r="S159"/>
      <c r="T159" t="s">
        <v>27</v>
      </c>
      <c r="U159" t="s">
        <v>24</v>
      </c>
      <c r="V159" t="s">
        <v>37</v>
      </c>
    </row>
    <row r="160" spans="1:22" x14ac:dyDescent="0.25">
      <c r="A160" t="s">
        <v>1497</v>
      </c>
      <c r="B160" t="s">
        <v>944</v>
      </c>
      <c r="C160">
        <v>7541000</v>
      </c>
      <c r="D160">
        <v>7576050.5700000003</v>
      </c>
      <c r="E160">
        <v>7543262.2999999998</v>
      </c>
      <c r="F160" t="s">
        <v>612</v>
      </c>
      <c r="G160">
        <v>7.7791600000000001</v>
      </c>
      <c r="H160" t="s">
        <v>945</v>
      </c>
      <c r="I160" s="26">
        <v>49232</v>
      </c>
      <c r="J160">
        <v>346.161</v>
      </c>
      <c r="K160">
        <v>1</v>
      </c>
      <c r="L160">
        <v>7.4445839999999999</v>
      </c>
      <c r="M160" t="s">
        <v>1489</v>
      </c>
      <c r="N160" t="s">
        <v>944</v>
      </c>
      <c r="O160" t="s">
        <v>82</v>
      </c>
      <c r="P160">
        <v>6.2373314479999999</v>
      </c>
      <c r="Q160">
        <v>336.90264866699999</v>
      </c>
      <c r="R160">
        <v>2021</v>
      </c>
      <c r="S160"/>
      <c r="T160" t="s">
        <v>27</v>
      </c>
      <c r="U160" t="s">
        <v>28</v>
      </c>
      <c r="V160" t="s">
        <v>37</v>
      </c>
    </row>
    <row r="161" spans="1:22" x14ac:dyDescent="0.25">
      <c r="A161" t="s">
        <v>1488</v>
      </c>
      <c r="B161" t="s">
        <v>944</v>
      </c>
      <c r="C161">
        <v>3219999</v>
      </c>
      <c r="D161">
        <v>3234965.56</v>
      </c>
      <c r="E161">
        <v>3211144</v>
      </c>
      <c r="F161" t="s">
        <v>612</v>
      </c>
      <c r="G161">
        <v>7.7791600000000001</v>
      </c>
      <c r="H161" t="s">
        <v>945</v>
      </c>
      <c r="I161" s="26">
        <v>49232</v>
      </c>
      <c r="J161">
        <v>346.161</v>
      </c>
      <c r="K161">
        <v>1</v>
      </c>
      <c r="L161">
        <v>7.4445839999999999</v>
      </c>
      <c r="M161" t="s">
        <v>1489</v>
      </c>
      <c r="N161" t="s">
        <v>944</v>
      </c>
      <c r="O161" t="s">
        <v>82</v>
      </c>
      <c r="P161">
        <v>6.2373314479999999</v>
      </c>
      <c r="Q161">
        <v>336.90264866699999</v>
      </c>
      <c r="R161">
        <v>2021</v>
      </c>
      <c r="S161"/>
      <c r="T161" t="s">
        <v>27</v>
      </c>
      <c r="U161" t="s">
        <v>28</v>
      </c>
      <c r="V161" t="s">
        <v>37</v>
      </c>
    </row>
    <row r="162" spans="1:22" x14ac:dyDescent="0.25">
      <c r="A162" t="s">
        <v>1488</v>
      </c>
      <c r="B162" t="s">
        <v>944</v>
      </c>
      <c r="C162">
        <v>1</v>
      </c>
      <c r="D162">
        <v>1</v>
      </c>
      <c r="E162">
        <v>1</v>
      </c>
      <c r="F162" t="s">
        <v>612</v>
      </c>
      <c r="G162">
        <v>7.7791600000000001</v>
      </c>
      <c r="H162" t="s">
        <v>945</v>
      </c>
      <c r="I162" s="26">
        <v>49232</v>
      </c>
      <c r="J162">
        <v>346.161</v>
      </c>
      <c r="K162">
        <v>1</v>
      </c>
      <c r="L162">
        <v>7.4445839999999999</v>
      </c>
      <c r="M162" t="s">
        <v>1489</v>
      </c>
      <c r="N162" t="s">
        <v>944</v>
      </c>
      <c r="O162" t="s">
        <v>82</v>
      </c>
      <c r="P162">
        <v>6.2373314479999999</v>
      </c>
      <c r="Q162">
        <v>336.90264866699999</v>
      </c>
      <c r="R162">
        <v>2021</v>
      </c>
      <c r="S162"/>
      <c r="T162" t="s">
        <v>27</v>
      </c>
      <c r="U162" t="s">
        <v>28</v>
      </c>
      <c r="V162" t="s">
        <v>37</v>
      </c>
    </row>
    <row r="163" spans="1:22" x14ac:dyDescent="0.25">
      <c r="A163" t="s">
        <v>1488</v>
      </c>
      <c r="B163" t="s">
        <v>944</v>
      </c>
      <c r="C163">
        <v>1100000</v>
      </c>
      <c r="D163">
        <v>1105112.8</v>
      </c>
      <c r="E163">
        <v>1103774.6599999999</v>
      </c>
      <c r="F163" t="s">
        <v>612</v>
      </c>
      <c r="G163">
        <v>7.7791600000000001</v>
      </c>
      <c r="H163" t="s">
        <v>945</v>
      </c>
      <c r="I163" s="26">
        <v>49232</v>
      </c>
      <c r="J163">
        <v>346.161</v>
      </c>
      <c r="K163">
        <v>1</v>
      </c>
      <c r="L163">
        <v>7.4445839999999999</v>
      </c>
      <c r="M163" t="s">
        <v>1489</v>
      </c>
      <c r="N163" t="s">
        <v>944</v>
      </c>
      <c r="O163" t="s">
        <v>82</v>
      </c>
      <c r="P163">
        <v>6.2373314479999999</v>
      </c>
      <c r="Q163">
        <v>336.90264866699999</v>
      </c>
      <c r="R163">
        <v>2021</v>
      </c>
      <c r="S163"/>
      <c r="T163" t="s">
        <v>27</v>
      </c>
      <c r="U163" t="s">
        <v>28</v>
      </c>
      <c r="V163" t="s">
        <v>37</v>
      </c>
    </row>
    <row r="164" spans="1:22" x14ac:dyDescent="0.25">
      <c r="A164" t="s">
        <v>1488</v>
      </c>
      <c r="B164" t="s">
        <v>944</v>
      </c>
      <c r="C164">
        <v>1100000</v>
      </c>
      <c r="D164">
        <v>1105112.8</v>
      </c>
      <c r="E164">
        <v>1104053.08</v>
      </c>
      <c r="F164" t="s">
        <v>612</v>
      </c>
      <c r="G164">
        <v>7.7791600000000001</v>
      </c>
      <c r="H164" t="s">
        <v>945</v>
      </c>
      <c r="I164" s="26">
        <v>49232</v>
      </c>
      <c r="J164">
        <v>346.161</v>
      </c>
      <c r="K164">
        <v>1</v>
      </c>
      <c r="L164">
        <v>7.4445839999999999</v>
      </c>
      <c r="M164" t="s">
        <v>1489</v>
      </c>
      <c r="N164" t="s">
        <v>944</v>
      </c>
      <c r="O164" t="s">
        <v>82</v>
      </c>
      <c r="P164">
        <v>6.2373314479999999</v>
      </c>
      <c r="Q164">
        <v>336.90264866699999</v>
      </c>
      <c r="R164">
        <v>2021</v>
      </c>
      <c r="S164"/>
      <c r="T164" t="s">
        <v>27</v>
      </c>
      <c r="U164" t="s">
        <v>28</v>
      </c>
      <c r="V164" t="s">
        <v>37</v>
      </c>
    </row>
    <row r="165" spans="1:22" x14ac:dyDescent="0.25">
      <c r="A165" t="s">
        <v>1488</v>
      </c>
      <c r="B165" t="s">
        <v>940</v>
      </c>
      <c r="C165">
        <v>15400000</v>
      </c>
      <c r="D165">
        <v>15427181</v>
      </c>
      <c r="E165">
        <v>15400000</v>
      </c>
      <c r="F165" t="s">
        <v>612</v>
      </c>
      <c r="G165">
        <v>7.1175499999999996</v>
      </c>
      <c r="H165" t="s">
        <v>941</v>
      </c>
      <c r="I165" s="26">
        <v>50420</v>
      </c>
      <c r="J165">
        <v>280</v>
      </c>
      <c r="K165">
        <v>1</v>
      </c>
      <c r="L165">
        <v>7.1165880000000001</v>
      </c>
      <c r="M165" t="s">
        <v>1489</v>
      </c>
      <c r="N165" t="s">
        <v>940</v>
      </c>
      <c r="O165" t="s">
        <v>82</v>
      </c>
      <c r="P165">
        <v>9.2116972350000008</v>
      </c>
      <c r="Q165">
        <v>277.36573066400001</v>
      </c>
      <c r="R165">
        <v>2025</v>
      </c>
      <c r="S165"/>
      <c r="T165" t="s">
        <v>27</v>
      </c>
      <c r="U165" t="s">
        <v>32</v>
      </c>
      <c r="V165" t="s">
        <v>37</v>
      </c>
    </row>
    <row r="166" spans="1:22" x14ac:dyDescent="0.25">
      <c r="A166" t="s">
        <v>1488</v>
      </c>
      <c r="B166" t="s">
        <v>928</v>
      </c>
      <c r="C166">
        <v>4250000</v>
      </c>
      <c r="D166">
        <v>4263090</v>
      </c>
      <c r="E166">
        <v>4250000</v>
      </c>
      <c r="F166" t="s">
        <v>612</v>
      </c>
      <c r="G166">
        <v>7.5254899999999996</v>
      </c>
      <c r="H166" t="s">
        <v>929</v>
      </c>
      <c r="I166" s="26">
        <v>50334</v>
      </c>
      <c r="J166">
        <v>320</v>
      </c>
      <c r="K166">
        <v>1</v>
      </c>
      <c r="L166">
        <v>7.5244229999999996</v>
      </c>
      <c r="M166" t="s">
        <v>1489</v>
      </c>
      <c r="N166" t="s">
        <v>928</v>
      </c>
      <c r="O166" t="s">
        <v>82</v>
      </c>
      <c r="P166">
        <v>8.9596891700000008</v>
      </c>
      <c r="Q166">
        <v>315.30647880200002</v>
      </c>
      <c r="R166">
        <v>2024</v>
      </c>
      <c r="S166"/>
      <c r="T166" t="s">
        <v>27</v>
      </c>
      <c r="U166" t="s">
        <v>32</v>
      </c>
      <c r="V166" t="s">
        <v>37</v>
      </c>
    </row>
    <row r="167" spans="1:22" x14ac:dyDescent="0.25">
      <c r="A167" t="s">
        <v>1488</v>
      </c>
      <c r="B167" t="s">
        <v>930</v>
      </c>
      <c r="C167">
        <v>3000000</v>
      </c>
      <c r="D167">
        <v>3009882</v>
      </c>
      <c r="E167">
        <v>3000000</v>
      </c>
      <c r="F167" t="s">
        <v>612</v>
      </c>
      <c r="G167">
        <v>7.4223999999999997</v>
      </c>
      <c r="H167" t="s">
        <v>931</v>
      </c>
      <c r="I167" s="26">
        <v>50330</v>
      </c>
      <c r="J167">
        <v>310</v>
      </c>
      <c r="K167">
        <v>1</v>
      </c>
      <c r="L167">
        <v>7.4213420000000001</v>
      </c>
      <c r="M167" t="s">
        <v>1489</v>
      </c>
      <c r="N167" t="s">
        <v>930</v>
      </c>
      <c r="O167" t="s">
        <v>82</v>
      </c>
      <c r="P167">
        <v>9.0108154599999999</v>
      </c>
      <c r="Q167">
        <v>305.03384157300002</v>
      </c>
      <c r="R167">
        <v>2024</v>
      </c>
      <c r="S167"/>
      <c r="T167" t="s">
        <v>27</v>
      </c>
      <c r="U167" t="s">
        <v>32</v>
      </c>
      <c r="V167" t="s">
        <v>37</v>
      </c>
    </row>
    <row r="168" spans="1:22" x14ac:dyDescent="0.25">
      <c r="A168" t="s">
        <v>1488</v>
      </c>
      <c r="B168" t="s">
        <v>932</v>
      </c>
      <c r="C168">
        <v>1000000</v>
      </c>
      <c r="D168">
        <v>1010224</v>
      </c>
      <c r="E168">
        <v>1003000</v>
      </c>
      <c r="F168" t="s">
        <v>612</v>
      </c>
      <c r="G168">
        <v>7.9371</v>
      </c>
      <c r="H168" t="s">
        <v>933</v>
      </c>
      <c r="I168" s="26">
        <v>47958</v>
      </c>
      <c r="J168">
        <v>361.161</v>
      </c>
      <c r="K168">
        <v>1</v>
      </c>
      <c r="L168">
        <v>7.8582520000000002</v>
      </c>
      <c r="M168" t="s">
        <v>1489</v>
      </c>
      <c r="N168" t="s">
        <v>932</v>
      </c>
      <c r="O168" t="s">
        <v>82</v>
      </c>
      <c r="P168">
        <v>3.977338697</v>
      </c>
      <c r="Q168"/>
      <c r="R168">
        <v>2021</v>
      </c>
      <c r="S168"/>
      <c r="T168" t="s">
        <v>27</v>
      </c>
      <c r="U168" t="s">
        <v>20</v>
      </c>
      <c r="V168" t="s">
        <v>37</v>
      </c>
    </row>
    <row r="169" spans="1:22" x14ac:dyDescent="0.25">
      <c r="A169" t="s">
        <v>1488</v>
      </c>
      <c r="B169" t="s">
        <v>614</v>
      </c>
      <c r="C169">
        <v>5300000</v>
      </c>
      <c r="D169">
        <v>5324846.4000000004</v>
      </c>
      <c r="E169">
        <v>5300000</v>
      </c>
      <c r="F169" t="s">
        <v>612</v>
      </c>
      <c r="G169">
        <v>6.3175499999999998</v>
      </c>
      <c r="H169" t="s">
        <v>615</v>
      </c>
      <c r="I169" s="26">
        <v>51150</v>
      </c>
      <c r="J169">
        <v>200</v>
      </c>
      <c r="K169">
        <v>1</v>
      </c>
      <c r="L169">
        <v>6.3167949999999999</v>
      </c>
      <c r="M169" t="s">
        <v>1489</v>
      </c>
      <c r="N169" t="s">
        <v>614</v>
      </c>
      <c r="O169" t="s">
        <v>82</v>
      </c>
      <c r="P169">
        <v>8.6852708710000002</v>
      </c>
      <c r="Q169">
        <v>193.15048997100001</v>
      </c>
      <c r="R169">
        <v>2024</v>
      </c>
      <c r="S169"/>
      <c r="T169" t="s">
        <v>23</v>
      </c>
      <c r="U169" t="s">
        <v>32</v>
      </c>
      <c r="V169" t="s">
        <v>33</v>
      </c>
    </row>
    <row r="170" spans="1:22" x14ac:dyDescent="0.25">
      <c r="A170" t="s">
        <v>1488</v>
      </c>
      <c r="B170" t="s">
        <v>942</v>
      </c>
      <c r="C170">
        <v>10640000</v>
      </c>
      <c r="D170">
        <v>10663525.039999999</v>
      </c>
      <c r="E170">
        <v>10640000</v>
      </c>
      <c r="F170" t="s">
        <v>612</v>
      </c>
      <c r="G170">
        <v>7.3175499999999998</v>
      </c>
      <c r="H170" t="s">
        <v>943</v>
      </c>
      <c r="I170" s="26">
        <v>51241</v>
      </c>
      <c r="J170">
        <v>300</v>
      </c>
      <c r="K170">
        <v>1</v>
      </c>
      <c r="L170">
        <v>7.3165370000000003</v>
      </c>
      <c r="M170" t="s">
        <v>1489</v>
      </c>
      <c r="N170" t="s">
        <v>942</v>
      </c>
      <c r="O170" t="s">
        <v>82</v>
      </c>
      <c r="P170">
        <v>9.0139624010000006</v>
      </c>
      <c r="Q170">
        <v>296.646368924</v>
      </c>
      <c r="R170">
        <v>2025</v>
      </c>
      <c r="S170"/>
      <c r="T170" t="s">
        <v>27</v>
      </c>
      <c r="U170" t="s">
        <v>32</v>
      </c>
      <c r="V170" t="s">
        <v>37</v>
      </c>
    </row>
    <row r="171" spans="1:22" x14ac:dyDescent="0.25">
      <c r="A171" t="s">
        <v>1488</v>
      </c>
      <c r="B171" t="s">
        <v>611</v>
      </c>
      <c r="C171">
        <v>2100000</v>
      </c>
      <c r="D171">
        <v>2109103.5</v>
      </c>
      <c r="E171">
        <v>2100000</v>
      </c>
      <c r="F171" t="s">
        <v>612</v>
      </c>
      <c r="G171">
        <v>6.2254899999999997</v>
      </c>
      <c r="H171" t="s">
        <v>613</v>
      </c>
      <c r="I171" s="26">
        <v>50425</v>
      </c>
      <c r="J171">
        <v>190</v>
      </c>
      <c r="K171">
        <v>1</v>
      </c>
      <c r="L171">
        <v>6.2247810000000001</v>
      </c>
      <c r="M171" t="s">
        <v>1489</v>
      </c>
      <c r="N171" t="s">
        <v>611</v>
      </c>
      <c r="O171" t="s">
        <v>82</v>
      </c>
      <c r="P171">
        <v>8.7343042020000006</v>
      </c>
      <c r="Q171">
        <v>183.712084729</v>
      </c>
      <c r="R171">
        <v>2024</v>
      </c>
      <c r="S171"/>
      <c r="T171" t="s">
        <v>23</v>
      </c>
      <c r="U171" t="s">
        <v>32</v>
      </c>
      <c r="V171" t="s">
        <v>33</v>
      </c>
    </row>
    <row r="172" spans="1:22" x14ac:dyDescent="0.25">
      <c r="A172" t="s">
        <v>1488</v>
      </c>
      <c r="B172" t="s">
        <v>936</v>
      </c>
      <c r="C172">
        <v>8900000</v>
      </c>
      <c r="D172">
        <v>8916910</v>
      </c>
      <c r="E172">
        <v>8900000</v>
      </c>
      <c r="F172" t="s">
        <v>612</v>
      </c>
      <c r="G172">
        <v>7.1754899999999999</v>
      </c>
      <c r="H172" t="s">
        <v>937</v>
      </c>
      <c r="I172" s="26">
        <v>50425</v>
      </c>
      <c r="J172">
        <v>285</v>
      </c>
      <c r="K172">
        <v>1</v>
      </c>
      <c r="L172">
        <v>7.17455</v>
      </c>
      <c r="M172" t="s">
        <v>1489</v>
      </c>
      <c r="N172" t="s">
        <v>936</v>
      </c>
      <c r="O172" t="s">
        <v>82</v>
      </c>
      <c r="P172">
        <v>9.2623294180000002</v>
      </c>
      <c r="Q172">
        <v>282.17949535999998</v>
      </c>
      <c r="R172">
        <v>2024</v>
      </c>
      <c r="S172"/>
      <c r="T172" t="s">
        <v>27</v>
      </c>
      <c r="U172" t="s">
        <v>32</v>
      </c>
      <c r="V172" t="s">
        <v>37</v>
      </c>
    </row>
    <row r="173" spans="1:22" x14ac:dyDescent="0.25">
      <c r="A173" t="s">
        <v>1488</v>
      </c>
      <c r="B173" t="s">
        <v>934</v>
      </c>
      <c r="C173">
        <v>9774877</v>
      </c>
      <c r="D173">
        <v>9799138.2400000002</v>
      </c>
      <c r="E173">
        <v>9774877</v>
      </c>
      <c r="F173" t="s">
        <v>612</v>
      </c>
      <c r="G173">
        <v>6.9754899999999997</v>
      </c>
      <c r="H173" t="s">
        <v>935</v>
      </c>
      <c r="I173" s="26">
        <v>50425</v>
      </c>
      <c r="J173">
        <v>265</v>
      </c>
      <c r="K173">
        <v>1</v>
      </c>
      <c r="L173">
        <v>6.9746009999999998</v>
      </c>
      <c r="M173" t="s">
        <v>1489</v>
      </c>
      <c r="N173" t="s">
        <v>934</v>
      </c>
      <c r="O173" t="s">
        <v>82</v>
      </c>
      <c r="P173">
        <v>9.2559145669999996</v>
      </c>
      <c r="Q173">
        <v>261.38632077699998</v>
      </c>
      <c r="R173">
        <v>2025</v>
      </c>
      <c r="S173"/>
      <c r="T173" t="s">
        <v>27</v>
      </c>
      <c r="U173" t="s">
        <v>32</v>
      </c>
      <c r="V173" t="s">
        <v>33</v>
      </c>
    </row>
    <row r="174" spans="1:22" x14ac:dyDescent="0.25">
      <c r="A174" t="s">
        <v>1488</v>
      </c>
      <c r="B174" t="s">
        <v>938</v>
      </c>
      <c r="C174">
        <v>9274805</v>
      </c>
      <c r="D174">
        <v>9275268.7400000002</v>
      </c>
      <c r="E174">
        <v>9274805</v>
      </c>
      <c r="F174" t="s">
        <v>612</v>
      </c>
      <c r="G174">
        <v>7.4371</v>
      </c>
      <c r="H174" t="s">
        <v>939</v>
      </c>
      <c r="I174" s="26">
        <v>49145</v>
      </c>
      <c r="J174">
        <v>311.161</v>
      </c>
      <c r="K174">
        <v>1</v>
      </c>
      <c r="L174">
        <v>7.5400520000000002</v>
      </c>
      <c r="M174" t="s">
        <v>1489</v>
      </c>
      <c r="N174" t="s">
        <v>938</v>
      </c>
      <c r="O174" t="s">
        <v>82</v>
      </c>
      <c r="P174">
        <v>6.0425476720000004</v>
      </c>
      <c r="Q174"/>
      <c r="R174">
        <v>2021</v>
      </c>
      <c r="S174"/>
      <c r="T174" t="s">
        <v>27</v>
      </c>
      <c r="U174" t="s">
        <v>28</v>
      </c>
      <c r="V174" t="s">
        <v>37</v>
      </c>
    </row>
    <row r="175" spans="1:22" x14ac:dyDescent="0.25">
      <c r="A175" t="s">
        <v>1488</v>
      </c>
      <c r="B175" t="s">
        <v>946</v>
      </c>
      <c r="C175">
        <v>1000000</v>
      </c>
      <c r="D175">
        <v>1004291</v>
      </c>
      <c r="E175">
        <v>980000</v>
      </c>
      <c r="F175" t="s">
        <v>612</v>
      </c>
      <c r="G175">
        <v>8.4184599999999996</v>
      </c>
      <c r="H175" t="s">
        <v>947</v>
      </c>
      <c r="I175" s="26">
        <v>49973</v>
      </c>
      <c r="J175">
        <v>410</v>
      </c>
      <c r="K175">
        <v>1</v>
      </c>
      <c r="L175">
        <v>8.7899460000000005</v>
      </c>
      <c r="M175" t="s">
        <v>1489</v>
      </c>
      <c r="N175" t="s">
        <v>946</v>
      </c>
      <c r="O175" t="s">
        <v>82</v>
      </c>
      <c r="P175">
        <v>7.9298229300000003</v>
      </c>
      <c r="Q175">
        <v>402.62050410099999</v>
      </c>
      <c r="R175">
        <v>2023</v>
      </c>
      <c r="S175"/>
      <c r="T175" t="s">
        <v>27</v>
      </c>
      <c r="U175" t="s">
        <v>28</v>
      </c>
      <c r="V175" t="s">
        <v>37</v>
      </c>
    </row>
    <row r="176" spans="1:22" x14ac:dyDescent="0.25">
      <c r="A176" t="s">
        <v>1488</v>
      </c>
      <c r="B176" t="s">
        <v>911</v>
      </c>
      <c r="C176">
        <v>9505000</v>
      </c>
      <c r="D176">
        <v>9557638.6899999995</v>
      </c>
      <c r="E176">
        <v>9505000</v>
      </c>
      <c r="F176" t="s">
        <v>193</v>
      </c>
      <c r="G176">
        <v>7.4754899999999997</v>
      </c>
      <c r="H176" t="s">
        <v>912</v>
      </c>
      <c r="I176" s="26">
        <v>50425</v>
      </c>
      <c r="J176">
        <v>315</v>
      </c>
      <c r="K176">
        <v>1</v>
      </c>
      <c r="L176">
        <v>7.4744700000000002</v>
      </c>
      <c r="M176" t="s">
        <v>1489</v>
      </c>
      <c r="N176" t="s">
        <v>911</v>
      </c>
      <c r="O176" t="s">
        <v>82</v>
      </c>
      <c r="P176">
        <v>9.1484261320000009</v>
      </c>
      <c r="Q176">
        <v>306.83260226700003</v>
      </c>
      <c r="R176">
        <v>2024</v>
      </c>
      <c r="S176"/>
      <c r="T176" t="s">
        <v>27</v>
      </c>
      <c r="U176" t="s">
        <v>32</v>
      </c>
      <c r="V176" t="s">
        <v>37</v>
      </c>
    </row>
    <row r="177" spans="1:22" x14ac:dyDescent="0.25">
      <c r="A177" t="s">
        <v>1488</v>
      </c>
      <c r="B177" t="s">
        <v>920</v>
      </c>
      <c r="C177">
        <v>4000000</v>
      </c>
      <c r="D177">
        <v>4024340</v>
      </c>
      <c r="E177">
        <v>4000000</v>
      </c>
      <c r="F177" t="s">
        <v>921</v>
      </c>
      <c r="G177">
        <v>9.3175500000000007</v>
      </c>
      <c r="H177" t="s">
        <v>922</v>
      </c>
      <c r="I177" s="26">
        <v>49780</v>
      </c>
      <c r="J177">
        <v>500</v>
      </c>
      <c r="K177">
        <v>1</v>
      </c>
      <c r="L177">
        <v>9.3158940000000001</v>
      </c>
      <c r="M177" t="s">
        <v>1489</v>
      </c>
      <c r="N177" t="s">
        <v>920</v>
      </c>
      <c r="O177" t="s">
        <v>184</v>
      </c>
      <c r="P177">
        <v>6.9978669279999997</v>
      </c>
      <c r="Q177">
        <v>488.25763684700001</v>
      </c>
      <c r="R177">
        <v>2024</v>
      </c>
      <c r="S177"/>
      <c r="T177" t="s">
        <v>27</v>
      </c>
      <c r="U177" t="s">
        <v>28</v>
      </c>
      <c r="V177" t="s">
        <v>37</v>
      </c>
    </row>
    <row r="178" spans="1:22" x14ac:dyDescent="0.25">
      <c r="A178" t="s">
        <v>1488</v>
      </c>
      <c r="B178" t="s">
        <v>953</v>
      </c>
      <c r="C178">
        <v>12000000</v>
      </c>
      <c r="D178">
        <v>12040992</v>
      </c>
      <c r="E178">
        <v>12000000</v>
      </c>
      <c r="F178" t="s">
        <v>949</v>
      </c>
      <c r="G178">
        <v>6.9223999999999997</v>
      </c>
      <c r="H178" t="s">
        <v>954</v>
      </c>
      <c r="I178" s="26">
        <v>50422</v>
      </c>
      <c r="J178">
        <v>260</v>
      </c>
      <c r="K178">
        <v>1</v>
      </c>
      <c r="L178">
        <v>6.9214789999999997</v>
      </c>
      <c r="M178" t="s">
        <v>1489</v>
      </c>
      <c r="N178" t="s">
        <v>953</v>
      </c>
      <c r="O178" t="s">
        <v>181</v>
      </c>
      <c r="P178">
        <v>9.2847957700000006</v>
      </c>
      <c r="Q178">
        <v>255.09456354</v>
      </c>
      <c r="R178">
        <v>2025</v>
      </c>
      <c r="S178"/>
      <c r="T178" t="s">
        <v>27</v>
      </c>
      <c r="U178" t="s">
        <v>32</v>
      </c>
      <c r="V178" t="s">
        <v>33</v>
      </c>
    </row>
    <row r="179" spans="1:22" x14ac:dyDescent="0.25">
      <c r="A179" t="s">
        <v>1488</v>
      </c>
      <c r="B179" t="s">
        <v>972</v>
      </c>
      <c r="C179">
        <v>4000000</v>
      </c>
      <c r="D179">
        <v>4034996</v>
      </c>
      <c r="E179">
        <v>4000000</v>
      </c>
      <c r="F179" t="s">
        <v>949</v>
      </c>
      <c r="G179">
        <v>7.8319900000000002</v>
      </c>
      <c r="H179" t="s">
        <v>973</v>
      </c>
      <c r="I179" s="26">
        <v>50152</v>
      </c>
      <c r="J179">
        <v>350</v>
      </c>
      <c r="K179">
        <v>1</v>
      </c>
      <c r="L179">
        <v>7.8308330000000002</v>
      </c>
      <c r="M179" t="s">
        <v>1489</v>
      </c>
      <c r="N179" t="s">
        <v>972</v>
      </c>
      <c r="O179" t="s">
        <v>181</v>
      </c>
      <c r="P179">
        <v>8.575975369</v>
      </c>
      <c r="Q179">
        <v>336.36011086600001</v>
      </c>
      <c r="R179">
        <v>2024</v>
      </c>
      <c r="S179"/>
      <c r="T179" t="s">
        <v>27</v>
      </c>
      <c r="U179" t="s">
        <v>32</v>
      </c>
      <c r="V179" t="s">
        <v>37</v>
      </c>
    </row>
    <row r="180" spans="1:22" x14ac:dyDescent="0.25">
      <c r="A180" t="s">
        <v>1488</v>
      </c>
      <c r="B180" t="s">
        <v>627</v>
      </c>
      <c r="C180">
        <v>4745000</v>
      </c>
      <c r="D180">
        <v>4757370.22</v>
      </c>
      <c r="E180">
        <v>4745000</v>
      </c>
      <c r="F180" t="s">
        <v>628</v>
      </c>
      <c r="G180">
        <v>6.9870999999999999</v>
      </c>
      <c r="H180" t="s">
        <v>629</v>
      </c>
      <c r="I180" s="26">
        <v>48141</v>
      </c>
      <c r="J180">
        <v>266.161</v>
      </c>
      <c r="K180">
        <v>1</v>
      </c>
      <c r="L180">
        <v>7.0829219999999999</v>
      </c>
      <c r="M180" t="s">
        <v>1489</v>
      </c>
      <c r="N180" t="s">
        <v>627</v>
      </c>
      <c r="O180" t="s">
        <v>185</v>
      </c>
      <c r="P180">
        <v>2.7162138109999998</v>
      </c>
      <c r="Q180">
        <v>254.853908555</v>
      </c>
      <c r="R180">
        <v>2018</v>
      </c>
      <c r="S180"/>
      <c r="T180" t="s">
        <v>23</v>
      </c>
      <c r="U180" t="s">
        <v>20</v>
      </c>
      <c r="V180" t="s">
        <v>33</v>
      </c>
    </row>
    <row r="181" spans="1:22" x14ac:dyDescent="0.25">
      <c r="A181" t="s">
        <v>1488</v>
      </c>
      <c r="B181" t="s">
        <v>630</v>
      </c>
      <c r="C181">
        <v>8000000</v>
      </c>
      <c r="D181">
        <v>8028384</v>
      </c>
      <c r="E181">
        <v>8000000</v>
      </c>
      <c r="F181" t="s">
        <v>631</v>
      </c>
      <c r="G181">
        <v>6.0754900000000003</v>
      </c>
      <c r="H181" t="s">
        <v>632</v>
      </c>
      <c r="I181" s="26">
        <v>50515</v>
      </c>
      <c r="J181">
        <v>175</v>
      </c>
      <c r="K181">
        <v>1</v>
      </c>
      <c r="L181">
        <v>6.0748150000000001</v>
      </c>
      <c r="M181" t="s">
        <v>1489</v>
      </c>
      <c r="N181" t="s">
        <v>630</v>
      </c>
      <c r="O181" t="s">
        <v>186</v>
      </c>
      <c r="P181">
        <v>8.7601952430000001</v>
      </c>
      <c r="Q181">
        <v>169.89065972899999</v>
      </c>
      <c r="R181">
        <v>2025</v>
      </c>
      <c r="S181"/>
      <c r="T181" t="s">
        <v>23</v>
      </c>
      <c r="U181" t="s">
        <v>32</v>
      </c>
      <c r="V181" t="s">
        <v>33</v>
      </c>
    </row>
    <row r="182" spans="1:22" x14ac:dyDescent="0.25">
      <c r="A182" t="s">
        <v>1488</v>
      </c>
      <c r="B182" t="s">
        <v>980</v>
      </c>
      <c r="C182">
        <v>11000000</v>
      </c>
      <c r="D182">
        <v>11053746</v>
      </c>
      <c r="E182">
        <v>11000000</v>
      </c>
      <c r="F182" t="s">
        <v>631</v>
      </c>
      <c r="G182">
        <v>6.9254899999999999</v>
      </c>
      <c r="H182" t="s">
        <v>981</v>
      </c>
      <c r="I182" s="26">
        <v>50515</v>
      </c>
      <c r="J182">
        <v>260</v>
      </c>
      <c r="K182">
        <v>1</v>
      </c>
      <c r="L182">
        <v>6.924614</v>
      </c>
      <c r="M182" t="s">
        <v>1489</v>
      </c>
      <c r="N182" t="s">
        <v>980</v>
      </c>
      <c r="O182" t="s">
        <v>186</v>
      </c>
      <c r="P182">
        <v>9.3678091099999996</v>
      </c>
      <c r="Q182">
        <v>253.08023070799999</v>
      </c>
      <c r="R182">
        <v>2025</v>
      </c>
      <c r="S182"/>
      <c r="T182" t="s">
        <v>27</v>
      </c>
      <c r="U182" t="s">
        <v>32</v>
      </c>
      <c r="V182" t="s">
        <v>33</v>
      </c>
    </row>
    <row r="183" spans="1:22" x14ac:dyDescent="0.25">
      <c r="A183" t="s">
        <v>1488</v>
      </c>
      <c r="B183" t="s">
        <v>986</v>
      </c>
      <c r="C183">
        <v>2000000</v>
      </c>
      <c r="D183">
        <v>2009950</v>
      </c>
      <c r="E183">
        <v>2018000</v>
      </c>
      <c r="F183" t="s">
        <v>293</v>
      </c>
      <c r="G183">
        <v>8.8263300000000005</v>
      </c>
      <c r="H183" t="s">
        <v>987</v>
      </c>
      <c r="I183" s="26">
        <v>49994</v>
      </c>
      <c r="J183">
        <v>450</v>
      </c>
      <c r="K183">
        <v>1</v>
      </c>
      <c r="L183">
        <v>8.6629529999999999</v>
      </c>
      <c r="M183" t="s">
        <v>1489</v>
      </c>
      <c r="N183" t="s">
        <v>986</v>
      </c>
      <c r="O183" t="s">
        <v>85</v>
      </c>
      <c r="P183">
        <v>8.2381918269999996</v>
      </c>
      <c r="Q183">
        <v>441.68460001099999</v>
      </c>
      <c r="R183">
        <v>2023</v>
      </c>
      <c r="S183"/>
      <c r="T183" t="s">
        <v>27</v>
      </c>
      <c r="U183" t="s">
        <v>32</v>
      </c>
      <c r="V183" t="s">
        <v>37</v>
      </c>
    </row>
    <row r="184" spans="1:22" x14ac:dyDescent="0.25">
      <c r="A184" t="s">
        <v>1488</v>
      </c>
      <c r="B184" t="s">
        <v>982</v>
      </c>
      <c r="C184">
        <v>4834309</v>
      </c>
      <c r="D184">
        <v>4834550.72</v>
      </c>
      <c r="E184">
        <v>4401638.34</v>
      </c>
      <c r="F184" t="s">
        <v>293</v>
      </c>
      <c r="G184">
        <v>7.5335999999999999</v>
      </c>
      <c r="H184" t="s">
        <v>983</v>
      </c>
      <c r="I184" s="26">
        <v>49084</v>
      </c>
      <c r="J184">
        <v>321.161</v>
      </c>
      <c r="K184">
        <v>1</v>
      </c>
      <c r="L184">
        <v>9.2414480000000001</v>
      </c>
      <c r="M184" t="s">
        <v>1489</v>
      </c>
      <c r="N184" t="s">
        <v>982</v>
      </c>
      <c r="O184" t="s">
        <v>85</v>
      </c>
      <c r="P184">
        <v>6.1379226170000001</v>
      </c>
      <c r="Q184"/>
      <c r="R184">
        <v>2021</v>
      </c>
      <c r="S184"/>
      <c r="T184" t="s">
        <v>27</v>
      </c>
      <c r="U184" t="s">
        <v>28</v>
      </c>
      <c r="V184" t="s">
        <v>37</v>
      </c>
    </row>
    <row r="185" spans="1:22" x14ac:dyDescent="0.25">
      <c r="A185" t="s">
        <v>1488</v>
      </c>
      <c r="B185" t="s">
        <v>451</v>
      </c>
      <c r="C185">
        <v>7500000</v>
      </c>
      <c r="D185">
        <v>7528125</v>
      </c>
      <c r="E185">
        <v>7500000</v>
      </c>
      <c r="F185" t="s">
        <v>293</v>
      </c>
      <c r="G185">
        <v>7.3667499999999997</v>
      </c>
      <c r="H185" t="s">
        <v>450</v>
      </c>
      <c r="I185" s="26">
        <v>50637</v>
      </c>
      <c r="J185">
        <v>315</v>
      </c>
      <c r="K185">
        <v>1</v>
      </c>
      <c r="L185">
        <v>0</v>
      </c>
      <c r="M185" t="s">
        <v>1489</v>
      </c>
      <c r="N185" t="s">
        <v>451</v>
      </c>
      <c r="O185" t="s">
        <v>85</v>
      </c>
      <c r="P185">
        <v>0</v>
      </c>
      <c r="Q185">
        <v>309.69887851300001</v>
      </c>
      <c r="R185">
        <v>2025</v>
      </c>
      <c r="S185"/>
      <c r="T185" t="s">
        <v>27</v>
      </c>
      <c r="U185" t="s">
        <v>16</v>
      </c>
      <c r="V185" t="s">
        <v>37</v>
      </c>
    </row>
    <row r="186" spans="1:22" x14ac:dyDescent="0.25">
      <c r="A186" t="s">
        <v>1488</v>
      </c>
      <c r="B186" t="s">
        <v>994</v>
      </c>
      <c r="C186">
        <v>500000</v>
      </c>
      <c r="D186">
        <v>504339.5</v>
      </c>
      <c r="E186">
        <v>500000</v>
      </c>
      <c r="F186" t="s">
        <v>293</v>
      </c>
      <c r="G186">
        <v>8.1289999999999996</v>
      </c>
      <c r="H186" t="s">
        <v>995</v>
      </c>
      <c r="I186" s="26">
        <v>50148</v>
      </c>
      <c r="J186">
        <v>380</v>
      </c>
      <c r="K186">
        <v>1</v>
      </c>
      <c r="L186">
        <v>8.1277380000000008</v>
      </c>
      <c r="M186" t="s">
        <v>1489</v>
      </c>
      <c r="N186" t="s">
        <v>994</v>
      </c>
      <c r="O186" t="s">
        <v>85</v>
      </c>
      <c r="P186">
        <v>8.5893551010000007</v>
      </c>
      <c r="Q186">
        <v>366.32668119800002</v>
      </c>
      <c r="R186">
        <v>2024</v>
      </c>
      <c r="S186"/>
      <c r="T186" t="s">
        <v>27</v>
      </c>
      <c r="U186" t="s">
        <v>32</v>
      </c>
      <c r="V186" t="s">
        <v>37</v>
      </c>
    </row>
    <row r="187" spans="1:22" x14ac:dyDescent="0.25">
      <c r="A187" t="s">
        <v>1488</v>
      </c>
      <c r="B187" t="s">
        <v>990</v>
      </c>
      <c r="C187">
        <v>7500000</v>
      </c>
      <c r="D187">
        <v>7474575</v>
      </c>
      <c r="E187">
        <v>7500000</v>
      </c>
      <c r="F187" t="s">
        <v>293</v>
      </c>
      <c r="G187">
        <v>7.5254899999999996</v>
      </c>
      <c r="H187" t="s">
        <v>991</v>
      </c>
      <c r="I187" s="26">
        <v>49419</v>
      </c>
      <c r="J187">
        <v>320</v>
      </c>
      <c r="K187">
        <v>1</v>
      </c>
      <c r="L187">
        <v>7.6301629999999996</v>
      </c>
      <c r="M187" t="s">
        <v>1489</v>
      </c>
      <c r="N187" t="s">
        <v>990</v>
      </c>
      <c r="O187" t="s">
        <v>85</v>
      </c>
      <c r="P187">
        <v>6.6998247180000003</v>
      </c>
      <c r="Q187">
        <v>326.12510844000002</v>
      </c>
      <c r="R187">
        <v>2022</v>
      </c>
      <c r="S187"/>
      <c r="T187" t="s">
        <v>27</v>
      </c>
      <c r="U187" t="s">
        <v>28</v>
      </c>
      <c r="V187" t="s">
        <v>37</v>
      </c>
    </row>
    <row r="188" spans="1:22" x14ac:dyDescent="0.25">
      <c r="A188" t="s">
        <v>1488</v>
      </c>
      <c r="B188" t="s">
        <v>633</v>
      </c>
      <c r="C188">
        <v>2500000</v>
      </c>
      <c r="D188">
        <v>2506807.5</v>
      </c>
      <c r="E188">
        <v>2500000</v>
      </c>
      <c r="F188" t="s">
        <v>293</v>
      </c>
      <c r="G188">
        <v>6.2175500000000001</v>
      </c>
      <c r="H188" t="s">
        <v>634</v>
      </c>
      <c r="I188" s="26">
        <v>50328</v>
      </c>
      <c r="J188">
        <v>190</v>
      </c>
      <c r="K188">
        <v>1</v>
      </c>
      <c r="L188">
        <v>6.2168159999999997</v>
      </c>
      <c r="M188" t="s">
        <v>1489</v>
      </c>
      <c r="N188" t="s">
        <v>633</v>
      </c>
      <c r="O188" t="s">
        <v>85</v>
      </c>
      <c r="P188">
        <v>6.4836267349999996</v>
      </c>
      <c r="Q188">
        <v>184.92498964000001</v>
      </c>
      <c r="R188">
        <v>2024</v>
      </c>
      <c r="S188"/>
      <c r="T188" t="s">
        <v>23</v>
      </c>
      <c r="U188" t="s">
        <v>28</v>
      </c>
      <c r="V188" t="s">
        <v>33</v>
      </c>
    </row>
    <row r="189" spans="1:22" x14ac:dyDescent="0.25">
      <c r="A189" t="s">
        <v>1488</v>
      </c>
      <c r="B189" t="s">
        <v>988</v>
      </c>
      <c r="C189">
        <v>2750000</v>
      </c>
      <c r="D189">
        <v>2753863.75</v>
      </c>
      <c r="E189">
        <v>2750000</v>
      </c>
      <c r="F189" t="s">
        <v>293</v>
      </c>
      <c r="G189">
        <v>7.4175500000000003</v>
      </c>
      <c r="H189" t="s">
        <v>989</v>
      </c>
      <c r="I189" s="26">
        <v>50328</v>
      </c>
      <c r="J189">
        <v>310</v>
      </c>
      <c r="K189">
        <v>1</v>
      </c>
      <c r="L189">
        <v>7.4165049999999999</v>
      </c>
      <c r="M189" t="s">
        <v>1489</v>
      </c>
      <c r="N189" t="s">
        <v>988</v>
      </c>
      <c r="O189" t="s">
        <v>85</v>
      </c>
      <c r="P189">
        <v>6.85725724</v>
      </c>
      <c r="Q189">
        <v>307.29700672500002</v>
      </c>
      <c r="R189">
        <v>2024</v>
      </c>
      <c r="S189"/>
      <c r="T189" t="s">
        <v>27</v>
      </c>
      <c r="U189" t="s">
        <v>28</v>
      </c>
      <c r="V189" t="s">
        <v>37</v>
      </c>
    </row>
    <row r="190" spans="1:22" x14ac:dyDescent="0.25">
      <c r="A190" t="s">
        <v>1488</v>
      </c>
      <c r="B190" t="s">
        <v>984</v>
      </c>
      <c r="C190">
        <v>500000</v>
      </c>
      <c r="D190">
        <v>502117.5</v>
      </c>
      <c r="E190">
        <v>500000</v>
      </c>
      <c r="F190" t="s">
        <v>293</v>
      </c>
      <c r="G190">
        <v>7.4290000000000003</v>
      </c>
      <c r="H190" t="s">
        <v>985</v>
      </c>
      <c r="I190" s="26">
        <v>50239</v>
      </c>
      <c r="J190">
        <v>310</v>
      </c>
      <c r="K190">
        <v>1</v>
      </c>
      <c r="L190">
        <v>7.4279460000000004</v>
      </c>
      <c r="M190" t="s">
        <v>1489</v>
      </c>
      <c r="N190" t="s">
        <v>984</v>
      </c>
      <c r="O190" t="s">
        <v>85</v>
      </c>
      <c r="P190">
        <v>8.843947794</v>
      </c>
      <c r="Q190">
        <v>303.574098295</v>
      </c>
      <c r="R190">
        <v>2024</v>
      </c>
      <c r="S190"/>
      <c r="T190" t="s">
        <v>27</v>
      </c>
      <c r="U190" t="s">
        <v>32</v>
      </c>
      <c r="V190" t="s">
        <v>37</v>
      </c>
    </row>
    <row r="191" spans="1:22" x14ac:dyDescent="0.25">
      <c r="A191" t="s">
        <v>1488</v>
      </c>
      <c r="B191" t="s">
        <v>455</v>
      </c>
      <c r="C191">
        <v>6700000</v>
      </c>
      <c r="D191">
        <v>6729325.9000000004</v>
      </c>
      <c r="E191">
        <v>6700000</v>
      </c>
      <c r="F191" t="s">
        <v>293</v>
      </c>
      <c r="G191">
        <v>8.1270100000000003</v>
      </c>
      <c r="H191" t="s">
        <v>454</v>
      </c>
      <c r="I191" s="26">
        <v>50510</v>
      </c>
      <c r="J191">
        <v>380</v>
      </c>
      <c r="K191">
        <v>1</v>
      </c>
      <c r="L191">
        <v>8.1212090000000003</v>
      </c>
      <c r="M191" t="s">
        <v>1489</v>
      </c>
      <c r="N191" t="s">
        <v>455</v>
      </c>
      <c r="O191" t="s">
        <v>85</v>
      </c>
      <c r="P191">
        <v>9.4551500869999998</v>
      </c>
      <c r="Q191">
        <v>373.26459901700002</v>
      </c>
      <c r="R191">
        <v>2025</v>
      </c>
      <c r="S191"/>
      <c r="T191" t="s">
        <v>27</v>
      </c>
      <c r="U191" t="s">
        <v>32</v>
      </c>
      <c r="V191" t="s">
        <v>37</v>
      </c>
    </row>
    <row r="192" spans="1:22" x14ac:dyDescent="0.25">
      <c r="A192" t="s">
        <v>1488</v>
      </c>
      <c r="B192" t="s">
        <v>992</v>
      </c>
      <c r="C192">
        <v>5500000</v>
      </c>
      <c r="D192">
        <v>5528622</v>
      </c>
      <c r="E192">
        <v>5500000</v>
      </c>
      <c r="F192" t="s">
        <v>293</v>
      </c>
      <c r="G192">
        <v>8.8675499999999996</v>
      </c>
      <c r="H192" t="s">
        <v>993</v>
      </c>
      <c r="I192" s="26">
        <v>49963</v>
      </c>
      <c r="J192">
        <v>455</v>
      </c>
      <c r="K192">
        <v>1</v>
      </c>
      <c r="L192">
        <v>8.8660530000000008</v>
      </c>
      <c r="M192" t="s">
        <v>1489</v>
      </c>
      <c r="N192" t="s">
        <v>992</v>
      </c>
      <c r="O192" t="s">
        <v>85</v>
      </c>
      <c r="P192">
        <v>7.949477913</v>
      </c>
      <c r="Q192">
        <v>445.96008264400001</v>
      </c>
      <c r="R192">
        <v>2023</v>
      </c>
      <c r="S192"/>
      <c r="T192" t="s">
        <v>27</v>
      </c>
      <c r="U192" t="s">
        <v>28</v>
      </c>
      <c r="V192" t="s">
        <v>37</v>
      </c>
    </row>
    <row r="193" spans="1:22" x14ac:dyDescent="0.25">
      <c r="A193" t="s">
        <v>1488</v>
      </c>
      <c r="B193" t="s">
        <v>588</v>
      </c>
      <c r="C193">
        <v>10012500</v>
      </c>
      <c r="D193">
        <v>10043969.289999999</v>
      </c>
      <c r="E193">
        <v>10012500</v>
      </c>
      <c r="F193" t="s">
        <v>589</v>
      </c>
      <c r="G193">
        <v>7.8379399999999997</v>
      </c>
      <c r="H193" t="s">
        <v>590</v>
      </c>
      <c r="I193" s="26">
        <v>48441</v>
      </c>
      <c r="J193">
        <v>351.161</v>
      </c>
      <c r="K193">
        <v>1</v>
      </c>
      <c r="L193">
        <v>7.9528270000000001</v>
      </c>
      <c r="M193" t="s">
        <v>1489</v>
      </c>
      <c r="N193" t="s">
        <v>588</v>
      </c>
      <c r="O193" t="s">
        <v>187</v>
      </c>
      <c r="P193">
        <v>3.2850125069999998</v>
      </c>
      <c r="Q193">
        <v>340.02874639200002</v>
      </c>
      <c r="R193">
        <v>2019</v>
      </c>
      <c r="S193"/>
      <c r="T193" t="s">
        <v>23</v>
      </c>
      <c r="U193" t="s">
        <v>20</v>
      </c>
      <c r="V193" t="s">
        <v>37</v>
      </c>
    </row>
    <row r="194" spans="1:22" x14ac:dyDescent="0.25">
      <c r="A194" t="s">
        <v>1488</v>
      </c>
      <c r="B194" t="s">
        <v>815</v>
      </c>
      <c r="C194">
        <v>6693750</v>
      </c>
      <c r="D194">
        <v>6673441.1600000001</v>
      </c>
      <c r="E194">
        <v>6693750</v>
      </c>
      <c r="F194" t="s">
        <v>589</v>
      </c>
      <c r="G194">
        <v>9.0879399999999997</v>
      </c>
      <c r="H194" t="s">
        <v>816</v>
      </c>
      <c r="I194" s="26">
        <v>48441</v>
      </c>
      <c r="J194">
        <v>476.161</v>
      </c>
      <c r="K194">
        <v>1</v>
      </c>
      <c r="L194">
        <v>9.2208850000000009</v>
      </c>
      <c r="M194" t="s">
        <v>1489</v>
      </c>
      <c r="N194" t="s">
        <v>815</v>
      </c>
      <c r="O194" t="s">
        <v>187</v>
      </c>
      <c r="P194">
        <v>3.7308488519999998</v>
      </c>
      <c r="Q194">
        <v>485.53794986600002</v>
      </c>
      <c r="R194">
        <v>2019</v>
      </c>
      <c r="S194"/>
      <c r="T194" t="s">
        <v>27</v>
      </c>
      <c r="U194" t="s">
        <v>20</v>
      </c>
      <c r="V194" t="s">
        <v>37</v>
      </c>
    </row>
    <row r="195" spans="1:22" x14ac:dyDescent="0.25">
      <c r="A195" t="s">
        <v>1488</v>
      </c>
      <c r="B195" t="s">
        <v>1008</v>
      </c>
      <c r="C195">
        <v>7000000</v>
      </c>
      <c r="D195">
        <v>7031633</v>
      </c>
      <c r="E195">
        <v>7000000</v>
      </c>
      <c r="F195" t="s">
        <v>636</v>
      </c>
      <c r="G195">
        <v>6.7763600000000004</v>
      </c>
      <c r="H195" t="s">
        <v>1009</v>
      </c>
      <c r="I195" s="26">
        <v>50517</v>
      </c>
      <c r="J195">
        <v>250</v>
      </c>
      <c r="K195">
        <v>1</v>
      </c>
      <c r="L195">
        <v>6.7662839999999997</v>
      </c>
      <c r="M195" t="s">
        <v>1489</v>
      </c>
      <c r="N195" t="s">
        <v>1008</v>
      </c>
      <c r="O195" t="s">
        <v>86</v>
      </c>
      <c r="P195">
        <v>9.4327378329999991</v>
      </c>
      <c r="Q195">
        <v>243.40037555800001</v>
      </c>
      <c r="R195">
        <v>2025</v>
      </c>
      <c r="S195"/>
      <c r="T195" t="s">
        <v>27</v>
      </c>
      <c r="U195" t="s">
        <v>32</v>
      </c>
      <c r="V195" t="s">
        <v>33</v>
      </c>
    </row>
    <row r="196" spans="1:22" x14ac:dyDescent="0.25">
      <c r="A196" t="s">
        <v>1488</v>
      </c>
      <c r="B196" t="s">
        <v>1010</v>
      </c>
      <c r="C196">
        <v>7500000</v>
      </c>
      <c r="D196">
        <v>7536472.5</v>
      </c>
      <c r="E196">
        <v>7500000</v>
      </c>
      <c r="F196" t="s">
        <v>636</v>
      </c>
      <c r="G196">
        <v>6.7839099999999997</v>
      </c>
      <c r="H196" t="s">
        <v>1011</v>
      </c>
      <c r="I196" s="26">
        <v>50512</v>
      </c>
      <c r="J196">
        <v>250</v>
      </c>
      <c r="K196">
        <v>1</v>
      </c>
      <c r="L196">
        <v>6.7763939999999998</v>
      </c>
      <c r="M196" t="s">
        <v>1489</v>
      </c>
      <c r="N196" t="s">
        <v>1010</v>
      </c>
      <c r="O196" t="s">
        <v>86</v>
      </c>
      <c r="P196">
        <v>9.4449638240000002</v>
      </c>
      <c r="Q196">
        <v>243.00581962800001</v>
      </c>
      <c r="R196">
        <v>2025</v>
      </c>
      <c r="S196"/>
      <c r="T196" t="s">
        <v>27</v>
      </c>
      <c r="U196" t="s">
        <v>32</v>
      </c>
      <c r="V196" t="s">
        <v>33</v>
      </c>
    </row>
    <row r="197" spans="1:22" x14ac:dyDescent="0.25">
      <c r="A197" t="s">
        <v>1488</v>
      </c>
      <c r="B197" t="s">
        <v>635</v>
      </c>
      <c r="C197">
        <v>7000000</v>
      </c>
      <c r="D197">
        <v>7047586</v>
      </c>
      <c r="E197">
        <v>7000000</v>
      </c>
      <c r="F197" t="s">
        <v>636</v>
      </c>
      <c r="G197">
        <v>6.7254899999999997</v>
      </c>
      <c r="H197" t="s">
        <v>637</v>
      </c>
      <c r="I197" s="26">
        <v>50150</v>
      </c>
      <c r="J197">
        <v>240</v>
      </c>
      <c r="K197">
        <v>1</v>
      </c>
      <c r="L197">
        <v>6.7246629999999996</v>
      </c>
      <c r="M197" t="s">
        <v>1489</v>
      </c>
      <c r="N197" t="s">
        <v>635</v>
      </c>
      <c r="O197" t="s">
        <v>86</v>
      </c>
      <c r="P197">
        <v>8.081032403</v>
      </c>
      <c r="Q197">
        <v>229.359381042</v>
      </c>
      <c r="R197">
        <v>2024</v>
      </c>
      <c r="S197"/>
      <c r="T197" t="s">
        <v>23</v>
      </c>
      <c r="U197" t="s">
        <v>32</v>
      </c>
      <c r="V197" t="s">
        <v>33</v>
      </c>
    </row>
    <row r="198" spans="1:22" x14ac:dyDescent="0.25">
      <c r="A198" t="s">
        <v>1488</v>
      </c>
      <c r="B198" t="s">
        <v>1002</v>
      </c>
      <c r="C198">
        <v>12000000</v>
      </c>
      <c r="D198">
        <v>12078324</v>
      </c>
      <c r="E198">
        <v>12000000</v>
      </c>
      <c r="F198" t="s">
        <v>636</v>
      </c>
      <c r="G198">
        <v>7.7754899999999996</v>
      </c>
      <c r="H198" t="s">
        <v>1003</v>
      </c>
      <c r="I198" s="26">
        <v>50150</v>
      </c>
      <c r="J198">
        <v>345</v>
      </c>
      <c r="K198">
        <v>1</v>
      </c>
      <c r="L198">
        <v>7.7743859999999998</v>
      </c>
      <c r="M198" t="s">
        <v>1489</v>
      </c>
      <c r="N198" t="s">
        <v>1002</v>
      </c>
      <c r="O198" t="s">
        <v>86</v>
      </c>
      <c r="P198">
        <v>8.7031073719999998</v>
      </c>
      <c r="Q198">
        <v>334.91230568600002</v>
      </c>
      <c r="R198">
        <v>2024</v>
      </c>
      <c r="S198"/>
      <c r="T198" t="s">
        <v>27</v>
      </c>
      <c r="U198" t="s">
        <v>32</v>
      </c>
      <c r="V198" t="s">
        <v>37</v>
      </c>
    </row>
    <row r="199" spans="1:22" x14ac:dyDescent="0.25">
      <c r="A199" t="s">
        <v>1488</v>
      </c>
      <c r="B199" t="s">
        <v>1004</v>
      </c>
      <c r="C199">
        <v>4300000</v>
      </c>
      <c r="D199">
        <v>4320932.4000000004</v>
      </c>
      <c r="E199">
        <v>4300000</v>
      </c>
      <c r="F199" t="s">
        <v>636</v>
      </c>
      <c r="G199">
        <v>7.4254899999999999</v>
      </c>
      <c r="H199" t="s">
        <v>1005</v>
      </c>
      <c r="I199" s="26">
        <v>50334</v>
      </c>
      <c r="J199">
        <v>310</v>
      </c>
      <c r="K199">
        <v>1</v>
      </c>
      <c r="L199">
        <v>7.4244519999999996</v>
      </c>
      <c r="M199" t="s">
        <v>1489</v>
      </c>
      <c r="N199" t="s">
        <v>1004</v>
      </c>
      <c r="O199" t="s">
        <v>86</v>
      </c>
      <c r="P199">
        <v>9.1733122960000006</v>
      </c>
      <c r="Q199">
        <v>302.82936858900001</v>
      </c>
      <c r="R199">
        <v>2024</v>
      </c>
      <c r="S199"/>
      <c r="T199" t="s">
        <v>27</v>
      </c>
      <c r="U199" t="s">
        <v>32</v>
      </c>
      <c r="V199" t="s">
        <v>37</v>
      </c>
    </row>
    <row r="200" spans="1:22" x14ac:dyDescent="0.25">
      <c r="A200" t="s">
        <v>1488</v>
      </c>
      <c r="B200" t="s">
        <v>1000</v>
      </c>
      <c r="C200">
        <v>2000000</v>
      </c>
      <c r="D200">
        <v>2003454</v>
      </c>
      <c r="E200">
        <v>2000000</v>
      </c>
      <c r="F200" t="s">
        <v>636</v>
      </c>
      <c r="G200">
        <v>7.0724</v>
      </c>
      <c r="H200" t="s">
        <v>1001</v>
      </c>
      <c r="I200" s="26">
        <v>50422</v>
      </c>
      <c r="J200">
        <v>275</v>
      </c>
      <c r="K200">
        <v>1</v>
      </c>
      <c r="L200">
        <v>7.0714389999999998</v>
      </c>
      <c r="M200" t="s">
        <v>1489</v>
      </c>
      <c r="N200" t="s">
        <v>1000</v>
      </c>
      <c r="O200" t="s">
        <v>86</v>
      </c>
      <c r="P200">
        <v>9.2974405929999993</v>
      </c>
      <c r="Q200">
        <v>272.44198213700002</v>
      </c>
      <c r="R200">
        <v>2024</v>
      </c>
      <c r="S200"/>
      <c r="T200" t="s">
        <v>27</v>
      </c>
      <c r="U200" t="s">
        <v>32</v>
      </c>
      <c r="V200" t="s">
        <v>37</v>
      </c>
    </row>
    <row r="201" spans="1:22" x14ac:dyDescent="0.25">
      <c r="A201" t="s">
        <v>1488</v>
      </c>
      <c r="B201" t="s">
        <v>998</v>
      </c>
      <c r="C201">
        <v>4000000</v>
      </c>
      <c r="D201">
        <v>4037408</v>
      </c>
      <c r="E201">
        <v>4000000</v>
      </c>
      <c r="F201" t="s">
        <v>636</v>
      </c>
      <c r="G201">
        <v>7.9724000000000004</v>
      </c>
      <c r="H201" t="s">
        <v>999</v>
      </c>
      <c r="I201" s="26">
        <v>50057</v>
      </c>
      <c r="J201">
        <v>365</v>
      </c>
      <c r="K201">
        <v>1</v>
      </c>
      <c r="L201">
        <v>7.9711759999999998</v>
      </c>
      <c r="M201" t="s">
        <v>1489</v>
      </c>
      <c r="N201" t="s">
        <v>998</v>
      </c>
      <c r="O201" t="s">
        <v>86</v>
      </c>
      <c r="P201">
        <v>8.3690755830000008</v>
      </c>
      <c r="Q201">
        <v>350.06364743300003</v>
      </c>
      <c r="R201">
        <v>2024</v>
      </c>
      <c r="S201"/>
      <c r="T201" t="s">
        <v>27</v>
      </c>
      <c r="U201" t="s">
        <v>32</v>
      </c>
      <c r="V201" t="s">
        <v>37</v>
      </c>
    </row>
    <row r="202" spans="1:22" x14ac:dyDescent="0.25">
      <c r="A202" t="s">
        <v>1488</v>
      </c>
      <c r="B202" t="s">
        <v>638</v>
      </c>
      <c r="C202">
        <v>2500000</v>
      </c>
      <c r="D202">
        <v>2512877.5</v>
      </c>
      <c r="E202">
        <v>2500000</v>
      </c>
      <c r="F202" t="s">
        <v>636</v>
      </c>
      <c r="G202">
        <v>6.4290000000000003</v>
      </c>
      <c r="H202" t="s">
        <v>639</v>
      </c>
      <c r="I202" s="26">
        <v>50239</v>
      </c>
      <c r="J202">
        <v>210</v>
      </c>
      <c r="K202">
        <v>1</v>
      </c>
      <c r="L202">
        <v>6.4282110000000001</v>
      </c>
      <c r="M202" t="s">
        <v>1489</v>
      </c>
      <c r="N202" t="s">
        <v>638</v>
      </c>
      <c r="O202" t="s">
        <v>86</v>
      </c>
      <c r="P202">
        <v>8.3395164239999993</v>
      </c>
      <c r="Q202">
        <v>202.195371486</v>
      </c>
      <c r="R202">
        <v>2024</v>
      </c>
      <c r="S202"/>
      <c r="T202" t="s">
        <v>23</v>
      </c>
      <c r="U202" t="s">
        <v>32</v>
      </c>
      <c r="V202" t="s">
        <v>33</v>
      </c>
    </row>
    <row r="203" spans="1:22" x14ac:dyDescent="0.25">
      <c r="A203" t="s">
        <v>1488</v>
      </c>
      <c r="B203" t="s">
        <v>1012</v>
      </c>
      <c r="C203">
        <v>1480000</v>
      </c>
      <c r="D203">
        <v>1487237.2</v>
      </c>
      <c r="E203">
        <v>1480000</v>
      </c>
      <c r="F203" t="s">
        <v>636</v>
      </c>
      <c r="G203">
        <v>7.4223999999999997</v>
      </c>
      <c r="H203" t="s">
        <v>1013</v>
      </c>
      <c r="I203" s="26">
        <v>50330</v>
      </c>
      <c r="J203">
        <v>310</v>
      </c>
      <c r="K203">
        <v>1</v>
      </c>
      <c r="L203">
        <v>7.4213420000000001</v>
      </c>
      <c r="M203" t="s">
        <v>1489</v>
      </c>
      <c r="N203" t="s">
        <v>1012</v>
      </c>
      <c r="O203" t="s">
        <v>86</v>
      </c>
      <c r="P203">
        <v>9.1674921430000005</v>
      </c>
      <c r="Q203">
        <v>302.79260837800001</v>
      </c>
      <c r="R203">
        <v>2024</v>
      </c>
      <c r="S203"/>
      <c r="T203" t="s">
        <v>27</v>
      </c>
      <c r="U203" t="s">
        <v>32</v>
      </c>
      <c r="V203" t="s">
        <v>37</v>
      </c>
    </row>
    <row r="204" spans="1:22" x14ac:dyDescent="0.25">
      <c r="A204" t="s">
        <v>1488</v>
      </c>
      <c r="B204" t="s">
        <v>996</v>
      </c>
      <c r="C204">
        <v>3807000</v>
      </c>
      <c r="D204">
        <v>3847380.85</v>
      </c>
      <c r="E204">
        <v>3807000</v>
      </c>
      <c r="F204" t="s">
        <v>636</v>
      </c>
      <c r="G204">
        <v>8.1254899999999992</v>
      </c>
      <c r="H204" t="s">
        <v>997</v>
      </c>
      <c r="I204" s="26">
        <v>50150</v>
      </c>
      <c r="J204">
        <v>380</v>
      </c>
      <c r="K204">
        <v>1</v>
      </c>
      <c r="L204">
        <v>8.1242850000000004</v>
      </c>
      <c r="M204" t="s">
        <v>1489</v>
      </c>
      <c r="N204" t="s">
        <v>996</v>
      </c>
      <c r="O204" t="s">
        <v>86</v>
      </c>
      <c r="P204">
        <v>8.7156136439999994</v>
      </c>
      <c r="Q204">
        <v>363.51234175299999</v>
      </c>
      <c r="R204">
        <v>2024</v>
      </c>
      <c r="S204"/>
      <c r="T204" t="s">
        <v>27</v>
      </c>
      <c r="U204" t="s">
        <v>32</v>
      </c>
      <c r="V204" t="s">
        <v>37</v>
      </c>
    </row>
    <row r="205" spans="1:22" x14ac:dyDescent="0.25">
      <c r="A205" t="s">
        <v>1488</v>
      </c>
      <c r="B205" t="s">
        <v>1014</v>
      </c>
      <c r="C205">
        <v>250000</v>
      </c>
      <c r="D205">
        <v>252788.5</v>
      </c>
      <c r="E205">
        <v>250000</v>
      </c>
      <c r="F205" t="s">
        <v>636</v>
      </c>
      <c r="G205">
        <v>8.1254899999999992</v>
      </c>
      <c r="H205" t="s">
        <v>1015</v>
      </c>
      <c r="I205" s="26">
        <v>50150</v>
      </c>
      <c r="J205">
        <v>380</v>
      </c>
      <c r="K205">
        <v>1</v>
      </c>
      <c r="L205">
        <v>8.1242850000000004</v>
      </c>
      <c r="M205" t="s">
        <v>1489</v>
      </c>
      <c r="N205" t="s">
        <v>1014</v>
      </c>
      <c r="O205" t="s">
        <v>86</v>
      </c>
      <c r="P205">
        <v>8.7159761360000001</v>
      </c>
      <c r="Q205">
        <v>362.67603088999999</v>
      </c>
      <c r="R205">
        <v>2024</v>
      </c>
      <c r="S205"/>
      <c r="T205" t="s">
        <v>27</v>
      </c>
      <c r="U205" t="s">
        <v>32</v>
      </c>
      <c r="V205" t="s">
        <v>37</v>
      </c>
    </row>
    <row r="206" spans="1:22" x14ac:dyDescent="0.25">
      <c r="A206" t="s">
        <v>1488</v>
      </c>
      <c r="B206" t="s">
        <v>458</v>
      </c>
      <c r="C206">
        <v>3800000</v>
      </c>
      <c r="D206">
        <v>3816636.4</v>
      </c>
      <c r="E206">
        <v>3800000</v>
      </c>
      <c r="F206" t="s">
        <v>636</v>
      </c>
      <c r="G206">
        <v>7.1185200000000002</v>
      </c>
      <c r="H206" t="s">
        <v>457</v>
      </c>
      <c r="I206" s="26">
        <v>50606</v>
      </c>
      <c r="J206">
        <v>280</v>
      </c>
      <c r="L206">
        <v>7.1117369999999998</v>
      </c>
      <c r="M206" t="s">
        <v>1489</v>
      </c>
      <c r="N206" t="s">
        <v>458</v>
      </c>
      <c r="O206" t="s">
        <v>86</v>
      </c>
      <c r="P206">
        <v>9.6821099719999992</v>
      </c>
      <c r="Q206">
        <v>272.36224625900002</v>
      </c>
      <c r="R206">
        <v>2025</v>
      </c>
      <c r="S206"/>
      <c r="T206" t="s">
        <v>27</v>
      </c>
      <c r="U206" t="s">
        <v>32</v>
      </c>
      <c r="V206" t="s">
        <v>37</v>
      </c>
    </row>
    <row r="207" spans="1:22" x14ac:dyDescent="0.25">
      <c r="A207" t="s">
        <v>1488</v>
      </c>
      <c r="B207" t="s">
        <v>1006</v>
      </c>
      <c r="C207">
        <v>10900000</v>
      </c>
      <c r="D207">
        <v>10940820.5</v>
      </c>
      <c r="E207">
        <v>10900000</v>
      </c>
      <c r="F207" t="s">
        <v>636</v>
      </c>
      <c r="G207">
        <v>6.9223999999999997</v>
      </c>
      <c r="H207" t="s">
        <v>1007</v>
      </c>
      <c r="I207" s="26">
        <v>50422</v>
      </c>
      <c r="J207">
        <v>260</v>
      </c>
      <c r="K207">
        <v>1</v>
      </c>
      <c r="L207">
        <v>6.9214789999999997</v>
      </c>
      <c r="M207" t="s">
        <v>1489</v>
      </c>
      <c r="N207" t="s">
        <v>1006</v>
      </c>
      <c r="O207" t="s">
        <v>86</v>
      </c>
      <c r="P207">
        <v>9.2093020499999998</v>
      </c>
      <c r="Q207">
        <v>254.597214208</v>
      </c>
      <c r="R207">
        <v>2025</v>
      </c>
      <c r="S207"/>
      <c r="T207" t="s">
        <v>27</v>
      </c>
      <c r="U207" t="s">
        <v>32</v>
      </c>
      <c r="V207" t="s">
        <v>33</v>
      </c>
    </row>
    <row r="208" spans="1:22" x14ac:dyDescent="0.25">
      <c r="A208" t="s">
        <v>1488</v>
      </c>
      <c r="B208" t="s">
        <v>640</v>
      </c>
      <c r="C208">
        <v>3000000</v>
      </c>
      <c r="D208">
        <v>3014568</v>
      </c>
      <c r="E208">
        <v>3000000</v>
      </c>
      <c r="F208" t="s">
        <v>641</v>
      </c>
      <c r="G208">
        <v>6.2754899999999996</v>
      </c>
      <c r="H208" t="s">
        <v>642</v>
      </c>
      <c r="I208" s="26">
        <v>50333</v>
      </c>
      <c r="J208">
        <v>195</v>
      </c>
      <c r="K208">
        <v>1</v>
      </c>
      <c r="L208">
        <v>6.2747700000000002</v>
      </c>
      <c r="M208" t="s">
        <v>1489</v>
      </c>
      <c r="N208" t="s">
        <v>640</v>
      </c>
      <c r="O208" t="s">
        <v>192</v>
      </c>
      <c r="P208">
        <v>8.596015607</v>
      </c>
      <c r="Q208">
        <v>187.86554925600001</v>
      </c>
      <c r="R208">
        <v>2024</v>
      </c>
      <c r="S208"/>
      <c r="T208" t="s">
        <v>23</v>
      </c>
      <c r="U208" t="s">
        <v>32</v>
      </c>
      <c r="V208" t="s">
        <v>33</v>
      </c>
    </row>
    <row r="209" spans="1:22" x14ac:dyDescent="0.25">
      <c r="A209" t="s">
        <v>1488</v>
      </c>
      <c r="B209" t="s">
        <v>460</v>
      </c>
      <c r="C209">
        <v>4551000</v>
      </c>
      <c r="D209">
        <v>4576203.4400000004</v>
      </c>
      <c r="E209">
        <v>4551000</v>
      </c>
      <c r="F209" t="s">
        <v>218</v>
      </c>
      <c r="G209">
        <v>6.1223999999999998</v>
      </c>
      <c r="H209" t="s">
        <v>459</v>
      </c>
      <c r="I209" s="26">
        <v>49782</v>
      </c>
      <c r="J209">
        <v>180</v>
      </c>
      <c r="K209">
        <v>1</v>
      </c>
      <c r="L209">
        <v>6.1216780000000002</v>
      </c>
      <c r="M209" t="s">
        <v>1489</v>
      </c>
      <c r="N209" t="s">
        <v>460</v>
      </c>
      <c r="O209" t="s">
        <v>89</v>
      </c>
      <c r="P209">
        <v>6.8201394960000004</v>
      </c>
      <c r="Q209">
        <v>170.27213296900001</v>
      </c>
      <c r="R209">
        <v>2025</v>
      </c>
      <c r="S209"/>
      <c r="T209" t="s">
        <v>23</v>
      </c>
      <c r="U209" t="s">
        <v>28</v>
      </c>
      <c r="V209" t="s">
        <v>33</v>
      </c>
    </row>
    <row r="210" spans="1:22" x14ac:dyDescent="0.25">
      <c r="A210" t="s">
        <v>1488</v>
      </c>
      <c r="B210" t="s">
        <v>1480</v>
      </c>
      <c r="C210">
        <v>5860000</v>
      </c>
      <c r="D210">
        <v>5869768.6200000001</v>
      </c>
      <c r="E210">
        <v>5860000</v>
      </c>
      <c r="F210" t="s">
        <v>218</v>
      </c>
      <c r="G210">
        <v>7.4254899999999999</v>
      </c>
      <c r="H210" t="s">
        <v>219</v>
      </c>
      <c r="I210" s="26">
        <v>50332</v>
      </c>
      <c r="J210">
        <v>310</v>
      </c>
      <c r="K210">
        <v>1</v>
      </c>
      <c r="L210">
        <v>7.4245130000000001</v>
      </c>
      <c r="M210" t="s">
        <v>1489</v>
      </c>
      <c r="N210" t="s">
        <v>1480</v>
      </c>
      <c r="O210" t="s">
        <v>89</v>
      </c>
      <c r="P210">
        <v>8.7084858969999992</v>
      </c>
      <c r="Q210">
        <v>307.36381817400002</v>
      </c>
      <c r="R210">
        <v>2024</v>
      </c>
      <c r="S210"/>
      <c r="T210" t="s">
        <v>27</v>
      </c>
      <c r="U210" t="s">
        <v>32</v>
      </c>
      <c r="V210" t="s">
        <v>37</v>
      </c>
    </row>
    <row r="211" spans="1:22" x14ac:dyDescent="0.25">
      <c r="A211" t="s">
        <v>1488</v>
      </c>
      <c r="B211" t="s">
        <v>1018</v>
      </c>
      <c r="C211">
        <v>6250000</v>
      </c>
      <c r="D211">
        <v>6240568.75</v>
      </c>
      <c r="E211">
        <v>6250000</v>
      </c>
      <c r="F211" t="s">
        <v>218</v>
      </c>
      <c r="G211">
        <v>7.1175499999999996</v>
      </c>
      <c r="H211" t="s">
        <v>1019</v>
      </c>
      <c r="I211" s="26">
        <v>50420</v>
      </c>
      <c r="J211">
        <v>280</v>
      </c>
      <c r="K211">
        <v>1</v>
      </c>
      <c r="L211">
        <v>7.1165880000000001</v>
      </c>
      <c r="M211" t="s">
        <v>1489</v>
      </c>
      <c r="N211" t="s">
        <v>1018</v>
      </c>
      <c r="O211" t="s">
        <v>89</v>
      </c>
      <c r="P211">
        <v>9.2432428869999992</v>
      </c>
      <c r="Q211">
        <v>282.03263832499999</v>
      </c>
      <c r="R211">
        <v>2024</v>
      </c>
      <c r="S211"/>
      <c r="T211" t="s">
        <v>27</v>
      </c>
      <c r="U211" t="s">
        <v>32</v>
      </c>
      <c r="V211" t="s">
        <v>37</v>
      </c>
    </row>
    <row r="212" spans="1:22" x14ac:dyDescent="0.25">
      <c r="A212" t="s">
        <v>1488</v>
      </c>
      <c r="B212" t="s">
        <v>550</v>
      </c>
      <c r="C212">
        <v>4000000</v>
      </c>
      <c r="D212">
        <v>4011148</v>
      </c>
      <c r="E212">
        <v>3980000</v>
      </c>
      <c r="F212" t="s">
        <v>551</v>
      </c>
      <c r="G212">
        <v>6.9839900000000004</v>
      </c>
      <c r="H212" t="s">
        <v>552</v>
      </c>
      <c r="I212" s="26">
        <v>48052</v>
      </c>
      <c r="J212">
        <v>271.161</v>
      </c>
      <c r="K212">
        <v>1</v>
      </c>
      <c r="L212">
        <v>5.1015810000000004</v>
      </c>
      <c r="M212" t="s">
        <v>1489</v>
      </c>
      <c r="N212" t="s">
        <v>550</v>
      </c>
      <c r="O212" t="s">
        <v>196</v>
      </c>
      <c r="P212">
        <v>2.1081602570000002</v>
      </c>
      <c r="Q212">
        <v>256.22037904699999</v>
      </c>
      <c r="R212">
        <v>2018</v>
      </c>
      <c r="S212"/>
      <c r="T212" t="s">
        <v>19</v>
      </c>
      <c r="U212" t="s">
        <v>20</v>
      </c>
      <c r="V212" t="s">
        <v>33</v>
      </c>
    </row>
    <row r="213" spans="1:22" x14ac:dyDescent="0.25">
      <c r="A213" t="s">
        <v>1488</v>
      </c>
      <c r="B213" t="s">
        <v>1016</v>
      </c>
      <c r="C213">
        <v>8875000</v>
      </c>
      <c r="D213">
        <v>8902672.25</v>
      </c>
      <c r="E213">
        <v>8875000</v>
      </c>
      <c r="F213" t="s">
        <v>551</v>
      </c>
      <c r="G213">
        <v>7.9839900000000004</v>
      </c>
      <c r="H213" t="s">
        <v>1017</v>
      </c>
      <c r="I213" s="26">
        <v>48052</v>
      </c>
      <c r="J213">
        <v>371.161</v>
      </c>
      <c r="K213">
        <v>1</v>
      </c>
      <c r="L213">
        <v>8.1003139999999991</v>
      </c>
      <c r="M213" t="s">
        <v>1489</v>
      </c>
      <c r="N213" t="s">
        <v>1016</v>
      </c>
      <c r="O213" t="s">
        <v>196</v>
      </c>
      <c r="P213">
        <v>2.9104115099999999</v>
      </c>
      <c r="Q213">
        <v>358.69047223600001</v>
      </c>
      <c r="R213">
        <v>2018</v>
      </c>
      <c r="S213"/>
      <c r="T213" t="s">
        <v>27</v>
      </c>
      <c r="U213" t="s">
        <v>20</v>
      </c>
      <c r="V213" t="s">
        <v>37</v>
      </c>
    </row>
    <row r="214" spans="1:22" x14ac:dyDescent="0.25">
      <c r="A214" t="s">
        <v>1488</v>
      </c>
      <c r="B214" t="s">
        <v>644</v>
      </c>
      <c r="C214">
        <v>2500000</v>
      </c>
      <c r="D214">
        <v>2514065</v>
      </c>
      <c r="E214">
        <v>2500000</v>
      </c>
      <c r="F214" t="s">
        <v>645</v>
      </c>
      <c r="G214">
        <v>8.1702700000000004</v>
      </c>
      <c r="H214" t="s">
        <v>646</v>
      </c>
      <c r="I214" s="26">
        <v>49596</v>
      </c>
      <c r="J214">
        <v>385</v>
      </c>
      <c r="K214">
        <v>1</v>
      </c>
      <c r="L214">
        <v>8.1689919999999994</v>
      </c>
      <c r="M214" t="s">
        <v>1489</v>
      </c>
      <c r="N214" t="s">
        <v>644</v>
      </c>
      <c r="O214" t="s">
        <v>199</v>
      </c>
      <c r="P214">
        <v>5.1046420540000002</v>
      </c>
      <c r="Q214">
        <v>371.516642601</v>
      </c>
      <c r="R214">
        <v>2023</v>
      </c>
      <c r="S214"/>
      <c r="T214" t="s">
        <v>23</v>
      </c>
      <c r="U214" t="s">
        <v>24</v>
      </c>
      <c r="V214" t="s">
        <v>37</v>
      </c>
    </row>
    <row r="215" spans="1:22" x14ac:dyDescent="0.25">
      <c r="A215" t="s">
        <v>1488</v>
      </c>
      <c r="B215" t="s">
        <v>463</v>
      </c>
      <c r="C215">
        <v>2500000</v>
      </c>
      <c r="D215">
        <v>2513467.5</v>
      </c>
      <c r="E215">
        <v>2500000</v>
      </c>
      <c r="F215" t="s">
        <v>461</v>
      </c>
      <c r="G215">
        <v>6.5201599999999997</v>
      </c>
      <c r="H215" t="s">
        <v>462</v>
      </c>
      <c r="I215" s="26">
        <v>50241</v>
      </c>
      <c r="J215">
        <v>225</v>
      </c>
      <c r="L215">
        <v>6.5130489999999996</v>
      </c>
      <c r="M215" t="s">
        <v>1489</v>
      </c>
      <c r="N215" t="s">
        <v>463</v>
      </c>
      <c r="O215" t="s">
        <v>90</v>
      </c>
      <c r="P215">
        <v>8.1636230609999991</v>
      </c>
      <c r="Q215">
        <v>215.11399019199999</v>
      </c>
      <c r="R215">
        <v>2025</v>
      </c>
      <c r="S215"/>
      <c r="T215" t="s">
        <v>23</v>
      </c>
      <c r="U215" t="s">
        <v>32</v>
      </c>
      <c r="V215" t="s">
        <v>33</v>
      </c>
    </row>
    <row r="216" spans="1:22" x14ac:dyDescent="0.25">
      <c r="A216" t="s">
        <v>1488</v>
      </c>
      <c r="B216" t="s">
        <v>1037</v>
      </c>
      <c r="C216">
        <v>5000000</v>
      </c>
      <c r="D216">
        <v>5024565</v>
      </c>
      <c r="E216">
        <v>5000000</v>
      </c>
      <c r="F216" t="s">
        <v>1029</v>
      </c>
      <c r="G216">
        <v>7.66899</v>
      </c>
      <c r="H216" t="s">
        <v>1038</v>
      </c>
      <c r="I216" s="26">
        <v>50335</v>
      </c>
      <c r="J216">
        <v>335</v>
      </c>
      <c r="K216">
        <v>1</v>
      </c>
      <c r="L216">
        <v>7.6678819999999996</v>
      </c>
      <c r="M216" t="s">
        <v>1489</v>
      </c>
      <c r="N216" t="s">
        <v>1037</v>
      </c>
      <c r="O216" t="s">
        <v>200</v>
      </c>
      <c r="P216">
        <v>8.8399431939999999</v>
      </c>
      <c r="Q216">
        <v>327.491792761</v>
      </c>
      <c r="R216">
        <v>2024</v>
      </c>
      <c r="S216"/>
      <c r="T216" t="s">
        <v>27</v>
      </c>
      <c r="U216" t="s">
        <v>32</v>
      </c>
      <c r="V216" t="s">
        <v>37</v>
      </c>
    </row>
    <row r="217" spans="1:22" x14ac:dyDescent="0.25">
      <c r="A217" t="s">
        <v>1488</v>
      </c>
      <c r="B217" t="s">
        <v>1035</v>
      </c>
      <c r="C217">
        <v>14500000</v>
      </c>
      <c r="D217">
        <v>14583476.5</v>
      </c>
      <c r="E217">
        <v>14500000</v>
      </c>
      <c r="F217" t="s">
        <v>1029</v>
      </c>
      <c r="G217">
        <v>7.1684599999999996</v>
      </c>
      <c r="H217" t="s">
        <v>1036</v>
      </c>
      <c r="I217" s="26">
        <v>50430</v>
      </c>
      <c r="J217">
        <v>285</v>
      </c>
      <c r="K217">
        <v>1</v>
      </c>
      <c r="L217">
        <v>7.1674870000000004</v>
      </c>
      <c r="M217" t="s">
        <v>1489</v>
      </c>
      <c r="N217" t="s">
        <v>1035</v>
      </c>
      <c r="O217" t="s">
        <v>200</v>
      </c>
      <c r="P217">
        <v>9.2147772210000003</v>
      </c>
      <c r="Q217">
        <v>276.68041121900001</v>
      </c>
      <c r="R217">
        <v>2025</v>
      </c>
      <c r="S217"/>
      <c r="T217" t="s">
        <v>27</v>
      </c>
      <c r="U217" t="s">
        <v>32</v>
      </c>
      <c r="V217" t="s">
        <v>37</v>
      </c>
    </row>
    <row r="218" spans="1:22" x14ac:dyDescent="0.25">
      <c r="A218" t="s">
        <v>1488</v>
      </c>
      <c r="B218" t="s">
        <v>1039</v>
      </c>
      <c r="C218">
        <v>1500000</v>
      </c>
      <c r="D218">
        <v>1507099.5</v>
      </c>
      <c r="E218">
        <v>1500000</v>
      </c>
      <c r="F218" t="s">
        <v>1029</v>
      </c>
      <c r="G218">
        <v>7.5754900000000003</v>
      </c>
      <c r="H218" t="s">
        <v>1040</v>
      </c>
      <c r="I218" s="26">
        <v>50241</v>
      </c>
      <c r="J218">
        <v>325</v>
      </c>
      <c r="K218">
        <v>1</v>
      </c>
      <c r="L218">
        <v>7.5744429999999996</v>
      </c>
      <c r="M218" t="s">
        <v>1489</v>
      </c>
      <c r="N218" t="s">
        <v>1039</v>
      </c>
      <c r="O218" t="s">
        <v>200</v>
      </c>
      <c r="P218">
        <v>8.835068089</v>
      </c>
      <c r="Q218">
        <v>317.79595567699999</v>
      </c>
      <c r="R218">
        <v>2024</v>
      </c>
      <c r="S218"/>
      <c r="T218" t="s">
        <v>27</v>
      </c>
      <c r="U218" t="s">
        <v>32</v>
      </c>
      <c r="V218" t="s">
        <v>37</v>
      </c>
    </row>
    <row r="219" spans="1:22" x14ac:dyDescent="0.25">
      <c r="A219" t="s">
        <v>1488</v>
      </c>
      <c r="B219" t="s">
        <v>1041</v>
      </c>
      <c r="C219">
        <v>8000000</v>
      </c>
      <c r="D219">
        <v>8040352</v>
      </c>
      <c r="E219">
        <v>8000000</v>
      </c>
      <c r="F219" t="s">
        <v>1029</v>
      </c>
      <c r="G219">
        <v>7.5254899999999996</v>
      </c>
      <c r="H219" t="s">
        <v>1042</v>
      </c>
      <c r="I219" s="26">
        <v>50425</v>
      </c>
      <c r="J219">
        <v>320</v>
      </c>
      <c r="K219">
        <v>1</v>
      </c>
      <c r="L219">
        <v>7.5244559999999998</v>
      </c>
      <c r="M219" t="s">
        <v>1489</v>
      </c>
      <c r="N219" t="s">
        <v>1041</v>
      </c>
      <c r="O219" t="s">
        <v>200</v>
      </c>
      <c r="P219">
        <v>9.1896307190000002</v>
      </c>
      <c r="Q219">
        <v>312.565645663</v>
      </c>
      <c r="R219">
        <v>2024</v>
      </c>
      <c r="S219"/>
      <c r="T219" t="s">
        <v>27</v>
      </c>
      <c r="U219" t="s">
        <v>32</v>
      </c>
      <c r="V219" t="s">
        <v>37</v>
      </c>
    </row>
    <row r="220" spans="1:22" x14ac:dyDescent="0.25">
      <c r="A220" t="s">
        <v>1488</v>
      </c>
      <c r="B220" t="s">
        <v>1028</v>
      </c>
      <c r="C220">
        <v>4000000</v>
      </c>
      <c r="D220">
        <v>4017732</v>
      </c>
      <c r="E220">
        <v>4000000</v>
      </c>
      <c r="F220" t="s">
        <v>1029</v>
      </c>
      <c r="G220">
        <v>7.5754900000000003</v>
      </c>
      <c r="H220" t="s">
        <v>1030</v>
      </c>
      <c r="I220" s="26">
        <v>50333</v>
      </c>
      <c r="J220">
        <v>325</v>
      </c>
      <c r="K220">
        <v>1</v>
      </c>
      <c r="L220">
        <v>7.5744429999999996</v>
      </c>
      <c r="M220" t="s">
        <v>1489</v>
      </c>
      <c r="N220" t="s">
        <v>1028</v>
      </c>
      <c r="O220" t="s">
        <v>200</v>
      </c>
      <c r="P220">
        <v>9.0587398340000007</v>
      </c>
      <c r="Q220">
        <v>318.36550968400002</v>
      </c>
      <c r="R220">
        <v>2024</v>
      </c>
      <c r="S220"/>
      <c r="T220" t="s">
        <v>27</v>
      </c>
      <c r="U220" t="s">
        <v>32</v>
      </c>
      <c r="V220" t="s">
        <v>37</v>
      </c>
    </row>
    <row r="221" spans="1:22" x14ac:dyDescent="0.25">
      <c r="A221" t="s">
        <v>1488</v>
      </c>
      <c r="B221" t="s">
        <v>1033</v>
      </c>
      <c r="C221">
        <v>7250000</v>
      </c>
      <c r="D221">
        <v>7282501.75</v>
      </c>
      <c r="E221">
        <v>7250000</v>
      </c>
      <c r="F221" t="s">
        <v>1029</v>
      </c>
      <c r="G221">
        <v>7.3319900000000002</v>
      </c>
      <c r="H221" t="s">
        <v>1034</v>
      </c>
      <c r="I221" s="26">
        <v>50335</v>
      </c>
      <c r="J221">
        <v>300</v>
      </c>
      <c r="K221">
        <v>1</v>
      </c>
      <c r="L221">
        <v>7.3309769999999999</v>
      </c>
      <c r="M221" t="s">
        <v>1489</v>
      </c>
      <c r="N221" t="s">
        <v>1033</v>
      </c>
      <c r="O221" t="s">
        <v>200</v>
      </c>
      <c r="P221">
        <v>9.0278865340000003</v>
      </c>
      <c r="Q221">
        <v>293.342390647</v>
      </c>
      <c r="R221">
        <v>2024</v>
      </c>
      <c r="S221"/>
      <c r="T221" t="s">
        <v>27</v>
      </c>
      <c r="U221" t="s">
        <v>32</v>
      </c>
      <c r="V221" t="s">
        <v>37</v>
      </c>
    </row>
    <row r="222" spans="1:22" x14ac:dyDescent="0.25">
      <c r="A222" t="s">
        <v>1488</v>
      </c>
      <c r="B222" t="s">
        <v>1031</v>
      </c>
      <c r="C222">
        <v>1300000</v>
      </c>
      <c r="D222">
        <v>1306280.3</v>
      </c>
      <c r="E222">
        <v>1300000</v>
      </c>
      <c r="F222" t="s">
        <v>1029</v>
      </c>
      <c r="G222">
        <v>8.3189899999999994</v>
      </c>
      <c r="H222" t="s">
        <v>1032</v>
      </c>
      <c r="I222" s="26">
        <v>50152</v>
      </c>
      <c r="J222">
        <v>400</v>
      </c>
      <c r="K222">
        <v>1</v>
      </c>
      <c r="L222">
        <v>8.2780470000000008</v>
      </c>
      <c r="M222" t="s">
        <v>1489</v>
      </c>
      <c r="N222" t="s">
        <v>1031</v>
      </c>
      <c r="O222" t="s">
        <v>200</v>
      </c>
      <c r="P222">
        <v>8.6519587540000007</v>
      </c>
      <c r="Q222">
        <v>392.26670270099999</v>
      </c>
      <c r="R222">
        <v>2024</v>
      </c>
      <c r="S222"/>
      <c r="T222" t="s">
        <v>27</v>
      </c>
      <c r="U222" t="s">
        <v>32</v>
      </c>
      <c r="V222" t="s">
        <v>37</v>
      </c>
    </row>
    <row r="223" spans="1:22" x14ac:dyDescent="0.25">
      <c r="A223" t="s">
        <v>1488</v>
      </c>
      <c r="B223" t="s">
        <v>1020</v>
      </c>
      <c r="C223">
        <v>9000000</v>
      </c>
      <c r="D223">
        <v>9036693</v>
      </c>
      <c r="E223">
        <v>9000000</v>
      </c>
      <c r="F223" t="s">
        <v>655</v>
      </c>
      <c r="G223">
        <v>7.4254899999999999</v>
      </c>
      <c r="H223" t="s">
        <v>1021</v>
      </c>
      <c r="I223" s="26">
        <v>50333</v>
      </c>
      <c r="J223">
        <v>310</v>
      </c>
      <c r="K223">
        <v>1</v>
      </c>
      <c r="L223">
        <v>7.4244830000000004</v>
      </c>
      <c r="M223" t="s">
        <v>1489</v>
      </c>
      <c r="N223" t="s">
        <v>1020</v>
      </c>
      <c r="O223" t="s">
        <v>94</v>
      </c>
      <c r="P223">
        <v>9.019928277</v>
      </c>
      <c r="Q223">
        <v>303.89954864999999</v>
      </c>
      <c r="R223">
        <v>2024</v>
      </c>
      <c r="S223"/>
      <c r="T223" t="s">
        <v>27</v>
      </c>
      <c r="U223" t="s">
        <v>32</v>
      </c>
      <c r="V223" t="s">
        <v>37</v>
      </c>
    </row>
    <row r="224" spans="1:22" x14ac:dyDescent="0.25">
      <c r="A224" t="s">
        <v>1488</v>
      </c>
      <c r="B224" t="s">
        <v>1024</v>
      </c>
      <c r="C224">
        <v>3500000</v>
      </c>
      <c r="D224">
        <v>3513702.5</v>
      </c>
      <c r="E224">
        <v>3500000</v>
      </c>
      <c r="F224" t="s">
        <v>655</v>
      </c>
      <c r="G224">
        <v>7.7254899999999997</v>
      </c>
      <c r="H224" t="s">
        <v>1025</v>
      </c>
      <c r="I224" s="26">
        <v>50150</v>
      </c>
      <c r="J224">
        <v>340</v>
      </c>
      <c r="K224">
        <v>1</v>
      </c>
      <c r="L224">
        <v>7.7244000000000002</v>
      </c>
      <c r="M224" t="s">
        <v>1489</v>
      </c>
      <c r="N224" t="s">
        <v>1024</v>
      </c>
      <c r="O224" t="s">
        <v>96</v>
      </c>
      <c r="P224">
        <v>8.5406364759999995</v>
      </c>
      <c r="Q224">
        <v>333.80826882700001</v>
      </c>
      <c r="R224">
        <v>2024</v>
      </c>
      <c r="S224"/>
      <c r="T224" t="s">
        <v>27</v>
      </c>
      <c r="U224" t="s">
        <v>32</v>
      </c>
      <c r="V224" t="s">
        <v>37</v>
      </c>
    </row>
    <row r="225" spans="1:22" x14ac:dyDescent="0.25">
      <c r="A225" t="s">
        <v>1488</v>
      </c>
      <c r="B225" t="s">
        <v>1022</v>
      </c>
      <c r="C225">
        <v>3450000</v>
      </c>
      <c r="D225">
        <v>3468467.85</v>
      </c>
      <c r="E225">
        <v>3450000</v>
      </c>
      <c r="F225" t="s">
        <v>655</v>
      </c>
      <c r="G225">
        <v>8.7254900000000006</v>
      </c>
      <c r="H225" t="s">
        <v>1023</v>
      </c>
      <c r="I225" s="26">
        <v>49968</v>
      </c>
      <c r="J225">
        <v>440</v>
      </c>
      <c r="K225">
        <v>1</v>
      </c>
      <c r="L225">
        <v>8.7241020000000002</v>
      </c>
      <c r="M225" t="s">
        <v>1489</v>
      </c>
      <c r="N225" t="s">
        <v>1022</v>
      </c>
      <c r="O225" t="s">
        <v>94</v>
      </c>
      <c r="P225">
        <v>7.9536181079999997</v>
      </c>
      <c r="Q225">
        <v>430.75669279200002</v>
      </c>
      <c r="R225">
        <v>2023</v>
      </c>
      <c r="S225"/>
      <c r="T225" t="s">
        <v>27</v>
      </c>
      <c r="U225" t="s">
        <v>28</v>
      </c>
      <c r="V225" t="s">
        <v>37</v>
      </c>
    </row>
    <row r="226" spans="1:22" x14ac:dyDescent="0.25">
      <c r="A226" t="s">
        <v>1488</v>
      </c>
      <c r="B226" t="s">
        <v>654</v>
      </c>
      <c r="C226">
        <v>5000000</v>
      </c>
      <c r="D226">
        <v>5023575</v>
      </c>
      <c r="E226">
        <v>5000000</v>
      </c>
      <c r="F226" t="s">
        <v>655</v>
      </c>
      <c r="G226">
        <v>6.2254899999999997</v>
      </c>
      <c r="H226" t="s">
        <v>656</v>
      </c>
      <c r="I226" s="26">
        <v>50333</v>
      </c>
      <c r="J226">
        <v>190</v>
      </c>
      <c r="K226">
        <v>1</v>
      </c>
      <c r="L226">
        <v>6.2247820000000003</v>
      </c>
      <c r="M226" t="s">
        <v>1489</v>
      </c>
      <c r="N226" t="s">
        <v>654</v>
      </c>
      <c r="O226" t="s">
        <v>96</v>
      </c>
      <c r="P226">
        <v>8.4292555480000004</v>
      </c>
      <c r="Q226">
        <v>182.97632772200001</v>
      </c>
      <c r="R226">
        <v>2024</v>
      </c>
      <c r="S226"/>
      <c r="T226" t="s">
        <v>23</v>
      </c>
      <c r="U226" t="s">
        <v>32</v>
      </c>
      <c r="V226" t="s">
        <v>33</v>
      </c>
    </row>
    <row r="227" spans="1:22" x14ac:dyDescent="0.25">
      <c r="A227" t="s">
        <v>1488</v>
      </c>
      <c r="B227" t="s">
        <v>1026</v>
      </c>
      <c r="C227">
        <v>4000000</v>
      </c>
      <c r="D227">
        <v>4014040</v>
      </c>
      <c r="E227">
        <v>4000000</v>
      </c>
      <c r="F227" t="s">
        <v>655</v>
      </c>
      <c r="G227">
        <v>7.1754899999999999</v>
      </c>
      <c r="H227" t="s">
        <v>1027</v>
      </c>
      <c r="I227" s="26">
        <v>50333</v>
      </c>
      <c r="J227">
        <v>285</v>
      </c>
      <c r="K227">
        <v>1</v>
      </c>
      <c r="L227">
        <v>7.17455</v>
      </c>
      <c r="M227" t="s">
        <v>1489</v>
      </c>
      <c r="N227" t="s">
        <v>1026</v>
      </c>
      <c r="O227" t="s">
        <v>96</v>
      </c>
      <c r="P227">
        <v>8.9988373389999996</v>
      </c>
      <c r="Q227">
        <v>279.77978173000002</v>
      </c>
      <c r="R227">
        <v>2024</v>
      </c>
      <c r="S227"/>
      <c r="T227" t="s">
        <v>27</v>
      </c>
      <c r="U227" t="s">
        <v>32</v>
      </c>
      <c r="V227" t="s">
        <v>37</v>
      </c>
    </row>
    <row r="228" spans="1:22" x14ac:dyDescent="0.25">
      <c r="A228" t="s">
        <v>1488</v>
      </c>
      <c r="B228" t="s">
        <v>465</v>
      </c>
      <c r="C228">
        <v>3689896</v>
      </c>
      <c r="D228">
        <v>3708382.38</v>
      </c>
      <c r="E228">
        <v>3689896</v>
      </c>
      <c r="F228" t="s">
        <v>655</v>
      </c>
      <c r="G228">
        <v>7.1254900000000001</v>
      </c>
      <c r="H228" t="s">
        <v>464</v>
      </c>
      <c r="I228" s="26">
        <v>50790</v>
      </c>
      <c r="J228">
        <v>280</v>
      </c>
      <c r="K228">
        <v>1</v>
      </c>
      <c r="L228">
        <v>7.1245630000000002</v>
      </c>
      <c r="M228" t="s">
        <v>1489</v>
      </c>
      <c r="N228" t="s">
        <v>465</v>
      </c>
      <c r="O228" t="s">
        <v>94</v>
      </c>
      <c r="P228">
        <v>9.6833797579999992</v>
      </c>
      <c r="Q228">
        <v>273.01740239499998</v>
      </c>
      <c r="R228">
        <v>2025</v>
      </c>
      <c r="S228"/>
      <c r="T228" t="s">
        <v>27</v>
      </c>
      <c r="U228" t="s">
        <v>32</v>
      </c>
      <c r="V228" t="s">
        <v>37</v>
      </c>
    </row>
    <row r="229" spans="1:22" x14ac:dyDescent="0.25">
      <c r="A229" t="s">
        <v>1488</v>
      </c>
      <c r="B229" t="s">
        <v>467</v>
      </c>
      <c r="C229">
        <v>9900000</v>
      </c>
      <c r="D229">
        <v>9938501.0999999996</v>
      </c>
      <c r="E229">
        <v>9900000</v>
      </c>
      <c r="F229" t="s">
        <v>655</v>
      </c>
      <c r="G229">
        <v>7.0241100000000003</v>
      </c>
      <c r="H229" t="s">
        <v>466</v>
      </c>
      <c r="I229" s="26">
        <v>50606</v>
      </c>
      <c r="J229">
        <v>275</v>
      </c>
      <c r="K229">
        <v>1</v>
      </c>
      <c r="L229">
        <v>0</v>
      </c>
      <c r="M229" t="s">
        <v>1489</v>
      </c>
      <c r="N229" t="s">
        <v>467</v>
      </c>
      <c r="O229" t="s">
        <v>96</v>
      </c>
      <c r="P229">
        <v>9.6333087769999999</v>
      </c>
      <c r="Q229">
        <v>268.34362305799999</v>
      </c>
      <c r="R229">
        <v>2025</v>
      </c>
      <c r="S229"/>
      <c r="T229" t="s">
        <v>27</v>
      </c>
      <c r="U229" t="s">
        <v>32</v>
      </c>
      <c r="V229" t="s">
        <v>37</v>
      </c>
    </row>
    <row r="230" spans="1:22" x14ac:dyDescent="0.25">
      <c r="A230" t="s">
        <v>1488</v>
      </c>
      <c r="B230" t="s">
        <v>647</v>
      </c>
      <c r="C230">
        <v>5900000</v>
      </c>
      <c r="D230">
        <v>5907487.0999999996</v>
      </c>
      <c r="E230">
        <v>5900000</v>
      </c>
      <c r="F230" t="s">
        <v>83</v>
      </c>
      <c r="G230">
        <v>6.3684599999999998</v>
      </c>
      <c r="H230" t="s">
        <v>648</v>
      </c>
      <c r="I230" s="26">
        <v>49242</v>
      </c>
      <c r="J230">
        <v>205</v>
      </c>
      <c r="K230">
        <v>1</v>
      </c>
      <c r="L230">
        <v>6.367686</v>
      </c>
      <c r="M230" t="s">
        <v>1489</v>
      </c>
      <c r="N230" t="s">
        <v>647</v>
      </c>
      <c r="O230" t="s">
        <v>98</v>
      </c>
      <c r="P230">
        <v>5.0547596910000001</v>
      </c>
      <c r="Q230">
        <v>201.980407106</v>
      </c>
      <c r="R230">
        <v>2024</v>
      </c>
      <c r="S230"/>
      <c r="T230" t="s">
        <v>23</v>
      </c>
      <c r="U230" t="s">
        <v>24</v>
      </c>
      <c r="V230" t="s">
        <v>33</v>
      </c>
    </row>
    <row r="231" spans="1:22" x14ac:dyDescent="0.25">
      <c r="A231" t="s">
        <v>1488</v>
      </c>
      <c r="B231" t="s">
        <v>649</v>
      </c>
      <c r="C231">
        <v>6114758</v>
      </c>
      <c r="D231">
        <v>6115063.7400000002</v>
      </c>
      <c r="E231">
        <v>6114758</v>
      </c>
      <c r="F231" t="s">
        <v>83</v>
      </c>
      <c r="G231">
        <v>7.7684600000000001</v>
      </c>
      <c r="H231" t="s">
        <v>650</v>
      </c>
      <c r="I231" s="26">
        <v>49881</v>
      </c>
      <c r="J231">
        <v>345</v>
      </c>
      <c r="K231">
        <v>1</v>
      </c>
      <c r="L231">
        <v>7.7673170000000002</v>
      </c>
      <c r="M231" t="s">
        <v>1489</v>
      </c>
      <c r="N231" t="s">
        <v>649</v>
      </c>
      <c r="O231" t="s">
        <v>98</v>
      </c>
      <c r="P231">
        <v>7.0076056260000001</v>
      </c>
      <c r="Q231"/>
      <c r="R231">
        <v>2023</v>
      </c>
      <c r="S231"/>
      <c r="T231" t="s">
        <v>23</v>
      </c>
      <c r="U231" t="s">
        <v>28</v>
      </c>
      <c r="V231" t="s">
        <v>37</v>
      </c>
    </row>
    <row r="232" spans="1:22" x14ac:dyDescent="0.25">
      <c r="A232" t="s">
        <v>1488</v>
      </c>
      <c r="B232" t="s">
        <v>471</v>
      </c>
      <c r="C232">
        <v>6114758</v>
      </c>
      <c r="D232">
        <v>6130044.9000000004</v>
      </c>
      <c r="E232">
        <v>6114758</v>
      </c>
      <c r="F232" t="s">
        <v>83</v>
      </c>
      <c r="G232">
        <v>6.2167700000000004</v>
      </c>
      <c r="H232" t="s">
        <v>470</v>
      </c>
      <c r="I232" s="26">
        <v>50611</v>
      </c>
      <c r="J232">
        <v>195</v>
      </c>
      <c r="L232">
        <v>0</v>
      </c>
      <c r="M232" t="s">
        <v>1489</v>
      </c>
      <c r="N232" t="s">
        <v>471</v>
      </c>
      <c r="O232" t="s">
        <v>98</v>
      </c>
      <c r="P232">
        <v>0</v>
      </c>
      <c r="Q232">
        <v>190.34991227699999</v>
      </c>
      <c r="R232">
        <v>2025</v>
      </c>
      <c r="S232"/>
      <c r="T232" t="s">
        <v>23</v>
      </c>
      <c r="U232" t="s">
        <v>16</v>
      </c>
      <c r="V232" t="s">
        <v>33</v>
      </c>
    </row>
    <row r="233" spans="1:22" x14ac:dyDescent="0.25">
      <c r="A233" t="s">
        <v>1488</v>
      </c>
      <c r="B233" t="s">
        <v>1053</v>
      </c>
      <c r="C233">
        <v>7000000</v>
      </c>
      <c r="D233">
        <v>7022869</v>
      </c>
      <c r="E233">
        <v>7000000</v>
      </c>
      <c r="F233" t="s">
        <v>1054</v>
      </c>
      <c r="G233">
        <v>7.3254900000000003</v>
      </c>
      <c r="H233" t="s">
        <v>1055</v>
      </c>
      <c r="I233" s="26">
        <v>50333</v>
      </c>
      <c r="J233">
        <v>300</v>
      </c>
      <c r="K233">
        <v>1</v>
      </c>
      <c r="L233">
        <v>7.3245100000000001</v>
      </c>
      <c r="M233" t="s">
        <v>1489</v>
      </c>
      <c r="N233" t="s">
        <v>1053</v>
      </c>
      <c r="O233" t="s">
        <v>110</v>
      </c>
      <c r="P233">
        <v>9.0328193910000003</v>
      </c>
      <c r="Q233">
        <v>295.11567060700003</v>
      </c>
      <c r="R233">
        <v>2024</v>
      </c>
      <c r="S233"/>
      <c r="T233" t="s">
        <v>27</v>
      </c>
      <c r="U233" t="s">
        <v>32</v>
      </c>
      <c r="V233" t="s">
        <v>37</v>
      </c>
    </row>
    <row r="234" spans="1:22" x14ac:dyDescent="0.25">
      <c r="A234" t="s">
        <v>1488</v>
      </c>
      <c r="B234" t="s">
        <v>474</v>
      </c>
      <c r="C234">
        <v>2700000</v>
      </c>
      <c r="D234">
        <v>2710497.6</v>
      </c>
      <c r="E234">
        <v>2700000</v>
      </c>
      <c r="F234" t="s">
        <v>1043</v>
      </c>
      <c r="G234">
        <v>7.6620499999999998</v>
      </c>
      <c r="H234" t="s">
        <v>473</v>
      </c>
      <c r="I234" s="26">
        <v>50603</v>
      </c>
      <c r="J234">
        <v>345</v>
      </c>
      <c r="K234">
        <v>1</v>
      </c>
      <c r="L234">
        <v>0</v>
      </c>
      <c r="M234" t="s">
        <v>1489</v>
      </c>
      <c r="N234" t="s">
        <v>474</v>
      </c>
      <c r="O234" t="s">
        <v>100</v>
      </c>
      <c r="P234">
        <v>9.6645991589999998</v>
      </c>
      <c r="Q234">
        <v>338.07629414299998</v>
      </c>
      <c r="R234">
        <v>2025</v>
      </c>
      <c r="S234"/>
      <c r="T234" t="s">
        <v>27</v>
      </c>
      <c r="U234" t="s">
        <v>32</v>
      </c>
      <c r="V234" t="s">
        <v>37</v>
      </c>
    </row>
    <row r="235" spans="1:22" x14ac:dyDescent="0.25">
      <c r="A235" t="s">
        <v>1488</v>
      </c>
      <c r="B235" t="s">
        <v>657</v>
      </c>
      <c r="C235">
        <v>5100000</v>
      </c>
      <c r="D235">
        <v>5116411.8</v>
      </c>
      <c r="E235">
        <v>5100000</v>
      </c>
      <c r="F235" t="s">
        <v>658</v>
      </c>
      <c r="G235">
        <v>7.0370999999999997</v>
      </c>
      <c r="H235" t="s">
        <v>659</v>
      </c>
      <c r="I235" s="26">
        <v>49237</v>
      </c>
      <c r="J235">
        <v>271.161</v>
      </c>
      <c r="K235">
        <v>1</v>
      </c>
      <c r="L235">
        <v>7.1356789999999997</v>
      </c>
      <c r="M235" t="s">
        <v>1489</v>
      </c>
      <c r="N235" t="s">
        <v>657</v>
      </c>
      <c r="O235" t="s">
        <v>201</v>
      </c>
      <c r="P235">
        <v>5.8437278299999997</v>
      </c>
      <c r="Q235">
        <v>264.48696464</v>
      </c>
      <c r="R235">
        <v>2021</v>
      </c>
      <c r="S235"/>
      <c r="T235" t="s">
        <v>23</v>
      </c>
      <c r="U235" t="s">
        <v>24</v>
      </c>
      <c r="V235" t="s">
        <v>37</v>
      </c>
    </row>
    <row r="236" spans="1:22" x14ac:dyDescent="0.25">
      <c r="A236" t="s">
        <v>1488</v>
      </c>
      <c r="B236" t="s">
        <v>1044</v>
      </c>
      <c r="C236">
        <v>3550000</v>
      </c>
      <c r="D236">
        <v>3559414.6</v>
      </c>
      <c r="E236">
        <v>3514500</v>
      </c>
      <c r="F236" t="s">
        <v>658</v>
      </c>
      <c r="G236">
        <v>8.1471</v>
      </c>
      <c r="H236" t="s">
        <v>1045</v>
      </c>
      <c r="I236" s="26">
        <v>49237</v>
      </c>
      <c r="J236">
        <v>382.161</v>
      </c>
      <c r="K236">
        <v>1</v>
      </c>
      <c r="L236">
        <v>8.2576129999999992</v>
      </c>
      <c r="M236" t="s">
        <v>1489</v>
      </c>
      <c r="N236" t="s">
        <v>1044</v>
      </c>
      <c r="O236" t="s">
        <v>201</v>
      </c>
      <c r="P236">
        <v>6.3071643699999997</v>
      </c>
      <c r="Q236">
        <v>376.73306176199998</v>
      </c>
      <c r="R236">
        <v>2021</v>
      </c>
      <c r="S236"/>
      <c r="T236" t="s">
        <v>27</v>
      </c>
      <c r="U236" t="s">
        <v>28</v>
      </c>
      <c r="V236" t="s">
        <v>37</v>
      </c>
    </row>
    <row r="237" spans="1:22" x14ac:dyDescent="0.25">
      <c r="A237" t="s">
        <v>1488</v>
      </c>
      <c r="B237" t="s">
        <v>1044</v>
      </c>
      <c r="C237">
        <v>11090000</v>
      </c>
      <c r="D237">
        <v>11119410.68</v>
      </c>
      <c r="E237">
        <v>11092129.279999999</v>
      </c>
      <c r="F237" t="s">
        <v>658</v>
      </c>
      <c r="G237">
        <v>8.1471</v>
      </c>
      <c r="H237" t="s">
        <v>1045</v>
      </c>
      <c r="I237" s="26">
        <v>49237</v>
      </c>
      <c r="J237">
        <v>382.161</v>
      </c>
      <c r="K237">
        <v>1</v>
      </c>
      <c r="L237">
        <v>8.2576129999999992</v>
      </c>
      <c r="M237" t="s">
        <v>1489</v>
      </c>
      <c r="N237" t="s">
        <v>1044</v>
      </c>
      <c r="O237" t="s">
        <v>201</v>
      </c>
      <c r="P237">
        <v>6.3071643699999997</v>
      </c>
      <c r="Q237">
        <v>376.73306176199998</v>
      </c>
      <c r="R237">
        <v>2021</v>
      </c>
      <c r="S237"/>
      <c r="T237" t="s">
        <v>27</v>
      </c>
      <c r="U237" t="s">
        <v>28</v>
      </c>
      <c r="V237" t="s">
        <v>37</v>
      </c>
    </row>
    <row r="238" spans="1:22" x14ac:dyDescent="0.25">
      <c r="A238" t="s">
        <v>1488</v>
      </c>
      <c r="B238" t="s">
        <v>1046</v>
      </c>
      <c r="C238">
        <v>4000000</v>
      </c>
      <c r="D238">
        <v>3980572</v>
      </c>
      <c r="E238">
        <v>3970000</v>
      </c>
      <c r="F238" t="s">
        <v>1047</v>
      </c>
      <c r="G238">
        <v>8.2370999999999999</v>
      </c>
      <c r="H238" t="s">
        <v>1048</v>
      </c>
      <c r="I238" s="26">
        <v>49145</v>
      </c>
      <c r="J238">
        <v>391.161</v>
      </c>
      <c r="K238">
        <v>1</v>
      </c>
      <c r="L238">
        <v>8.3385079999999991</v>
      </c>
      <c r="M238" t="s">
        <v>1489</v>
      </c>
      <c r="N238" t="s">
        <v>1046</v>
      </c>
      <c r="O238" t="s">
        <v>201</v>
      </c>
      <c r="P238">
        <v>6.1576218349999996</v>
      </c>
      <c r="Q238">
        <v>400.74684841200002</v>
      </c>
      <c r="R238">
        <v>2021</v>
      </c>
      <c r="S238"/>
      <c r="T238" t="s">
        <v>27</v>
      </c>
      <c r="U238" t="s">
        <v>28</v>
      </c>
      <c r="V238" t="s">
        <v>37</v>
      </c>
    </row>
    <row r="239" spans="1:22" x14ac:dyDescent="0.25">
      <c r="A239" t="s">
        <v>1488</v>
      </c>
      <c r="B239" t="s">
        <v>1046</v>
      </c>
      <c r="C239">
        <v>1520000</v>
      </c>
      <c r="D239">
        <v>1512617.36</v>
      </c>
      <c r="E239">
        <v>1523597.84</v>
      </c>
      <c r="F239" t="s">
        <v>1047</v>
      </c>
      <c r="G239">
        <v>8.2370999999999999</v>
      </c>
      <c r="H239" t="s">
        <v>1048</v>
      </c>
      <c r="I239" s="26">
        <v>49145</v>
      </c>
      <c r="J239">
        <v>391.161</v>
      </c>
      <c r="K239">
        <v>1</v>
      </c>
      <c r="L239">
        <v>8.3385079999999991</v>
      </c>
      <c r="M239" t="s">
        <v>1489</v>
      </c>
      <c r="N239" t="s">
        <v>1046</v>
      </c>
      <c r="O239" t="s">
        <v>201</v>
      </c>
      <c r="P239">
        <v>6.1576218349999996</v>
      </c>
      <c r="Q239">
        <v>400.74684841200002</v>
      </c>
      <c r="R239">
        <v>2021</v>
      </c>
      <c r="S239"/>
      <c r="T239" t="s">
        <v>27</v>
      </c>
      <c r="U239" t="s">
        <v>28</v>
      </c>
      <c r="V239" t="s">
        <v>37</v>
      </c>
    </row>
    <row r="240" spans="1:22" x14ac:dyDescent="0.25">
      <c r="A240" t="s">
        <v>1488</v>
      </c>
      <c r="B240" t="s">
        <v>1046</v>
      </c>
      <c r="C240">
        <v>1530000</v>
      </c>
      <c r="D240">
        <v>1522568.79</v>
      </c>
      <c r="E240">
        <v>1531837.53</v>
      </c>
      <c r="F240" t="s">
        <v>1047</v>
      </c>
      <c r="G240">
        <v>8.2370999999999999</v>
      </c>
      <c r="H240" t="s">
        <v>1048</v>
      </c>
      <c r="I240" s="26">
        <v>49145</v>
      </c>
      <c r="J240">
        <v>391.161</v>
      </c>
      <c r="K240">
        <v>1</v>
      </c>
      <c r="L240">
        <v>8.3385079999999991</v>
      </c>
      <c r="M240" t="s">
        <v>1489</v>
      </c>
      <c r="N240" t="s">
        <v>1046</v>
      </c>
      <c r="O240" t="s">
        <v>201</v>
      </c>
      <c r="P240">
        <v>6.1576218349999996</v>
      </c>
      <c r="Q240">
        <v>400.74684841200002</v>
      </c>
      <c r="R240">
        <v>2021</v>
      </c>
      <c r="S240"/>
      <c r="T240" t="s">
        <v>27</v>
      </c>
      <c r="U240" t="s">
        <v>28</v>
      </c>
      <c r="V240" t="s">
        <v>37</v>
      </c>
    </row>
    <row r="241" spans="1:22" x14ac:dyDescent="0.25">
      <c r="A241" t="s">
        <v>1488</v>
      </c>
      <c r="B241" t="s">
        <v>478</v>
      </c>
      <c r="C241">
        <v>9900000</v>
      </c>
      <c r="D241">
        <v>9938501.0999999996</v>
      </c>
      <c r="E241">
        <v>9900000</v>
      </c>
      <c r="F241" t="s">
        <v>476</v>
      </c>
      <c r="G241">
        <v>0</v>
      </c>
      <c r="H241" t="s">
        <v>477</v>
      </c>
      <c r="I241" s="26">
        <v>50610</v>
      </c>
      <c r="J241">
        <v>275</v>
      </c>
      <c r="L241">
        <v>0</v>
      </c>
      <c r="M241" t="s">
        <v>1489</v>
      </c>
      <c r="N241" t="s">
        <v>478</v>
      </c>
      <c r="O241" t="s">
        <v>101</v>
      </c>
      <c r="P241">
        <v>9.6223237469999994</v>
      </c>
      <c r="Q241">
        <v>268.43380288200001</v>
      </c>
      <c r="R241">
        <v>2025</v>
      </c>
      <c r="S241"/>
      <c r="T241" t="s">
        <v>27</v>
      </c>
      <c r="U241" t="s">
        <v>32</v>
      </c>
      <c r="V241" t="s">
        <v>17</v>
      </c>
    </row>
    <row r="242" spans="1:22" x14ac:dyDescent="0.25">
      <c r="A242" t="s">
        <v>1488</v>
      </c>
      <c r="B242" t="s">
        <v>482</v>
      </c>
      <c r="C242">
        <v>4464912</v>
      </c>
      <c r="D242">
        <v>4468845.59</v>
      </c>
      <c r="E242">
        <v>4464912</v>
      </c>
      <c r="F242" t="s">
        <v>660</v>
      </c>
      <c r="G242">
        <v>6.3254900000000003</v>
      </c>
      <c r="H242" t="s">
        <v>481</v>
      </c>
      <c r="I242" s="26">
        <v>50971</v>
      </c>
      <c r="J242">
        <v>200</v>
      </c>
      <c r="K242">
        <v>1</v>
      </c>
      <c r="L242">
        <v>6.3247600000000004</v>
      </c>
      <c r="M242" t="s">
        <v>1489</v>
      </c>
      <c r="N242" t="s">
        <v>482</v>
      </c>
      <c r="O242" t="s">
        <v>102</v>
      </c>
      <c r="P242">
        <v>9.1879788100000006</v>
      </c>
      <c r="Q242">
        <v>198.69777555900001</v>
      </c>
      <c r="R242">
        <v>2025</v>
      </c>
      <c r="S242"/>
      <c r="T242" t="s">
        <v>23</v>
      </c>
      <c r="U242" t="s">
        <v>32</v>
      </c>
      <c r="V242" t="s">
        <v>33</v>
      </c>
    </row>
    <row r="243" spans="1:22" x14ac:dyDescent="0.25">
      <c r="A243" t="s">
        <v>1488</v>
      </c>
      <c r="B243" t="s">
        <v>486</v>
      </c>
      <c r="C243">
        <v>6700000</v>
      </c>
      <c r="D243">
        <v>6707564.2999999998</v>
      </c>
      <c r="E243">
        <v>6700000</v>
      </c>
      <c r="F243" t="s">
        <v>660</v>
      </c>
      <c r="G243">
        <v>7.3754900000000001</v>
      </c>
      <c r="H243" t="s">
        <v>485</v>
      </c>
      <c r="I243" s="26">
        <v>50971</v>
      </c>
      <c r="J243">
        <v>305</v>
      </c>
      <c r="K243">
        <v>1</v>
      </c>
      <c r="L243">
        <v>7.374498</v>
      </c>
      <c r="M243" t="s">
        <v>1489</v>
      </c>
      <c r="N243" t="s">
        <v>486</v>
      </c>
      <c r="O243" t="s">
        <v>102</v>
      </c>
      <c r="P243">
        <v>9.7230353770000004</v>
      </c>
      <c r="Q243">
        <v>303.31823173599997</v>
      </c>
      <c r="R243">
        <v>2025</v>
      </c>
      <c r="S243"/>
      <c r="T243" t="s">
        <v>27</v>
      </c>
      <c r="U243" t="s">
        <v>32</v>
      </c>
      <c r="V243" t="s">
        <v>37</v>
      </c>
    </row>
    <row r="244" spans="1:22" x14ac:dyDescent="0.25">
      <c r="A244" t="s">
        <v>1488</v>
      </c>
      <c r="B244" t="s">
        <v>1051</v>
      </c>
      <c r="C244">
        <v>7000000</v>
      </c>
      <c r="D244">
        <v>7068488</v>
      </c>
      <c r="E244">
        <v>7000000</v>
      </c>
      <c r="F244" t="s">
        <v>660</v>
      </c>
      <c r="G244">
        <v>7.4175500000000003</v>
      </c>
      <c r="H244" t="s">
        <v>1052</v>
      </c>
      <c r="I244" s="26">
        <v>50328</v>
      </c>
      <c r="J244">
        <v>310</v>
      </c>
      <c r="K244">
        <v>1</v>
      </c>
      <c r="L244">
        <v>7.4165049999999999</v>
      </c>
      <c r="M244" t="s">
        <v>1489</v>
      </c>
      <c r="N244" t="s">
        <v>1051</v>
      </c>
      <c r="O244" t="s">
        <v>102</v>
      </c>
      <c r="P244">
        <v>9.0226220599999998</v>
      </c>
      <c r="Q244">
        <v>295.57575690099998</v>
      </c>
      <c r="R244">
        <v>2024</v>
      </c>
      <c r="S244"/>
      <c r="T244" t="s">
        <v>27</v>
      </c>
      <c r="U244" t="s">
        <v>32</v>
      </c>
      <c r="V244" t="s">
        <v>37</v>
      </c>
    </row>
    <row r="245" spans="1:22" x14ac:dyDescent="0.25">
      <c r="A245" t="s">
        <v>1488</v>
      </c>
      <c r="B245" t="s">
        <v>1049</v>
      </c>
      <c r="C245">
        <v>3500000</v>
      </c>
      <c r="D245">
        <v>3523124.5</v>
      </c>
      <c r="E245">
        <v>3500000</v>
      </c>
      <c r="F245" t="s">
        <v>660</v>
      </c>
      <c r="G245">
        <v>8.0675500000000007</v>
      </c>
      <c r="H245" t="s">
        <v>1050</v>
      </c>
      <c r="I245" s="26">
        <v>50145</v>
      </c>
      <c r="J245">
        <v>375</v>
      </c>
      <c r="K245">
        <v>1</v>
      </c>
      <c r="L245">
        <v>8.0663119999999999</v>
      </c>
      <c r="M245" t="s">
        <v>1489</v>
      </c>
      <c r="N245" t="s">
        <v>1049</v>
      </c>
      <c r="O245" t="s">
        <v>202</v>
      </c>
      <c r="P245">
        <v>8.5257213259999993</v>
      </c>
      <c r="Q245">
        <v>364.50396564499999</v>
      </c>
      <c r="R245">
        <v>2024</v>
      </c>
      <c r="S245"/>
      <c r="T245" t="s">
        <v>27</v>
      </c>
      <c r="U245" t="s">
        <v>32</v>
      </c>
      <c r="V245" t="s">
        <v>37</v>
      </c>
    </row>
    <row r="246" spans="1:22" x14ac:dyDescent="0.25">
      <c r="A246" t="s">
        <v>1488</v>
      </c>
      <c r="B246" t="s">
        <v>1063</v>
      </c>
      <c r="C246">
        <v>6800000</v>
      </c>
      <c r="D246">
        <v>6811641.5999999996</v>
      </c>
      <c r="E246">
        <v>6800000</v>
      </c>
      <c r="F246" t="s">
        <v>1057</v>
      </c>
      <c r="G246">
        <v>8.0870999999999995</v>
      </c>
      <c r="H246" t="s">
        <v>1064</v>
      </c>
      <c r="I246" s="26">
        <v>49237</v>
      </c>
      <c r="J246">
        <v>376.161</v>
      </c>
      <c r="K246">
        <v>1</v>
      </c>
      <c r="L246">
        <v>8.2137759999999993</v>
      </c>
      <c r="M246" t="s">
        <v>1489</v>
      </c>
      <c r="N246" t="s">
        <v>1063</v>
      </c>
      <c r="O246" t="s">
        <v>104</v>
      </c>
      <c r="P246">
        <v>6.1937311719999997</v>
      </c>
      <c r="Q246">
        <v>372.53497182500001</v>
      </c>
      <c r="R246">
        <v>2021</v>
      </c>
      <c r="S246"/>
      <c r="T246" t="s">
        <v>27</v>
      </c>
      <c r="U246" t="s">
        <v>28</v>
      </c>
      <c r="V246" t="s">
        <v>37</v>
      </c>
    </row>
    <row r="247" spans="1:22" x14ac:dyDescent="0.25">
      <c r="A247" t="s">
        <v>1488</v>
      </c>
      <c r="B247" t="s">
        <v>1063</v>
      </c>
      <c r="C247">
        <v>610000</v>
      </c>
      <c r="D247">
        <v>611044.31999999995</v>
      </c>
      <c r="E247">
        <v>610147.01</v>
      </c>
      <c r="F247" t="s">
        <v>1057</v>
      </c>
      <c r="G247">
        <v>8.0870999999999995</v>
      </c>
      <c r="H247" t="s">
        <v>1064</v>
      </c>
      <c r="I247" s="26">
        <v>49237</v>
      </c>
      <c r="J247">
        <v>376.161</v>
      </c>
      <c r="K247">
        <v>1</v>
      </c>
      <c r="L247">
        <v>8.2137759999999993</v>
      </c>
      <c r="M247" t="s">
        <v>1489</v>
      </c>
      <c r="N247" t="s">
        <v>1063</v>
      </c>
      <c r="O247" t="s">
        <v>104</v>
      </c>
      <c r="P247">
        <v>6.1937311719999997</v>
      </c>
      <c r="Q247">
        <v>372.53497182500001</v>
      </c>
      <c r="R247">
        <v>2021</v>
      </c>
      <c r="S247"/>
      <c r="T247" t="s">
        <v>27</v>
      </c>
      <c r="U247" t="s">
        <v>28</v>
      </c>
      <c r="V247" t="s">
        <v>37</v>
      </c>
    </row>
    <row r="248" spans="1:22" x14ac:dyDescent="0.25">
      <c r="A248" t="s">
        <v>1488</v>
      </c>
      <c r="B248" t="s">
        <v>1063</v>
      </c>
      <c r="C248">
        <v>1060000</v>
      </c>
      <c r="D248">
        <v>1061814.72</v>
      </c>
      <c r="E248">
        <v>1052959.82</v>
      </c>
      <c r="F248" t="s">
        <v>1057</v>
      </c>
      <c r="G248">
        <v>8.0870999999999995</v>
      </c>
      <c r="H248" t="s">
        <v>1064</v>
      </c>
      <c r="I248" s="26">
        <v>49237</v>
      </c>
      <c r="J248">
        <v>376.161</v>
      </c>
      <c r="K248">
        <v>1</v>
      </c>
      <c r="L248">
        <v>8.2137759999999993</v>
      </c>
      <c r="M248" t="s">
        <v>1489</v>
      </c>
      <c r="N248" t="s">
        <v>1063</v>
      </c>
      <c r="O248" t="s">
        <v>104</v>
      </c>
      <c r="P248">
        <v>6.1937311719999997</v>
      </c>
      <c r="Q248">
        <v>372.53497182500001</v>
      </c>
      <c r="R248">
        <v>2021</v>
      </c>
      <c r="S248"/>
      <c r="T248" t="s">
        <v>27</v>
      </c>
      <c r="U248" t="s">
        <v>28</v>
      </c>
      <c r="V248" t="s">
        <v>37</v>
      </c>
    </row>
    <row r="249" spans="1:22" x14ac:dyDescent="0.25">
      <c r="A249" t="s">
        <v>1488</v>
      </c>
      <c r="B249" t="s">
        <v>1063</v>
      </c>
      <c r="C249">
        <v>1680000</v>
      </c>
      <c r="D249">
        <v>1682876.16</v>
      </c>
      <c r="E249">
        <v>1677438.78</v>
      </c>
      <c r="F249" t="s">
        <v>1057</v>
      </c>
      <c r="G249">
        <v>8.0870999999999995</v>
      </c>
      <c r="H249" t="s">
        <v>1064</v>
      </c>
      <c r="I249" s="26">
        <v>49237</v>
      </c>
      <c r="J249">
        <v>376.161</v>
      </c>
      <c r="K249">
        <v>1</v>
      </c>
      <c r="L249">
        <v>8.2137759999999993</v>
      </c>
      <c r="M249" t="s">
        <v>1489</v>
      </c>
      <c r="N249" t="s">
        <v>1063</v>
      </c>
      <c r="O249" t="s">
        <v>104</v>
      </c>
      <c r="P249">
        <v>6.1937311719999997</v>
      </c>
      <c r="Q249">
        <v>372.53497182500001</v>
      </c>
      <c r="R249">
        <v>2021</v>
      </c>
      <c r="S249"/>
      <c r="T249" t="s">
        <v>27</v>
      </c>
      <c r="U249" t="s">
        <v>28</v>
      </c>
      <c r="V249" t="s">
        <v>37</v>
      </c>
    </row>
    <row r="250" spans="1:22" x14ac:dyDescent="0.25">
      <c r="A250" t="s">
        <v>1488</v>
      </c>
      <c r="B250" t="s">
        <v>1059</v>
      </c>
      <c r="C250">
        <v>3500000</v>
      </c>
      <c r="D250">
        <v>3401090</v>
      </c>
      <c r="E250">
        <v>3500000</v>
      </c>
      <c r="F250" t="s">
        <v>1057</v>
      </c>
      <c r="G250">
        <v>8.1870999999999992</v>
      </c>
      <c r="H250" t="s">
        <v>1060</v>
      </c>
      <c r="I250" s="26">
        <v>49329</v>
      </c>
      <c r="J250">
        <v>386.161</v>
      </c>
      <c r="K250">
        <v>1</v>
      </c>
      <c r="L250">
        <v>8.3059969999999996</v>
      </c>
      <c r="M250" t="s">
        <v>1489</v>
      </c>
      <c r="N250" t="s">
        <v>1059</v>
      </c>
      <c r="O250" t="s">
        <v>104</v>
      </c>
      <c r="P250">
        <v>6.4876421239999997</v>
      </c>
      <c r="Q250">
        <v>441.54429702499999</v>
      </c>
      <c r="R250">
        <v>2021</v>
      </c>
      <c r="S250"/>
      <c r="T250" t="s">
        <v>27</v>
      </c>
      <c r="U250" t="s">
        <v>28</v>
      </c>
      <c r="V250" t="s">
        <v>37</v>
      </c>
    </row>
    <row r="251" spans="1:22" x14ac:dyDescent="0.25">
      <c r="A251" t="s">
        <v>1497</v>
      </c>
      <c r="B251" t="s">
        <v>1061</v>
      </c>
      <c r="C251">
        <v>8178750</v>
      </c>
      <c r="D251">
        <v>8010603.0800000001</v>
      </c>
      <c r="E251">
        <v>8178750</v>
      </c>
      <c r="F251" t="s">
        <v>1057</v>
      </c>
      <c r="G251">
        <v>7.9840099999999996</v>
      </c>
      <c r="H251" t="s">
        <v>1062</v>
      </c>
      <c r="I251" s="26">
        <v>49051</v>
      </c>
      <c r="J251">
        <v>366.161</v>
      </c>
      <c r="K251">
        <v>1</v>
      </c>
      <c r="L251">
        <v>8.2436799999999995</v>
      </c>
      <c r="M251" t="s">
        <v>1489</v>
      </c>
      <c r="N251" t="s">
        <v>1061</v>
      </c>
      <c r="O251" t="s">
        <v>104</v>
      </c>
      <c r="P251">
        <v>6.0233941409999998</v>
      </c>
      <c r="Q251">
        <v>408.64932890400001</v>
      </c>
      <c r="R251">
        <v>2021</v>
      </c>
      <c r="S251"/>
      <c r="T251" t="s">
        <v>27</v>
      </c>
      <c r="U251" t="s">
        <v>28</v>
      </c>
      <c r="V251" t="s">
        <v>37</v>
      </c>
    </row>
    <row r="252" spans="1:22" x14ac:dyDescent="0.25">
      <c r="A252" t="s">
        <v>1488</v>
      </c>
      <c r="B252" t="s">
        <v>1061</v>
      </c>
      <c r="C252">
        <v>1670000</v>
      </c>
      <c r="D252">
        <v>1635666.47</v>
      </c>
      <c r="E252">
        <v>1583270.22</v>
      </c>
      <c r="F252" t="s">
        <v>1057</v>
      </c>
      <c r="G252">
        <v>7.9840099999999996</v>
      </c>
      <c r="H252" t="s">
        <v>1062</v>
      </c>
      <c r="I252" s="26">
        <v>49051</v>
      </c>
      <c r="J252">
        <v>366.161</v>
      </c>
      <c r="K252">
        <v>1</v>
      </c>
      <c r="L252">
        <v>8.2436799999999995</v>
      </c>
      <c r="M252" t="s">
        <v>1489</v>
      </c>
      <c r="N252" t="s">
        <v>1061</v>
      </c>
      <c r="O252" t="s">
        <v>104</v>
      </c>
      <c r="P252">
        <v>6.0233941409999998</v>
      </c>
      <c r="Q252">
        <v>408.64932890400001</v>
      </c>
      <c r="R252">
        <v>2021</v>
      </c>
      <c r="S252"/>
      <c r="T252" t="s">
        <v>27</v>
      </c>
      <c r="U252" t="s">
        <v>28</v>
      </c>
      <c r="V252" t="s">
        <v>37</v>
      </c>
    </row>
    <row r="253" spans="1:22" x14ac:dyDescent="0.25">
      <c r="A253" t="s">
        <v>1488</v>
      </c>
      <c r="B253" t="s">
        <v>1067</v>
      </c>
      <c r="C253">
        <v>2000000</v>
      </c>
      <c r="D253">
        <v>2015514</v>
      </c>
      <c r="E253">
        <v>2000000</v>
      </c>
      <c r="F253" t="s">
        <v>662</v>
      </c>
      <c r="G253">
        <v>8.1819900000000008</v>
      </c>
      <c r="H253" t="s">
        <v>1068</v>
      </c>
      <c r="I253" s="26">
        <v>50152</v>
      </c>
      <c r="J253">
        <v>385</v>
      </c>
      <c r="K253">
        <v>1</v>
      </c>
      <c r="L253">
        <v>8.1807269999999992</v>
      </c>
      <c r="M253" t="s">
        <v>1489</v>
      </c>
      <c r="N253" t="s">
        <v>1067</v>
      </c>
      <c r="O253" t="s">
        <v>108</v>
      </c>
      <c r="P253">
        <v>8.754830321</v>
      </c>
      <c r="Q253">
        <v>372.89223289300003</v>
      </c>
      <c r="R253">
        <v>2024</v>
      </c>
      <c r="S253"/>
      <c r="T253" t="s">
        <v>27</v>
      </c>
      <c r="U253" t="s">
        <v>32</v>
      </c>
      <c r="V253" t="s">
        <v>37</v>
      </c>
    </row>
    <row r="254" spans="1:22" x14ac:dyDescent="0.25">
      <c r="A254" t="s">
        <v>1488</v>
      </c>
      <c r="B254" t="s">
        <v>1065</v>
      </c>
      <c r="C254">
        <v>7500000</v>
      </c>
      <c r="D254">
        <v>7516785</v>
      </c>
      <c r="E254">
        <v>7500000</v>
      </c>
      <c r="F254" t="s">
        <v>662</v>
      </c>
      <c r="G254">
        <v>7.5319900000000004</v>
      </c>
      <c r="H254" t="s">
        <v>1066</v>
      </c>
      <c r="I254" s="26">
        <v>50335</v>
      </c>
      <c r="J254">
        <v>320</v>
      </c>
      <c r="K254">
        <v>1</v>
      </c>
      <c r="L254">
        <v>7.5309210000000002</v>
      </c>
      <c r="M254" t="s">
        <v>1489</v>
      </c>
      <c r="N254" t="s">
        <v>1065</v>
      </c>
      <c r="O254" t="s">
        <v>108</v>
      </c>
      <c r="P254">
        <v>9.1435837269999993</v>
      </c>
      <c r="Q254">
        <v>316.60413530699998</v>
      </c>
      <c r="R254">
        <v>2024</v>
      </c>
      <c r="S254"/>
      <c r="T254" t="s">
        <v>27</v>
      </c>
      <c r="U254" t="s">
        <v>32</v>
      </c>
      <c r="V254" t="s">
        <v>37</v>
      </c>
    </row>
    <row r="255" spans="1:22" x14ac:dyDescent="0.25">
      <c r="A255" t="s">
        <v>1488</v>
      </c>
      <c r="B255" t="s">
        <v>661</v>
      </c>
      <c r="C255">
        <v>10000000</v>
      </c>
      <c r="D255">
        <v>10083470</v>
      </c>
      <c r="E255">
        <v>10000000</v>
      </c>
      <c r="F255" t="s">
        <v>662</v>
      </c>
      <c r="G255">
        <v>6.7175500000000001</v>
      </c>
      <c r="H255" t="s">
        <v>663</v>
      </c>
      <c r="I255" s="26">
        <v>50236</v>
      </c>
      <c r="J255">
        <v>240</v>
      </c>
      <c r="K255">
        <v>1</v>
      </c>
      <c r="L255">
        <v>6.7166920000000001</v>
      </c>
      <c r="M255" t="s">
        <v>1489</v>
      </c>
      <c r="N255" t="s">
        <v>661</v>
      </c>
      <c r="O255" t="s">
        <v>108</v>
      </c>
      <c r="P255">
        <v>8.3316300539999997</v>
      </c>
      <c r="Q255">
        <v>227.29538943700001</v>
      </c>
      <c r="R255">
        <v>2024</v>
      </c>
      <c r="S255"/>
      <c r="T255" t="s">
        <v>23</v>
      </c>
      <c r="U255" t="s">
        <v>32</v>
      </c>
      <c r="V255" t="s">
        <v>33</v>
      </c>
    </row>
    <row r="256" spans="1:22" x14ac:dyDescent="0.25">
      <c r="A256" t="s">
        <v>1488</v>
      </c>
      <c r="B256" t="s">
        <v>1069</v>
      </c>
      <c r="C256">
        <v>10000000</v>
      </c>
      <c r="D256">
        <v>10090080</v>
      </c>
      <c r="E256">
        <v>10000000</v>
      </c>
      <c r="F256" t="s">
        <v>662</v>
      </c>
      <c r="G256">
        <v>7.9175500000000003</v>
      </c>
      <c r="H256" t="s">
        <v>1070</v>
      </c>
      <c r="I256" s="26">
        <v>50236</v>
      </c>
      <c r="J256">
        <v>360</v>
      </c>
      <c r="K256">
        <v>1</v>
      </c>
      <c r="L256">
        <v>7.9163589999999999</v>
      </c>
      <c r="M256" t="s">
        <v>1489</v>
      </c>
      <c r="N256" t="s">
        <v>1069</v>
      </c>
      <c r="O256" t="s">
        <v>108</v>
      </c>
      <c r="P256">
        <v>8.8945877759999998</v>
      </c>
      <c r="Q256">
        <v>346.283904667</v>
      </c>
      <c r="R256">
        <v>2024</v>
      </c>
      <c r="S256"/>
      <c r="T256" t="s">
        <v>27</v>
      </c>
      <c r="U256" t="s">
        <v>32</v>
      </c>
      <c r="V256" t="s">
        <v>37</v>
      </c>
    </row>
    <row r="257" spans="1:22" x14ac:dyDescent="0.25">
      <c r="A257" t="s">
        <v>1488</v>
      </c>
      <c r="B257" t="s">
        <v>1073</v>
      </c>
      <c r="C257">
        <v>5044896</v>
      </c>
      <c r="D257">
        <v>5045148.24</v>
      </c>
      <c r="E257">
        <v>5044896</v>
      </c>
      <c r="F257" t="s">
        <v>1074</v>
      </c>
      <c r="G257">
        <v>8.4800699999999996</v>
      </c>
      <c r="H257" t="s">
        <v>1075</v>
      </c>
      <c r="I257" s="26">
        <v>49150</v>
      </c>
      <c r="J257">
        <v>416.161</v>
      </c>
      <c r="K257">
        <v>1</v>
      </c>
      <c r="L257">
        <v>8.5894259999999996</v>
      </c>
      <c r="M257" t="s">
        <v>1489</v>
      </c>
      <c r="N257" t="s">
        <v>1073</v>
      </c>
      <c r="O257" t="s">
        <v>100</v>
      </c>
      <c r="P257">
        <v>5.5992404479999998</v>
      </c>
      <c r="Q257"/>
      <c r="R257">
        <v>2021</v>
      </c>
      <c r="S257"/>
      <c r="T257" t="s">
        <v>27</v>
      </c>
      <c r="U257" t="s">
        <v>24</v>
      </c>
      <c r="V257" t="s">
        <v>37</v>
      </c>
    </row>
    <row r="258" spans="1:22" x14ac:dyDescent="0.25">
      <c r="A258" t="s">
        <v>1488</v>
      </c>
      <c r="B258" t="s">
        <v>1073</v>
      </c>
      <c r="C258">
        <v>310000</v>
      </c>
      <c r="D258">
        <v>310015.5</v>
      </c>
      <c r="E258">
        <v>310679.83</v>
      </c>
      <c r="F258" t="s">
        <v>1074</v>
      </c>
      <c r="G258">
        <v>8.4800699999999996</v>
      </c>
      <c r="H258" t="s">
        <v>1075</v>
      </c>
      <c r="I258" s="26">
        <v>49150</v>
      </c>
      <c r="J258">
        <v>416.161</v>
      </c>
      <c r="K258">
        <v>1</v>
      </c>
      <c r="L258">
        <v>8.5894259999999996</v>
      </c>
      <c r="M258" t="s">
        <v>1489</v>
      </c>
      <c r="N258" t="s">
        <v>1073</v>
      </c>
      <c r="O258" t="s">
        <v>100</v>
      </c>
      <c r="P258">
        <v>5.5992404479999998</v>
      </c>
      <c r="Q258"/>
      <c r="R258">
        <v>2021</v>
      </c>
      <c r="S258"/>
      <c r="T258" t="s">
        <v>27</v>
      </c>
      <c r="U258" t="s">
        <v>24</v>
      </c>
      <c r="V258" t="s">
        <v>37</v>
      </c>
    </row>
    <row r="259" spans="1:22" x14ac:dyDescent="0.25">
      <c r="A259" t="s">
        <v>1488</v>
      </c>
      <c r="B259" t="s">
        <v>1073</v>
      </c>
      <c r="C259">
        <v>380000</v>
      </c>
      <c r="D259">
        <v>380019</v>
      </c>
      <c r="E259">
        <v>381581.94</v>
      </c>
      <c r="F259" t="s">
        <v>1074</v>
      </c>
      <c r="G259">
        <v>8.4800699999999996</v>
      </c>
      <c r="H259" t="s">
        <v>1075</v>
      </c>
      <c r="I259" s="26">
        <v>49150</v>
      </c>
      <c r="J259">
        <v>416.161</v>
      </c>
      <c r="K259">
        <v>1</v>
      </c>
      <c r="L259">
        <v>8.5894259999999996</v>
      </c>
      <c r="M259" t="s">
        <v>1489</v>
      </c>
      <c r="N259" t="s">
        <v>1073</v>
      </c>
      <c r="O259" t="s">
        <v>100</v>
      </c>
      <c r="P259">
        <v>5.5992404479999998</v>
      </c>
      <c r="Q259"/>
      <c r="R259">
        <v>2021</v>
      </c>
      <c r="S259"/>
      <c r="T259" t="s">
        <v>27</v>
      </c>
      <c r="U259" t="s">
        <v>24</v>
      </c>
      <c r="V259" t="s">
        <v>37</v>
      </c>
    </row>
    <row r="260" spans="1:22" x14ac:dyDescent="0.25">
      <c r="A260" t="s">
        <v>1488</v>
      </c>
      <c r="B260" t="s">
        <v>1073</v>
      </c>
      <c r="C260">
        <v>679999</v>
      </c>
      <c r="D260">
        <v>680033</v>
      </c>
      <c r="E260">
        <v>682769.58</v>
      </c>
      <c r="F260" t="s">
        <v>1074</v>
      </c>
      <c r="G260">
        <v>8.4800699999999996</v>
      </c>
      <c r="H260" t="s">
        <v>1075</v>
      </c>
      <c r="I260" s="26">
        <v>49150</v>
      </c>
      <c r="J260">
        <v>416.161</v>
      </c>
      <c r="K260">
        <v>1</v>
      </c>
      <c r="L260">
        <v>8.5894259999999996</v>
      </c>
      <c r="M260" t="s">
        <v>1489</v>
      </c>
      <c r="N260" t="s">
        <v>1073</v>
      </c>
      <c r="O260" t="s">
        <v>100</v>
      </c>
      <c r="P260">
        <v>5.5992404479999998</v>
      </c>
      <c r="Q260"/>
      <c r="R260">
        <v>2021</v>
      </c>
      <c r="S260"/>
      <c r="T260" t="s">
        <v>27</v>
      </c>
      <c r="U260" t="s">
        <v>24</v>
      </c>
      <c r="V260" t="s">
        <v>37</v>
      </c>
    </row>
    <row r="261" spans="1:22" x14ac:dyDescent="0.25">
      <c r="A261" t="s">
        <v>1488</v>
      </c>
      <c r="B261" t="s">
        <v>1073</v>
      </c>
      <c r="C261">
        <v>720000</v>
      </c>
      <c r="D261">
        <v>720036</v>
      </c>
      <c r="E261">
        <v>722328.36</v>
      </c>
      <c r="F261" t="s">
        <v>1074</v>
      </c>
      <c r="G261">
        <v>8.4800699999999996</v>
      </c>
      <c r="H261" t="s">
        <v>1075</v>
      </c>
      <c r="I261" s="26">
        <v>49150</v>
      </c>
      <c r="J261">
        <v>416.161</v>
      </c>
      <c r="K261">
        <v>1</v>
      </c>
      <c r="L261">
        <v>8.5894259999999996</v>
      </c>
      <c r="M261" t="s">
        <v>1489</v>
      </c>
      <c r="N261" t="s">
        <v>1073</v>
      </c>
      <c r="O261" t="s">
        <v>100</v>
      </c>
      <c r="P261">
        <v>5.5992404479999998</v>
      </c>
      <c r="Q261"/>
      <c r="R261">
        <v>2021</v>
      </c>
      <c r="S261"/>
      <c r="T261" t="s">
        <v>27</v>
      </c>
      <c r="U261" t="s">
        <v>24</v>
      </c>
      <c r="V261" t="s">
        <v>37</v>
      </c>
    </row>
    <row r="262" spans="1:22" x14ac:dyDescent="0.25">
      <c r="A262" t="s">
        <v>1497</v>
      </c>
      <c r="B262" t="s">
        <v>1076</v>
      </c>
      <c r="C262">
        <v>8750000</v>
      </c>
      <c r="D262">
        <v>8766213.75</v>
      </c>
      <c r="E262">
        <v>8750000</v>
      </c>
      <c r="F262" t="s">
        <v>1074</v>
      </c>
      <c r="G262">
        <v>7.83188</v>
      </c>
      <c r="H262" t="s">
        <v>1077</v>
      </c>
      <c r="I262" s="26">
        <v>48043</v>
      </c>
      <c r="J262">
        <v>351.161</v>
      </c>
      <c r="K262">
        <v>1</v>
      </c>
      <c r="L262">
        <v>7.9460870000000003</v>
      </c>
      <c r="M262" t="s">
        <v>1489</v>
      </c>
      <c r="N262" t="s">
        <v>1076</v>
      </c>
      <c r="O262" t="s">
        <v>203</v>
      </c>
      <c r="P262">
        <v>3.2610679070000002</v>
      </c>
      <c r="Q262">
        <v>344.23862059700002</v>
      </c>
      <c r="R262">
        <v>2018</v>
      </c>
      <c r="S262"/>
      <c r="T262" t="s">
        <v>27</v>
      </c>
      <c r="U262" t="s">
        <v>20</v>
      </c>
      <c r="V262" t="s">
        <v>37</v>
      </c>
    </row>
    <row r="263" spans="1:22" x14ac:dyDescent="0.25">
      <c r="A263" t="s">
        <v>1488</v>
      </c>
      <c r="B263" t="s">
        <v>1104</v>
      </c>
      <c r="C263">
        <v>2000000</v>
      </c>
      <c r="D263">
        <v>2026736</v>
      </c>
      <c r="E263">
        <v>2000000</v>
      </c>
      <c r="F263" t="s">
        <v>554</v>
      </c>
      <c r="G263">
        <v>9.3254900000000003</v>
      </c>
      <c r="H263" t="s">
        <v>1105</v>
      </c>
      <c r="I263" s="26">
        <v>49694</v>
      </c>
      <c r="J263">
        <v>500</v>
      </c>
      <c r="K263">
        <v>1</v>
      </c>
      <c r="L263">
        <v>9.3239070000000002</v>
      </c>
      <c r="M263" t="s">
        <v>1489</v>
      </c>
      <c r="N263" t="s">
        <v>1104</v>
      </c>
      <c r="O263" t="s">
        <v>109</v>
      </c>
      <c r="P263">
        <v>6.781422032</v>
      </c>
      <c r="Q263">
        <v>474.000047392</v>
      </c>
      <c r="R263">
        <v>2023</v>
      </c>
      <c r="S263"/>
      <c r="T263" t="s">
        <v>27</v>
      </c>
      <c r="U263" t="s">
        <v>28</v>
      </c>
      <c r="V263" t="s">
        <v>37</v>
      </c>
    </row>
    <row r="264" spans="1:22" x14ac:dyDescent="0.25">
      <c r="A264" t="s">
        <v>1488</v>
      </c>
      <c r="B264" t="s">
        <v>491</v>
      </c>
      <c r="C264">
        <v>10500000</v>
      </c>
      <c r="D264">
        <v>10525126.5</v>
      </c>
      <c r="E264">
        <v>10500000</v>
      </c>
      <c r="F264" t="s">
        <v>554</v>
      </c>
      <c r="G264">
        <v>7.7284499999999996</v>
      </c>
      <c r="H264" t="s">
        <v>490</v>
      </c>
      <c r="I264" s="26">
        <v>50601</v>
      </c>
      <c r="J264">
        <v>345</v>
      </c>
      <c r="K264">
        <v>1</v>
      </c>
      <c r="L264">
        <v>7.7193649999999998</v>
      </c>
      <c r="M264" t="s">
        <v>1489</v>
      </c>
      <c r="N264" t="s">
        <v>491</v>
      </c>
      <c r="O264" t="s">
        <v>109</v>
      </c>
      <c r="P264">
        <v>9.7071232500000004</v>
      </c>
      <c r="Q264">
        <v>339.92338966400001</v>
      </c>
      <c r="R264">
        <v>2025</v>
      </c>
      <c r="S264"/>
      <c r="T264" t="s">
        <v>27</v>
      </c>
      <c r="U264" t="s">
        <v>32</v>
      </c>
      <c r="V264" t="s">
        <v>37</v>
      </c>
    </row>
    <row r="265" spans="1:22" x14ac:dyDescent="0.25">
      <c r="A265" t="s">
        <v>1488</v>
      </c>
      <c r="B265" t="s">
        <v>664</v>
      </c>
      <c r="C265">
        <v>3298772</v>
      </c>
      <c r="D265">
        <v>3315658.41</v>
      </c>
      <c r="E265">
        <v>3298772</v>
      </c>
      <c r="F265" t="s">
        <v>665</v>
      </c>
      <c r="G265">
        <v>6.1754899999999999</v>
      </c>
      <c r="H265" t="s">
        <v>666</v>
      </c>
      <c r="I265" s="26">
        <v>49876</v>
      </c>
      <c r="J265">
        <v>185</v>
      </c>
      <c r="K265">
        <v>1</v>
      </c>
      <c r="L265">
        <v>6.1747930000000002</v>
      </c>
      <c r="M265" t="s">
        <v>1489</v>
      </c>
      <c r="N265" t="s">
        <v>664</v>
      </c>
      <c r="O265" t="s">
        <v>101</v>
      </c>
      <c r="P265">
        <v>6.2482040679999997</v>
      </c>
      <c r="Q265">
        <v>175.33832056599999</v>
      </c>
      <c r="R265">
        <v>2024</v>
      </c>
      <c r="S265"/>
      <c r="T265" t="s">
        <v>23</v>
      </c>
      <c r="U265" t="s">
        <v>28</v>
      </c>
      <c r="V265" t="s">
        <v>33</v>
      </c>
    </row>
    <row r="266" spans="1:22" x14ac:dyDescent="0.25">
      <c r="A266" t="s">
        <v>1488</v>
      </c>
      <c r="B266" t="s">
        <v>1071</v>
      </c>
      <c r="C266">
        <v>4097853</v>
      </c>
      <c r="D266">
        <v>4102397.52</v>
      </c>
      <c r="E266">
        <v>4097853</v>
      </c>
      <c r="F266" t="s">
        <v>665</v>
      </c>
      <c r="G266">
        <v>7.1754899999999999</v>
      </c>
      <c r="H266" t="s">
        <v>1072</v>
      </c>
      <c r="I266" s="26">
        <v>49876</v>
      </c>
      <c r="J266">
        <v>285</v>
      </c>
      <c r="K266">
        <v>1</v>
      </c>
      <c r="L266">
        <v>7.17455</v>
      </c>
      <c r="M266" t="s">
        <v>1489</v>
      </c>
      <c r="N266" t="s">
        <v>1071</v>
      </c>
      <c r="O266" t="s">
        <v>101</v>
      </c>
      <c r="P266">
        <v>6.6129483889999996</v>
      </c>
      <c r="Q266">
        <v>282.81335321500001</v>
      </c>
      <c r="R266">
        <v>2024</v>
      </c>
      <c r="S266"/>
      <c r="T266" t="s">
        <v>27</v>
      </c>
      <c r="U266" t="s">
        <v>28</v>
      </c>
      <c r="V266" t="s">
        <v>37</v>
      </c>
    </row>
    <row r="267" spans="1:22" x14ac:dyDescent="0.25">
      <c r="A267" t="s">
        <v>1488</v>
      </c>
      <c r="B267" t="s">
        <v>553</v>
      </c>
      <c r="C267">
        <v>7462963</v>
      </c>
      <c r="D267">
        <v>7485016.0599999996</v>
      </c>
      <c r="E267">
        <v>7462963</v>
      </c>
      <c r="F267" t="s">
        <v>554</v>
      </c>
      <c r="G267">
        <v>6.8291599999999999</v>
      </c>
      <c r="H267" t="s">
        <v>133</v>
      </c>
      <c r="I267" s="26">
        <v>47771</v>
      </c>
      <c r="J267">
        <v>251.161</v>
      </c>
      <c r="K267">
        <v>1</v>
      </c>
      <c r="L267">
        <v>6.9274589999999998</v>
      </c>
      <c r="M267" t="s">
        <v>1489</v>
      </c>
      <c r="N267" t="s">
        <v>553</v>
      </c>
      <c r="O267" t="s">
        <v>109</v>
      </c>
      <c r="P267">
        <v>2.6001600630000001</v>
      </c>
      <c r="Q267">
        <v>238.32200597299999</v>
      </c>
      <c r="R267">
        <v>2018</v>
      </c>
      <c r="S267"/>
      <c r="T267" t="s">
        <v>19</v>
      </c>
      <c r="U267" t="s">
        <v>20</v>
      </c>
      <c r="V267" t="s">
        <v>33</v>
      </c>
    </row>
    <row r="268" spans="1:22" x14ac:dyDescent="0.25">
      <c r="A268" t="s">
        <v>1488</v>
      </c>
      <c r="B268" t="s">
        <v>553</v>
      </c>
      <c r="C268">
        <v>790000</v>
      </c>
      <c r="D268">
        <v>792334.45</v>
      </c>
      <c r="E268">
        <v>791252.15</v>
      </c>
      <c r="F268" t="s">
        <v>554</v>
      </c>
      <c r="G268">
        <v>6.8291599999999999</v>
      </c>
      <c r="H268" t="s">
        <v>133</v>
      </c>
      <c r="I268" s="26">
        <v>47771</v>
      </c>
      <c r="J268">
        <v>251.161</v>
      </c>
      <c r="K268">
        <v>1</v>
      </c>
      <c r="L268">
        <v>6.9274589999999998</v>
      </c>
      <c r="M268" t="s">
        <v>1489</v>
      </c>
      <c r="N268" t="s">
        <v>553</v>
      </c>
      <c r="O268" t="s">
        <v>109</v>
      </c>
      <c r="P268">
        <v>2.6001600630000001</v>
      </c>
      <c r="Q268">
        <v>238.32200597299999</v>
      </c>
      <c r="R268">
        <v>2018</v>
      </c>
      <c r="S268"/>
      <c r="T268" t="s">
        <v>19</v>
      </c>
      <c r="U268" t="s">
        <v>20</v>
      </c>
      <c r="V268" t="s">
        <v>33</v>
      </c>
    </row>
    <row r="269" spans="1:22" x14ac:dyDescent="0.25">
      <c r="A269" t="s">
        <v>1488</v>
      </c>
      <c r="B269" t="s">
        <v>1078</v>
      </c>
      <c r="C269">
        <v>1750000</v>
      </c>
      <c r="D269">
        <v>1751846.25</v>
      </c>
      <c r="E269">
        <v>1750000</v>
      </c>
      <c r="F269" t="s">
        <v>554</v>
      </c>
      <c r="G269">
        <v>7.7291600000000003</v>
      </c>
      <c r="H269" t="s">
        <v>1079</v>
      </c>
      <c r="I269" s="26">
        <v>48044</v>
      </c>
      <c r="J269">
        <v>341.161</v>
      </c>
      <c r="K269">
        <v>1</v>
      </c>
      <c r="L269">
        <v>7.8418239999999999</v>
      </c>
      <c r="M269" t="s">
        <v>1489</v>
      </c>
      <c r="N269" t="s">
        <v>1078</v>
      </c>
      <c r="O269" t="s">
        <v>109</v>
      </c>
      <c r="P269">
        <v>3.382467895</v>
      </c>
      <c r="Q269">
        <v>337.29443293399999</v>
      </c>
      <c r="R269">
        <v>2018</v>
      </c>
      <c r="S269"/>
      <c r="T269" t="s">
        <v>27</v>
      </c>
      <c r="U269" t="s">
        <v>20</v>
      </c>
      <c r="V269" t="s">
        <v>37</v>
      </c>
    </row>
    <row r="270" spans="1:22" x14ac:dyDescent="0.25">
      <c r="A270" t="s">
        <v>1488</v>
      </c>
      <c r="B270" t="s">
        <v>1080</v>
      </c>
      <c r="C270">
        <v>15600000</v>
      </c>
      <c r="D270">
        <v>15338341.199999999</v>
      </c>
      <c r="E270">
        <v>15600000</v>
      </c>
      <c r="F270" t="s">
        <v>554</v>
      </c>
      <c r="G270">
        <v>7.8871000000000002</v>
      </c>
      <c r="H270" t="s">
        <v>1081</v>
      </c>
      <c r="I270" s="26">
        <v>49237</v>
      </c>
      <c r="J270">
        <v>356.161</v>
      </c>
      <c r="K270">
        <v>1</v>
      </c>
      <c r="L270">
        <v>7.997471</v>
      </c>
      <c r="M270" t="s">
        <v>1489</v>
      </c>
      <c r="N270" t="s">
        <v>1080</v>
      </c>
      <c r="O270" t="s">
        <v>109</v>
      </c>
      <c r="P270">
        <v>6.2040991590000001</v>
      </c>
      <c r="Q270">
        <v>389.71755554800001</v>
      </c>
      <c r="R270">
        <v>2021</v>
      </c>
      <c r="S270"/>
      <c r="T270" t="s">
        <v>27</v>
      </c>
      <c r="U270" t="s">
        <v>28</v>
      </c>
      <c r="V270" t="s">
        <v>37</v>
      </c>
    </row>
    <row r="271" spans="1:22" x14ac:dyDescent="0.25">
      <c r="A271" t="s">
        <v>1488</v>
      </c>
      <c r="B271" t="s">
        <v>1082</v>
      </c>
      <c r="C271">
        <v>14400000</v>
      </c>
      <c r="D271">
        <v>14451696</v>
      </c>
      <c r="E271">
        <v>14328000</v>
      </c>
      <c r="F271" t="s">
        <v>554</v>
      </c>
      <c r="G271">
        <v>8.0191599999999994</v>
      </c>
      <c r="H271" t="s">
        <v>1083</v>
      </c>
      <c r="I271" s="26">
        <v>49049</v>
      </c>
      <c r="J271">
        <v>370.161</v>
      </c>
      <c r="K271">
        <v>1</v>
      </c>
      <c r="L271">
        <v>8.1352469999999997</v>
      </c>
      <c r="M271" t="s">
        <v>1489</v>
      </c>
      <c r="N271" t="s">
        <v>1082</v>
      </c>
      <c r="O271" t="s">
        <v>109</v>
      </c>
      <c r="P271">
        <v>5.521120314</v>
      </c>
      <c r="Q271">
        <v>362.05156883400002</v>
      </c>
      <c r="R271">
        <v>2021</v>
      </c>
      <c r="S271"/>
      <c r="T271" t="s">
        <v>27</v>
      </c>
      <c r="U271" t="s">
        <v>24</v>
      </c>
      <c r="V271" t="s">
        <v>37</v>
      </c>
    </row>
    <row r="272" spans="1:22" x14ac:dyDescent="0.25">
      <c r="A272" t="s">
        <v>1488</v>
      </c>
      <c r="B272" t="s">
        <v>1082</v>
      </c>
      <c r="C272">
        <v>3050000</v>
      </c>
      <c r="D272">
        <v>3060949.5</v>
      </c>
      <c r="E272">
        <v>3057255.95</v>
      </c>
      <c r="F272" t="s">
        <v>554</v>
      </c>
      <c r="G272">
        <v>8.0191599999999994</v>
      </c>
      <c r="H272" t="s">
        <v>1083</v>
      </c>
      <c r="I272" s="26">
        <v>49049</v>
      </c>
      <c r="J272">
        <v>370.161</v>
      </c>
      <c r="K272">
        <v>1</v>
      </c>
      <c r="L272">
        <v>8.1352469999999997</v>
      </c>
      <c r="M272" t="s">
        <v>1489</v>
      </c>
      <c r="N272" t="s">
        <v>1082</v>
      </c>
      <c r="O272" t="s">
        <v>109</v>
      </c>
      <c r="P272">
        <v>5.521120314</v>
      </c>
      <c r="Q272">
        <v>362.05156883400002</v>
      </c>
      <c r="R272">
        <v>2021</v>
      </c>
      <c r="S272"/>
      <c r="T272" t="s">
        <v>27</v>
      </c>
      <c r="U272" t="s">
        <v>24</v>
      </c>
      <c r="V272" t="s">
        <v>37</v>
      </c>
    </row>
    <row r="273" spans="1:22" x14ac:dyDescent="0.25">
      <c r="A273" t="s">
        <v>1488</v>
      </c>
      <c r="B273" t="s">
        <v>1090</v>
      </c>
      <c r="C273">
        <v>1500000</v>
      </c>
      <c r="D273">
        <v>1503703.5</v>
      </c>
      <c r="E273">
        <v>1500000</v>
      </c>
      <c r="F273" t="s">
        <v>554</v>
      </c>
      <c r="G273">
        <v>7.8371000000000004</v>
      </c>
      <c r="H273" t="s">
        <v>1091</v>
      </c>
      <c r="I273" s="26">
        <v>48324</v>
      </c>
      <c r="J273">
        <v>351.161</v>
      </c>
      <c r="K273">
        <v>1</v>
      </c>
      <c r="L273">
        <v>7.9458549999999999</v>
      </c>
      <c r="M273" t="s">
        <v>1489</v>
      </c>
      <c r="N273" t="s">
        <v>1090</v>
      </c>
      <c r="O273" t="s">
        <v>109</v>
      </c>
      <c r="P273">
        <v>3.863254907</v>
      </c>
      <c r="Q273">
        <v>343.514945834</v>
      </c>
      <c r="R273">
        <v>2021</v>
      </c>
      <c r="S273"/>
      <c r="T273" t="s">
        <v>27</v>
      </c>
      <c r="U273" t="s">
        <v>20</v>
      </c>
      <c r="V273" t="s">
        <v>37</v>
      </c>
    </row>
    <row r="274" spans="1:22" x14ac:dyDescent="0.25">
      <c r="A274" t="s">
        <v>1488</v>
      </c>
      <c r="B274" t="s">
        <v>1100</v>
      </c>
      <c r="C274">
        <v>5000000</v>
      </c>
      <c r="D274">
        <v>5017740</v>
      </c>
      <c r="E274">
        <v>5000000</v>
      </c>
      <c r="F274" t="s">
        <v>554</v>
      </c>
      <c r="G274">
        <v>7.8791599999999997</v>
      </c>
      <c r="H274" t="s">
        <v>1101</v>
      </c>
      <c r="I274" s="26">
        <v>49140</v>
      </c>
      <c r="J274">
        <v>356.161</v>
      </c>
      <c r="K274">
        <v>1</v>
      </c>
      <c r="L274">
        <v>7.998545</v>
      </c>
      <c r="M274" t="s">
        <v>1489</v>
      </c>
      <c r="N274" t="s">
        <v>1100</v>
      </c>
      <c r="O274" t="s">
        <v>109</v>
      </c>
      <c r="P274">
        <v>5.8499582019999998</v>
      </c>
      <c r="Q274">
        <v>348.55208981800001</v>
      </c>
      <c r="R274">
        <v>2021</v>
      </c>
      <c r="S274"/>
      <c r="T274" t="s">
        <v>27</v>
      </c>
      <c r="U274" t="s">
        <v>24</v>
      </c>
      <c r="V274" t="s">
        <v>37</v>
      </c>
    </row>
    <row r="275" spans="1:22" x14ac:dyDescent="0.25">
      <c r="A275" t="s">
        <v>1506</v>
      </c>
      <c r="B275" t="s">
        <v>711</v>
      </c>
      <c r="C275">
        <v>2248630.00575</v>
      </c>
      <c r="D275">
        <v>1734838.17</v>
      </c>
      <c r="E275">
        <v>2248239.42</v>
      </c>
      <c r="F275" t="s">
        <v>204</v>
      </c>
      <c r="G275">
        <v>2.6</v>
      </c>
      <c r="H275" t="s">
        <v>712</v>
      </c>
      <c r="I275" s="26">
        <v>58637</v>
      </c>
      <c r="J275"/>
      <c r="K275">
        <v>0.89945200000000003</v>
      </c>
      <c r="L275">
        <v>2.607596</v>
      </c>
      <c r="M275" t="s">
        <v>1504</v>
      </c>
      <c r="N275" t="s">
        <v>711</v>
      </c>
      <c r="O275" t="s">
        <v>204</v>
      </c>
      <c r="P275">
        <v>4.5365796319999996</v>
      </c>
      <c r="Q275">
        <v>935.61967753199997</v>
      </c>
      <c r="R275"/>
      <c r="S275" t="s">
        <v>1522</v>
      </c>
      <c r="T275" t="s">
        <v>23</v>
      </c>
      <c r="U275" t="s">
        <v>24</v>
      </c>
      <c r="V275" t="s">
        <v>17</v>
      </c>
    </row>
    <row r="276" spans="1:22" x14ac:dyDescent="0.25">
      <c r="A276" t="s">
        <v>1506</v>
      </c>
      <c r="B276" t="s">
        <v>619</v>
      </c>
      <c r="C276">
        <v>4100000</v>
      </c>
      <c r="D276">
        <v>4019776.53</v>
      </c>
      <c r="E276">
        <v>4099180</v>
      </c>
      <c r="F276" t="s">
        <v>620</v>
      </c>
      <c r="G276">
        <v>2.06</v>
      </c>
      <c r="H276" t="s">
        <v>621</v>
      </c>
      <c r="I276" s="26">
        <v>55211</v>
      </c>
      <c r="J276"/>
      <c r="K276">
        <v>1</v>
      </c>
      <c r="L276">
        <v>2.069734</v>
      </c>
      <c r="M276" t="s">
        <v>1504</v>
      </c>
      <c r="N276" t="s">
        <v>619</v>
      </c>
      <c r="O276" t="s">
        <v>205</v>
      </c>
      <c r="P276">
        <v>0.52216474099999999</v>
      </c>
      <c r="Q276">
        <v>252.86766321900001</v>
      </c>
      <c r="R276"/>
      <c r="S276" t="s">
        <v>1523</v>
      </c>
      <c r="T276" t="s">
        <v>23</v>
      </c>
      <c r="U276" t="s">
        <v>16</v>
      </c>
      <c r="V276" t="s">
        <v>17</v>
      </c>
    </row>
    <row r="277" spans="1:22" x14ac:dyDescent="0.25">
      <c r="A277" t="s">
        <v>1506</v>
      </c>
      <c r="B277" t="s">
        <v>976</v>
      </c>
      <c r="C277">
        <v>1550000</v>
      </c>
      <c r="D277">
        <v>1516945.94</v>
      </c>
      <c r="E277">
        <v>1549380</v>
      </c>
      <c r="F277" t="s">
        <v>620</v>
      </c>
      <c r="G277">
        <v>2.65</v>
      </c>
      <c r="H277" t="s">
        <v>977</v>
      </c>
      <c r="I277" s="26">
        <v>55211</v>
      </c>
      <c r="J277"/>
      <c r="K277">
        <v>1</v>
      </c>
      <c r="L277">
        <v>2.6697329999999999</v>
      </c>
      <c r="M277" t="s">
        <v>1504</v>
      </c>
      <c r="N277" t="s">
        <v>976</v>
      </c>
      <c r="O277" t="s">
        <v>205</v>
      </c>
      <c r="P277">
        <v>0.56944444400000005</v>
      </c>
      <c r="Q277">
        <v>321.39877873199998</v>
      </c>
      <c r="R277"/>
      <c r="S277" t="s">
        <v>1523</v>
      </c>
      <c r="T277" t="s">
        <v>27</v>
      </c>
      <c r="U277" t="s">
        <v>16</v>
      </c>
      <c r="V277" t="s">
        <v>17</v>
      </c>
    </row>
    <row r="278" spans="1:22" x14ac:dyDescent="0.25">
      <c r="A278" t="s">
        <v>1506</v>
      </c>
      <c r="B278" t="s">
        <v>1412</v>
      </c>
      <c r="C278">
        <v>1950000</v>
      </c>
      <c r="D278">
        <v>1897826.87</v>
      </c>
      <c r="E278">
        <v>1949805</v>
      </c>
      <c r="F278" t="s">
        <v>620</v>
      </c>
      <c r="G278">
        <v>4.43</v>
      </c>
      <c r="H278" t="s">
        <v>1413</v>
      </c>
      <c r="I278" s="26">
        <v>55211</v>
      </c>
      <c r="J278"/>
      <c r="K278">
        <v>1</v>
      </c>
      <c r="L278">
        <v>4.4312670000000001</v>
      </c>
      <c r="M278" t="s">
        <v>1504</v>
      </c>
      <c r="N278" t="s">
        <v>1412</v>
      </c>
      <c r="O278" t="s">
        <v>205</v>
      </c>
      <c r="P278">
        <v>0.56944444400000005</v>
      </c>
      <c r="Q278">
        <v>617.31796164699995</v>
      </c>
      <c r="R278"/>
      <c r="S278" t="s">
        <v>1523</v>
      </c>
      <c r="T278" t="s">
        <v>31</v>
      </c>
      <c r="U278" t="s">
        <v>16</v>
      </c>
      <c r="V278" t="s">
        <v>25</v>
      </c>
    </row>
    <row r="279" spans="1:22" x14ac:dyDescent="0.25">
      <c r="A279" t="s">
        <v>1506</v>
      </c>
      <c r="B279" t="s">
        <v>1412</v>
      </c>
      <c r="C279">
        <v>1950000</v>
      </c>
      <c r="D279">
        <v>1897826.87</v>
      </c>
      <c r="E279">
        <v>1950000</v>
      </c>
      <c r="F279" t="s">
        <v>620</v>
      </c>
      <c r="G279">
        <v>4.43</v>
      </c>
      <c r="H279" t="s">
        <v>1413</v>
      </c>
      <c r="I279" s="26">
        <v>55211</v>
      </c>
      <c r="J279"/>
      <c r="K279">
        <v>1</v>
      </c>
      <c r="L279">
        <v>4.4312670000000001</v>
      </c>
      <c r="M279" t="s">
        <v>1504</v>
      </c>
      <c r="N279" t="s">
        <v>1412</v>
      </c>
      <c r="O279" t="s">
        <v>205</v>
      </c>
      <c r="P279">
        <v>0.56944444400000005</v>
      </c>
      <c r="Q279">
        <v>617.31796164699995</v>
      </c>
      <c r="R279"/>
      <c r="S279" t="s">
        <v>1523</v>
      </c>
      <c r="T279" t="s">
        <v>31</v>
      </c>
      <c r="U279" t="s">
        <v>16</v>
      </c>
      <c r="V279" t="s">
        <v>25</v>
      </c>
    </row>
    <row r="280" spans="1:22" x14ac:dyDescent="0.25">
      <c r="A280" t="s">
        <v>1503</v>
      </c>
      <c r="B280" t="s">
        <v>303</v>
      </c>
      <c r="C280">
        <v>48109.239958999999</v>
      </c>
      <c r="D280">
        <v>47836.7</v>
      </c>
      <c r="E280">
        <v>48215.08</v>
      </c>
      <c r="F280" t="s">
        <v>88</v>
      </c>
      <c r="G280">
        <v>4.5810000000000004</v>
      </c>
      <c r="H280" t="s">
        <v>302</v>
      </c>
      <c r="I280" s="26">
        <v>51912</v>
      </c>
      <c r="J280"/>
      <c r="K280">
        <v>3.2080999999999998E-2</v>
      </c>
      <c r="L280">
        <v>4.2681560000000003</v>
      </c>
      <c r="M280" t="s">
        <v>1504</v>
      </c>
      <c r="N280" t="s">
        <v>303</v>
      </c>
      <c r="O280" t="s">
        <v>88</v>
      </c>
      <c r="P280">
        <v>4.1666666999999998E-2</v>
      </c>
      <c r="Q280">
        <v>-12848.935524024</v>
      </c>
      <c r="R280"/>
      <c r="S280" t="s">
        <v>1524</v>
      </c>
      <c r="T280" t="s">
        <v>23</v>
      </c>
      <c r="U280" t="s">
        <v>16</v>
      </c>
      <c r="V280" t="s">
        <v>25</v>
      </c>
    </row>
    <row r="281" spans="1:22" x14ac:dyDescent="0.25">
      <c r="A281" t="s">
        <v>1503</v>
      </c>
      <c r="B281" t="s">
        <v>651</v>
      </c>
      <c r="C281">
        <v>1000000</v>
      </c>
      <c r="D281">
        <v>905200</v>
      </c>
      <c r="E281">
        <v>1000000</v>
      </c>
      <c r="F281" t="s">
        <v>652</v>
      </c>
      <c r="G281">
        <v>4.25</v>
      </c>
      <c r="H281" t="s">
        <v>653</v>
      </c>
      <c r="I281" s="26">
        <v>51820</v>
      </c>
      <c r="J281"/>
      <c r="K281">
        <v>1</v>
      </c>
      <c r="L281">
        <v>4.248983</v>
      </c>
      <c r="M281" t="s">
        <v>1504</v>
      </c>
      <c r="N281" t="s">
        <v>651</v>
      </c>
      <c r="O281" t="s">
        <v>206</v>
      </c>
      <c r="P281">
        <v>3.5416666669999999</v>
      </c>
      <c r="Q281">
        <v>413.92096168400002</v>
      </c>
      <c r="R281"/>
      <c r="S281" t="s">
        <v>1525</v>
      </c>
      <c r="T281" t="s">
        <v>23</v>
      </c>
      <c r="U281" t="s">
        <v>20</v>
      </c>
      <c r="V281" t="s">
        <v>25</v>
      </c>
    </row>
    <row r="282" spans="1:22" x14ac:dyDescent="0.25">
      <c r="A282" t="s">
        <v>1506</v>
      </c>
      <c r="B282" t="s">
        <v>359</v>
      </c>
      <c r="C282">
        <v>7437500.0002499996</v>
      </c>
      <c r="D282">
        <v>7227661.3499999996</v>
      </c>
      <c r="E282">
        <v>7434525</v>
      </c>
      <c r="F282" t="s">
        <v>1195</v>
      </c>
      <c r="G282">
        <v>3.39</v>
      </c>
      <c r="H282" t="s">
        <v>358</v>
      </c>
      <c r="I282" s="26">
        <v>55112</v>
      </c>
      <c r="J282"/>
      <c r="K282">
        <v>0.99166699999999997</v>
      </c>
      <c r="L282">
        <v>3.4122710000000001</v>
      </c>
      <c r="M282" t="s">
        <v>1504</v>
      </c>
      <c r="N282" t="s">
        <v>359</v>
      </c>
      <c r="O282" t="s">
        <v>128</v>
      </c>
      <c r="P282">
        <v>0.305347806</v>
      </c>
      <c r="Q282">
        <v>1220.0108490580001</v>
      </c>
      <c r="R282"/>
      <c r="S282" t="s">
        <v>1522</v>
      </c>
      <c r="T282" t="s">
        <v>27</v>
      </c>
      <c r="U282" t="s">
        <v>16</v>
      </c>
      <c r="V282" t="s">
        <v>21</v>
      </c>
    </row>
    <row r="283" spans="1:22" x14ac:dyDescent="0.25">
      <c r="A283" t="s">
        <v>1506</v>
      </c>
      <c r="B283" t="s">
        <v>1197</v>
      </c>
      <c r="C283">
        <v>12500000</v>
      </c>
      <c r="D283">
        <v>12149250.630000001</v>
      </c>
      <c r="E283">
        <v>12413750</v>
      </c>
      <c r="F283" t="s">
        <v>1195</v>
      </c>
      <c r="G283">
        <v>5.1100000000000003</v>
      </c>
      <c r="H283" t="s">
        <v>1198</v>
      </c>
      <c r="I283" s="26">
        <v>55112</v>
      </c>
      <c r="J283"/>
      <c r="K283">
        <v>1</v>
      </c>
      <c r="L283">
        <v>5.546665</v>
      </c>
      <c r="M283" t="s">
        <v>1504</v>
      </c>
      <c r="N283" t="s">
        <v>1197</v>
      </c>
      <c r="O283" t="s">
        <v>128</v>
      </c>
      <c r="P283">
        <v>0.30555555600000001</v>
      </c>
      <c r="Q283">
        <v>1387.325360927</v>
      </c>
      <c r="R283"/>
      <c r="S283" t="s">
        <v>1522</v>
      </c>
      <c r="T283" t="s">
        <v>27</v>
      </c>
      <c r="U283" t="s">
        <v>16</v>
      </c>
      <c r="V283" t="s">
        <v>29</v>
      </c>
    </row>
    <row r="284" spans="1:22" x14ac:dyDescent="0.25">
      <c r="A284" t="s">
        <v>1506</v>
      </c>
      <c r="B284" t="s">
        <v>1199</v>
      </c>
      <c r="C284">
        <v>12000000</v>
      </c>
      <c r="D284">
        <v>10529598.6</v>
      </c>
      <c r="E284">
        <v>11917200</v>
      </c>
      <c r="F284" t="s">
        <v>1195</v>
      </c>
      <c r="G284">
        <v>5.57</v>
      </c>
      <c r="H284" t="s">
        <v>1200</v>
      </c>
      <c r="I284" s="26">
        <v>55112</v>
      </c>
      <c r="J284"/>
      <c r="K284">
        <v>1</v>
      </c>
      <c r="L284">
        <v>5.8143180000000001</v>
      </c>
      <c r="M284" t="s">
        <v>1504</v>
      </c>
      <c r="N284" t="s">
        <v>1199</v>
      </c>
      <c r="O284" t="s">
        <v>128</v>
      </c>
      <c r="P284">
        <v>2.3111111110000002</v>
      </c>
      <c r="Q284">
        <v>857.32807350400003</v>
      </c>
      <c r="R284"/>
      <c r="S284" t="s">
        <v>1522</v>
      </c>
      <c r="T284" t="s">
        <v>27</v>
      </c>
      <c r="U284" t="s">
        <v>20</v>
      </c>
      <c r="V284" t="s">
        <v>29</v>
      </c>
    </row>
    <row r="285" spans="1:22" x14ac:dyDescent="0.25">
      <c r="A285" t="s">
        <v>1506</v>
      </c>
      <c r="B285" t="s">
        <v>361</v>
      </c>
      <c r="C285">
        <v>2233125</v>
      </c>
      <c r="D285">
        <v>2183635.38</v>
      </c>
      <c r="E285">
        <v>2232455.1</v>
      </c>
      <c r="F285" t="s">
        <v>1195</v>
      </c>
      <c r="G285">
        <v>2.8</v>
      </c>
      <c r="H285" t="s">
        <v>360</v>
      </c>
      <c r="I285" s="26">
        <v>55173</v>
      </c>
      <c r="J285"/>
      <c r="K285">
        <v>0.99250000000000005</v>
      </c>
      <c r="L285">
        <v>2.8164030000000002</v>
      </c>
      <c r="M285" t="s">
        <v>1504</v>
      </c>
      <c r="N285" t="s">
        <v>361</v>
      </c>
      <c r="O285" t="s">
        <v>128</v>
      </c>
      <c r="P285">
        <v>0.471702118</v>
      </c>
      <c r="Q285">
        <v>464.56250175600002</v>
      </c>
      <c r="R285"/>
      <c r="S285" t="s">
        <v>1522</v>
      </c>
      <c r="T285" t="s">
        <v>27</v>
      </c>
      <c r="U285" t="s">
        <v>16</v>
      </c>
      <c r="V285" t="s">
        <v>17</v>
      </c>
    </row>
    <row r="286" spans="1:22" x14ac:dyDescent="0.25">
      <c r="A286" t="s">
        <v>1506</v>
      </c>
      <c r="B286" t="s">
        <v>363</v>
      </c>
      <c r="C286">
        <v>2481250</v>
      </c>
      <c r="D286">
        <v>2174225.71</v>
      </c>
      <c r="E286">
        <v>2480009.42</v>
      </c>
      <c r="F286" t="s">
        <v>1195</v>
      </c>
      <c r="G286">
        <v>3.26</v>
      </c>
      <c r="H286" t="s">
        <v>362</v>
      </c>
      <c r="I286" s="26">
        <v>55173</v>
      </c>
      <c r="J286"/>
      <c r="K286">
        <v>0.99250000000000005</v>
      </c>
      <c r="L286">
        <v>3.276621</v>
      </c>
      <c r="M286" t="s">
        <v>1504</v>
      </c>
      <c r="N286" t="s">
        <v>363</v>
      </c>
      <c r="O286" t="s">
        <v>128</v>
      </c>
      <c r="P286">
        <v>2.4303684319999999</v>
      </c>
      <c r="Q286">
        <v>585.29406518799999</v>
      </c>
      <c r="R286"/>
      <c r="S286" t="s">
        <v>1522</v>
      </c>
      <c r="T286" t="s">
        <v>27</v>
      </c>
      <c r="U286" t="s">
        <v>20</v>
      </c>
      <c r="V286" t="s">
        <v>21</v>
      </c>
    </row>
    <row r="287" spans="1:22" x14ac:dyDescent="0.25">
      <c r="A287" t="s">
        <v>1506</v>
      </c>
      <c r="B287" t="s">
        <v>1202</v>
      </c>
      <c r="C287">
        <v>1200000</v>
      </c>
      <c r="D287">
        <v>1168911.3600000001</v>
      </c>
      <c r="E287">
        <v>1199760</v>
      </c>
      <c r="F287" t="s">
        <v>1195</v>
      </c>
      <c r="G287">
        <v>4.2300000000000004</v>
      </c>
      <c r="H287" t="s">
        <v>1203</v>
      </c>
      <c r="I287" s="26">
        <v>55173</v>
      </c>
      <c r="J287"/>
      <c r="K287">
        <v>1</v>
      </c>
      <c r="L287">
        <v>4.2383610000000003</v>
      </c>
      <c r="M287" t="s">
        <v>1504</v>
      </c>
      <c r="N287" t="s">
        <v>1202</v>
      </c>
      <c r="O287" t="s">
        <v>128</v>
      </c>
      <c r="P287">
        <v>0.47222222200000002</v>
      </c>
      <c r="Q287">
        <v>708.35184485699995</v>
      </c>
      <c r="R287"/>
      <c r="S287" t="s">
        <v>1522</v>
      </c>
      <c r="T287" t="s">
        <v>27</v>
      </c>
      <c r="U287" t="s">
        <v>16</v>
      </c>
      <c r="V287" t="s">
        <v>25</v>
      </c>
    </row>
    <row r="288" spans="1:22" x14ac:dyDescent="0.25">
      <c r="A288" t="s">
        <v>1503</v>
      </c>
      <c r="B288" t="s">
        <v>389</v>
      </c>
      <c r="C288">
        <v>732832.88203500002</v>
      </c>
      <c r="D288">
        <v>609180.52</v>
      </c>
      <c r="E288">
        <v>722866.35</v>
      </c>
      <c r="F288" t="s">
        <v>1464</v>
      </c>
      <c r="G288">
        <v>5.125</v>
      </c>
      <c r="H288" t="s">
        <v>388</v>
      </c>
      <c r="I288" s="26">
        <v>54405</v>
      </c>
      <c r="J288"/>
      <c r="K288">
        <v>2.3432000000000001E-2</v>
      </c>
      <c r="L288">
        <v>5.6229480000000001</v>
      </c>
      <c r="M288" t="s">
        <v>1504</v>
      </c>
      <c r="N288" t="s">
        <v>389</v>
      </c>
      <c r="O288" t="s">
        <v>156</v>
      </c>
      <c r="P288">
        <v>0.62</v>
      </c>
      <c r="Q288"/>
      <c r="R288"/>
      <c r="S288" t="s">
        <v>1526</v>
      </c>
      <c r="T288" t="s">
        <v>31</v>
      </c>
      <c r="U288" t="s">
        <v>40</v>
      </c>
      <c r="V288" t="s">
        <v>29</v>
      </c>
    </row>
    <row r="289" spans="1:22" x14ac:dyDescent="0.25">
      <c r="A289" t="s">
        <v>1506</v>
      </c>
      <c r="B289" t="s">
        <v>555</v>
      </c>
      <c r="C289">
        <v>5000000</v>
      </c>
      <c r="D289">
        <v>4982039.25</v>
      </c>
      <c r="E289">
        <v>5000000</v>
      </c>
      <c r="F289" t="s">
        <v>141</v>
      </c>
      <c r="G289">
        <v>2.6360000000000001</v>
      </c>
      <c r="H289" t="s">
        <v>142</v>
      </c>
      <c r="I289" s="26">
        <v>55046</v>
      </c>
      <c r="J289"/>
      <c r="K289">
        <v>1</v>
      </c>
      <c r="L289">
        <v>2.6355080000000002</v>
      </c>
      <c r="M289" t="s">
        <v>1504</v>
      </c>
      <c r="N289" t="s">
        <v>555</v>
      </c>
      <c r="O289" t="s">
        <v>210</v>
      </c>
      <c r="P289">
        <v>0.122987419</v>
      </c>
      <c r="Q289">
        <v>657.492270147</v>
      </c>
      <c r="R289"/>
      <c r="S289" t="s">
        <v>1527</v>
      </c>
      <c r="T289" t="s">
        <v>19</v>
      </c>
      <c r="U289" t="s">
        <v>16</v>
      </c>
      <c r="V289" t="s">
        <v>17</v>
      </c>
    </row>
    <row r="290" spans="1:22" x14ac:dyDescent="0.25">
      <c r="A290" t="s">
        <v>1506</v>
      </c>
      <c r="B290" t="s">
        <v>726</v>
      </c>
      <c r="C290">
        <v>1375000</v>
      </c>
      <c r="D290">
        <v>1369657.78</v>
      </c>
      <c r="E290">
        <v>1375000</v>
      </c>
      <c r="F290" t="s">
        <v>141</v>
      </c>
      <c r="G290">
        <v>3.2290000000000001</v>
      </c>
      <c r="H290" t="s">
        <v>727</v>
      </c>
      <c r="I290" s="26">
        <v>55046</v>
      </c>
      <c r="J290"/>
      <c r="K290">
        <v>1</v>
      </c>
      <c r="L290">
        <v>3.228262</v>
      </c>
      <c r="M290" t="s">
        <v>1504</v>
      </c>
      <c r="N290" t="s">
        <v>726</v>
      </c>
      <c r="O290" t="s">
        <v>210</v>
      </c>
      <c r="P290">
        <v>0.125</v>
      </c>
      <c r="Q290">
        <v>783.13730734000001</v>
      </c>
      <c r="R290"/>
      <c r="S290" t="s">
        <v>1527</v>
      </c>
      <c r="T290" t="s">
        <v>23</v>
      </c>
      <c r="U290" t="s">
        <v>16</v>
      </c>
      <c r="V290" t="s">
        <v>21</v>
      </c>
    </row>
    <row r="291" spans="1:22" x14ac:dyDescent="0.25">
      <c r="A291" t="s">
        <v>1506</v>
      </c>
      <c r="B291" t="s">
        <v>1343</v>
      </c>
      <c r="C291">
        <v>1625000</v>
      </c>
      <c r="D291">
        <v>1618285.83</v>
      </c>
      <c r="E291">
        <v>1625000</v>
      </c>
      <c r="F291" t="s">
        <v>141</v>
      </c>
      <c r="G291">
        <v>4.4589999999999996</v>
      </c>
      <c r="H291" t="s">
        <v>1344</v>
      </c>
      <c r="I291" s="26">
        <v>55046</v>
      </c>
      <c r="J291"/>
      <c r="K291">
        <v>1</v>
      </c>
      <c r="L291">
        <v>4.457592</v>
      </c>
      <c r="M291" t="s">
        <v>1504</v>
      </c>
      <c r="N291" t="s">
        <v>1343</v>
      </c>
      <c r="O291" t="s">
        <v>210</v>
      </c>
      <c r="P291">
        <v>0.125</v>
      </c>
      <c r="Q291">
        <v>961.76115668</v>
      </c>
      <c r="R291"/>
      <c r="S291" t="s">
        <v>1527</v>
      </c>
      <c r="T291" t="s">
        <v>27</v>
      </c>
      <c r="U291" t="s">
        <v>16</v>
      </c>
      <c r="V291" t="s">
        <v>25</v>
      </c>
    </row>
    <row r="292" spans="1:22" x14ac:dyDescent="0.25">
      <c r="A292" t="s">
        <v>1506</v>
      </c>
      <c r="B292" t="s">
        <v>396</v>
      </c>
      <c r="C292">
        <v>2899093.1099</v>
      </c>
      <c r="D292">
        <v>2756413.81</v>
      </c>
      <c r="E292">
        <v>2899093.16</v>
      </c>
      <c r="F292" t="s">
        <v>728</v>
      </c>
      <c r="G292">
        <v>3.2280000000000002</v>
      </c>
      <c r="H292" t="s">
        <v>395</v>
      </c>
      <c r="I292" s="26">
        <v>53036</v>
      </c>
      <c r="J292"/>
      <c r="K292">
        <v>0.724773</v>
      </c>
      <c r="L292">
        <v>3.227932</v>
      </c>
      <c r="M292" t="s">
        <v>1504</v>
      </c>
      <c r="N292" t="s">
        <v>396</v>
      </c>
      <c r="O292" t="s">
        <v>163</v>
      </c>
      <c r="P292">
        <v>2.417924674</v>
      </c>
      <c r="Q292">
        <v>222.302738694</v>
      </c>
      <c r="R292"/>
      <c r="S292" t="s">
        <v>1526</v>
      </c>
      <c r="T292" t="s">
        <v>23</v>
      </c>
      <c r="U292" t="s">
        <v>20</v>
      </c>
      <c r="V292" t="s">
        <v>21</v>
      </c>
    </row>
    <row r="293" spans="1:22" x14ac:dyDescent="0.25">
      <c r="A293" t="s">
        <v>1506</v>
      </c>
      <c r="B293" t="s">
        <v>398</v>
      </c>
      <c r="C293">
        <v>1087113.57</v>
      </c>
      <c r="D293">
        <v>1013257.95</v>
      </c>
      <c r="E293">
        <v>1087004.83</v>
      </c>
      <c r="F293" t="s">
        <v>728</v>
      </c>
      <c r="G293">
        <v>4.2119999999999997</v>
      </c>
      <c r="H293" t="s">
        <v>397</v>
      </c>
      <c r="I293" s="26">
        <v>53036</v>
      </c>
      <c r="J293"/>
      <c r="K293">
        <v>0.724742</v>
      </c>
      <c r="L293">
        <v>4.2135590000000001</v>
      </c>
      <c r="M293" t="s">
        <v>1504</v>
      </c>
      <c r="N293" t="s">
        <v>398</v>
      </c>
      <c r="O293" t="s">
        <v>163</v>
      </c>
      <c r="P293">
        <v>2.4179179319999999</v>
      </c>
      <c r="Q293">
        <v>413.21853631599998</v>
      </c>
      <c r="R293"/>
      <c r="S293" t="s">
        <v>1526</v>
      </c>
      <c r="T293" t="s">
        <v>27</v>
      </c>
      <c r="U293" t="s">
        <v>20</v>
      </c>
      <c r="V293" t="s">
        <v>25</v>
      </c>
    </row>
    <row r="294" spans="1:22" x14ac:dyDescent="0.25">
      <c r="A294" t="s">
        <v>1488</v>
      </c>
      <c r="B294" t="s">
        <v>1102</v>
      </c>
      <c r="C294">
        <v>9830000</v>
      </c>
      <c r="D294">
        <v>9746297.5500000007</v>
      </c>
      <c r="E294">
        <v>9830000</v>
      </c>
      <c r="F294" t="s">
        <v>554</v>
      </c>
      <c r="G294">
        <v>7.0754900000000003</v>
      </c>
      <c r="H294" t="s">
        <v>1103</v>
      </c>
      <c r="I294" s="26">
        <v>50425</v>
      </c>
      <c r="J294">
        <v>275</v>
      </c>
      <c r="K294">
        <v>1</v>
      </c>
      <c r="L294">
        <v>7.0745750000000003</v>
      </c>
      <c r="M294" t="s">
        <v>1489</v>
      </c>
      <c r="N294" t="s">
        <v>1102</v>
      </c>
      <c r="O294" t="s">
        <v>109</v>
      </c>
      <c r="P294">
        <v>9.2727847259999994</v>
      </c>
      <c r="Q294">
        <v>287.01663481399999</v>
      </c>
      <c r="R294">
        <v>2025</v>
      </c>
      <c r="S294"/>
      <c r="T294" t="s">
        <v>27</v>
      </c>
      <c r="U294" t="s">
        <v>32</v>
      </c>
      <c r="V294" t="s">
        <v>37</v>
      </c>
    </row>
    <row r="295" spans="1:22" x14ac:dyDescent="0.25">
      <c r="A295" t="s">
        <v>1488</v>
      </c>
      <c r="B295" t="s">
        <v>1092</v>
      </c>
      <c r="C295">
        <v>6500000</v>
      </c>
      <c r="D295">
        <v>6510900.5</v>
      </c>
      <c r="E295">
        <v>6321250</v>
      </c>
      <c r="F295" t="s">
        <v>554</v>
      </c>
      <c r="G295">
        <v>7.3871000000000002</v>
      </c>
      <c r="H295" t="s">
        <v>1093</v>
      </c>
      <c r="I295" s="26">
        <v>49054</v>
      </c>
      <c r="J295">
        <v>306.161</v>
      </c>
      <c r="K295">
        <v>1</v>
      </c>
      <c r="L295">
        <v>7.4897689999999999</v>
      </c>
      <c r="M295" t="s">
        <v>1489</v>
      </c>
      <c r="N295" t="s">
        <v>1092</v>
      </c>
      <c r="O295" t="s">
        <v>109</v>
      </c>
      <c r="P295">
        <v>5.8098248950000002</v>
      </c>
      <c r="Q295">
        <v>302.51294479400002</v>
      </c>
      <c r="R295">
        <v>2021</v>
      </c>
      <c r="S295"/>
      <c r="T295" t="s">
        <v>27</v>
      </c>
      <c r="U295" t="s">
        <v>24</v>
      </c>
      <c r="V295" t="s">
        <v>37</v>
      </c>
    </row>
    <row r="296" spans="1:22" x14ac:dyDescent="0.25">
      <c r="A296" t="s">
        <v>1488</v>
      </c>
      <c r="B296" t="s">
        <v>1098</v>
      </c>
      <c r="C296">
        <v>1500000</v>
      </c>
      <c r="D296">
        <v>1457308.5</v>
      </c>
      <c r="E296">
        <v>1500000</v>
      </c>
      <c r="F296" t="s">
        <v>554</v>
      </c>
      <c r="G296">
        <v>7.6871</v>
      </c>
      <c r="H296" t="s">
        <v>1099</v>
      </c>
      <c r="I296" s="26">
        <v>49145</v>
      </c>
      <c r="J296">
        <v>336.161</v>
      </c>
      <c r="K296">
        <v>1</v>
      </c>
      <c r="L296">
        <v>7.7602950000000002</v>
      </c>
      <c r="M296" t="s">
        <v>1489</v>
      </c>
      <c r="N296" t="s">
        <v>1098</v>
      </c>
      <c r="O296" t="s">
        <v>109</v>
      </c>
      <c r="P296">
        <v>5.9997397049999996</v>
      </c>
      <c r="Q296">
        <v>394.89973187499999</v>
      </c>
      <c r="R296">
        <v>2021</v>
      </c>
      <c r="S296"/>
      <c r="T296" t="s">
        <v>27</v>
      </c>
      <c r="U296" t="s">
        <v>24</v>
      </c>
      <c r="V296" t="s">
        <v>37</v>
      </c>
    </row>
    <row r="297" spans="1:22" x14ac:dyDescent="0.25">
      <c r="A297" t="s">
        <v>1488</v>
      </c>
      <c r="B297" t="s">
        <v>1098</v>
      </c>
      <c r="C297">
        <v>760000</v>
      </c>
      <c r="D297">
        <v>738369.64</v>
      </c>
      <c r="E297">
        <v>761278.32</v>
      </c>
      <c r="F297" t="s">
        <v>554</v>
      </c>
      <c r="G297">
        <v>7.6871</v>
      </c>
      <c r="H297" t="s">
        <v>1099</v>
      </c>
      <c r="I297" s="26">
        <v>49145</v>
      </c>
      <c r="J297">
        <v>336.161</v>
      </c>
      <c r="K297">
        <v>1</v>
      </c>
      <c r="L297">
        <v>7.7602950000000002</v>
      </c>
      <c r="M297" t="s">
        <v>1489</v>
      </c>
      <c r="N297" t="s">
        <v>1098</v>
      </c>
      <c r="O297" t="s">
        <v>109</v>
      </c>
      <c r="P297">
        <v>5.9997397049999996</v>
      </c>
      <c r="Q297">
        <v>394.89973187499999</v>
      </c>
      <c r="R297">
        <v>2021</v>
      </c>
      <c r="S297"/>
      <c r="T297" t="s">
        <v>27</v>
      </c>
      <c r="U297" t="s">
        <v>24</v>
      </c>
      <c r="V297" t="s">
        <v>37</v>
      </c>
    </row>
    <row r="298" spans="1:22" x14ac:dyDescent="0.25">
      <c r="A298" t="s">
        <v>1488</v>
      </c>
      <c r="B298" t="s">
        <v>1098</v>
      </c>
      <c r="C298">
        <v>1520000</v>
      </c>
      <c r="D298">
        <v>1476739.28</v>
      </c>
      <c r="E298">
        <v>1523524.12</v>
      </c>
      <c r="F298" t="s">
        <v>554</v>
      </c>
      <c r="G298">
        <v>7.6871</v>
      </c>
      <c r="H298" t="s">
        <v>1099</v>
      </c>
      <c r="I298" s="26">
        <v>49145</v>
      </c>
      <c r="J298">
        <v>336.161</v>
      </c>
      <c r="K298">
        <v>1</v>
      </c>
      <c r="L298">
        <v>7.7602950000000002</v>
      </c>
      <c r="M298" t="s">
        <v>1489</v>
      </c>
      <c r="N298" t="s">
        <v>1098</v>
      </c>
      <c r="O298" t="s">
        <v>109</v>
      </c>
      <c r="P298">
        <v>5.9997397049999996</v>
      </c>
      <c r="Q298">
        <v>394.89973187499999</v>
      </c>
      <c r="R298">
        <v>2021</v>
      </c>
      <c r="S298"/>
      <c r="T298" t="s">
        <v>27</v>
      </c>
      <c r="U298" t="s">
        <v>24</v>
      </c>
      <c r="V298" t="s">
        <v>37</v>
      </c>
    </row>
    <row r="299" spans="1:22" x14ac:dyDescent="0.25">
      <c r="A299" t="s">
        <v>1488</v>
      </c>
      <c r="B299" t="s">
        <v>1098</v>
      </c>
      <c r="C299">
        <v>1520000</v>
      </c>
      <c r="D299">
        <v>1476739.28</v>
      </c>
      <c r="E299">
        <v>1526546.64</v>
      </c>
      <c r="F299" t="s">
        <v>554</v>
      </c>
      <c r="G299">
        <v>7.6871</v>
      </c>
      <c r="H299" t="s">
        <v>1099</v>
      </c>
      <c r="I299" s="26">
        <v>49145</v>
      </c>
      <c r="J299">
        <v>336.161</v>
      </c>
      <c r="K299">
        <v>1</v>
      </c>
      <c r="L299">
        <v>7.7602950000000002</v>
      </c>
      <c r="M299" t="s">
        <v>1489</v>
      </c>
      <c r="N299" t="s">
        <v>1098</v>
      </c>
      <c r="O299" t="s">
        <v>109</v>
      </c>
      <c r="P299">
        <v>5.9997397049999996</v>
      </c>
      <c r="Q299">
        <v>394.89973187499999</v>
      </c>
      <c r="R299">
        <v>2021</v>
      </c>
      <c r="S299"/>
      <c r="T299" t="s">
        <v>27</v>
      </c>
      <c r="U299" t="s">
        <v>24</v>
      </c>
      <c r="V299" t="s">
        <v>37</v>
      </c>
    </row>
    <row r="300" spans="1:22" x14ac:dyDescent="0.25">
      <c r="A300" t="s">
        <v>1488</v>
      </c>
      <c r="B300" t="s">
        <v>1084</v>
      </c>
      <c r="C300">
        <v>5000000</v>
      </c>
      <c r="D300">
        <v>4909360</v>
      </c>
      <c r="E300">
        <v>5000000</v>
      </c>
      <c r="F300" t="s">
        <v>554</v>
      </c>
      <c r="G300">
        <v>7.5675499999999998</v>
      </c>
      <c r="H300" t="s">
        <v>1085</v>
      </c>
      <c r="I300" s="26">
        <v>49414</v>
      </c>
      <c r="J300">
        <v>325</v>
      </c>
      <c r="K300">
        <v>1</v>
      </c>
      <c r="L300">
        <v>7.6805690000000002</v>
      </c>
      <c r="M300" t="s">
        <v>1489</v>
      </c>
      <c r="N300" t="s">
        <v>1084</v>
      </c>
      <c r="O300" t="s">
        <v>109</v>
      </c>
      <c r="P300">
        <v>6.5914745769999996</v>
      </c>
      <c r="Q300">
        <v>359.23873584299997</v>
      </c>
      <c r="R300">
        <v>2022</v>
      </c>
      <c r="S300"/>
      <c r="T300" t="s">
        <v>27</v>
      </c>
      <c r="U300" t="s">
        <v>28</v>
      </c>
      <c r="V300" t="s">
        <v>37</v>
      </c>
    </row>
    <row r="301" spans="1:22" x14ac:dyDescent="0.25">
      <c r="A301" t="s">
        <v>1488</v>
      </c>
      <c r="B301" t="s">
        <v>1086</v>
      </c>
      <c r="C301">
        <v>4000000</v>
      </c>
      <c r="D301">
        <v>4017196</v>
      </c>
      <c r="E301">
        <v>4000000</v>
      </c>
      <c r="F301" t="s">
        <v>554</v>
      </c>
      <c r="G301">
        <v>7.4754899999999997</v>
      </c>
      <c r="H301" t="s">
        <v>1087</v>
      </c>
      <c r="I301" s="26">
        <v>50333</v>
      </c>
      <c r="J301">
        <v>315</v>
      </c>
      <c r="K301">
        <v>1</v>
      </c>
      <c r="L301">
        <v>7.4744700000000002</v>
      </c>
      <c r="M301" t="s">
        <v>1489</v>
      </c>
      <c r="N301" t="s">
        <v>1086</v>
      </c>
      <c r="O301" t="s">
        <v>109</v>
      </c>
      <c r="P301">
        <v>9.1014795799999995</v>
      </c>
      <c r="Q301">
        <v>308.61015649799998</v>
      </c>
      <c r="R301">
        <v>2024</v>
      </c>
      <c r="S301"/>
      <c r="T301" t="s">
        <v>27</v>
      </c>
      <c r="U301" t="s">
        <v>32</v>
      </c>
      <c r="V301" t="s">
        <v>37</v>
      </c>
    </row>
    <row r="302" spans="1:22" x14ac:dyDescent="0.25">
      <c r="A302" t="s">
        <v>1488</v>
      </c>
      <c r="B302" t="s">
        <v>493</v>
      </c>
      <c r="C302">
        <v>2600000</v>
      </c>
      <c r="D302">
        <v>2619819.7999999998</v>
      </c>
      <c r="E302">
        <v>2600000</v>
      </c>
      <c r="F302" t="s">
        <v>554</v>
      </c>
      <c r="G302">
        <v>7.4857899999999997</v>
      </c>
      <c r="H302" t="s">
        <v>492</v>
      </c>
      <c r="I302" s="26">
        <v>50602</v>
      </c>
      <c r="J302">
        <v>310</v>
      </c>
      <c r="K302">
        <v>1</v>
      </c>
      <c r="L302">
        <v>7.4843820000000001</v>
      </c>
      <c r="M302" t="s">
        <v>1489</v>
      </c>
      <c r="N302" t="s">
        <v>493</v>
      </c>
      <c r="O302" t="s">
        <v>109</v>
      </c>
      <c r="P302">
        <v>9.6372363389999993</v>
      </c>
      <c r="Q302">
        <v>299.11142048900001</v>
      </c>
      <c r="R302">
        <v>2025</v>
      </c>
      <c r="S302"/>
      <c r="T302" t="s">
        <v>27</v>
      </c>
      <c r="U302" t="s">
        <v>32</v>
      </c>
      <c r="V302" t="s">
        <v>37</v>
      </c>
    </row>
    <row r="303" spans="1:22" x14ac:dyDescent="0.25">
      <c r="A303" t="s">
        <v>1488</v>
      </c>
      <c r="B303" t="s">
        <v>495</v>
      </c>
      <c r="C303">
        <v>5700000</v>
      </c>
      <c r="D303">
        <v>5738668.7999999998</v>
      </c>
      <c r="E303">
        <v>5700000</v>
      </c>
      <c r="F303" t="s">
        <v>554</v>
      </c>
      <c r="G303">
        <v>8.1449099999999994</v>
      </c>
      <c r="H303" t="s">
        <v>494</v>
      </c>
      <c r="I303" s="26">
        <v>50236</v>
      </c>
      <c r="J303">
        <v>385</v>
      </c>
      <c r="K303">
        <v>1</v>
      </c>
      <c r="L303">
        <v>8.1311199999999992</v>
      </c>
      <c r="M303" t="s">
        <v>1489</v>
      </c>
      <c r="N303" t="s">
        <v>495</v>
      </c>
      <c r="O303" t="s">
        <v>109</v>
      </c>
      <c r="P303">
        <v>7.6881911079999998</v>
      </c>
      <c r="Q303">
        <v>371.04704848799997</v>
      </c>
      <c r="R303">
        <v>2025</v>
      </c>
      <c r="S303"/>
      <c r="T303" t="s">
        <v>27</v>
      </c>
      <c r="U303" t="s">
        <v>28</v>
      </c>
      <c r="V303" t="s">
        <v>37</v>
      </c>
    </row>
    <row r="304" spans="1:22" x14ac:dyDescent="0.25">
      <c r="A304" t="s">
        <v>1488</v>
      </c>
      <c r="B304" t="s">
        <v>1095</v>
      </c>
      <c r="C304">
        <v>15000000</v>
      </c>
      <c r="D304">
        <v>15078210</v>
      </c>
      <c r="E304">
        <v>15000000</v>
      </c>
      <c r="F304" t="s">
        <v>1096</v>
      </c>
      <c r="G304">
        <v>7.9675500000000001</v>
      </c>
      <c r="H304" t="s">
        <v>1097</v>
      </c>
      <c r="I304" s="26">
        <v>50145</v>
      </c>
      <c r="J304">
        <v>365</v>
      </c>
      <c r="K304">
        <v>1</v>
      </c>
      <c r="L304">
        <v>7.9663430000000002</v>
      </c>
      <c r="M304" t="s">
        <v>1489</v>
      </c>
      <c r="N304" t="s">
        <v>1095</v>
      </c>
      <c r="O304" t="s">
        <v>109</v>
      </c>
      <c r="P304">
        <v>8.6423428229999999</v>
      </c>
      <c r="Q304">
        <v>356.79832010299998</v>
      </c>
      <c r="R304">
        <v>2024</v>
      </c>
      <c r="S304"/>
      <c r="T304" t="s">
        <v>27</v>
      </c>
      <c r="U304" t="s">
        <v>32</v>
      </c>
      <c r="V304" t="s">
        <v>37</v>
      </c>
    </row>
    <row r="305" spans="1:22" x14ac:dyDescent="0.25">
      <c r="A305" t="s">
        <v>1488</v>
      </c>
      <c r="B305" t="s">
        <v>1088</v>
      </c>
      <c r="C305">
        <v>12000000</v>
      </c>
      <c r="D305">
        <v>12075720</v>
      </c>
      <c r="E305">
        <v>12258000</v>
      </c>
      <c r="F305" t="s">
        <v>554</v>
      </c>
      <c r="G305">
        <v>7.3175499999999998</v>
      </c>
      <c r="H305" t="s">
        <v>1089</v>
      </c>
      <c r="I305" s="26">
        <v>50420</v>
      </c>
      <c r="J305">
        <v>300</v>
      </c>
      <c r="K305">
        <v>1</v>
      </c>
      <c r="L305">
        <v>6.9409390000000002</v>
      </c>
      <c r="M305" t="s">
        <v>1489</v>
      </c>
      <c r="N305" t="s">
        <v>1088</v>
      </c>
      <c r="O305" t="s">
        <v>109</v>
      </c>
      <c r="P305">
        <v>9.2296297379999999</v>
      </c>
      <c r="Q305">
        <v>290.84510071400001</v>
      </c>
      <c r="R305">
        <v>2024</v>
      </c>
      <c r="S305"/>
      <c r="T305" t="s">
        <v>27</v>
      </c>
      <c r="U305" t="s">
        <v>32</v>
      </c>
      <c r="V305" t="s">
        <v>37</v>
      </c>
    </row>
    <row r="306" spans="1:22" x14ac:dyDescent="0.25">
      <c r="A306" t="s">
        <v>1488</v>
      </c>
      <c r="B306" t="s">
        <v>667</v>
      </c>
      <c r="C306">
        <v>5200000</v>
      </c>
      <c r="D306">
        <v>5145483.2</v>
      </c>
      <c r="E306">
        <v>5200000</v>
      </c>
      <c r="F306" t="s">
        <v>197</v>
      </c>
      <c r="G306">
        <v>6.7175500000000001</v>
      </c>
      <c r="H306" t="s">
        <v>668</v>
      </c>
      <c r="I306" s="26">
        <v>50055</v>
      </c>
      <c r="J306">
        <v>240</v>
      </c>
      <c r="K306">
        <v>1</v>
      </c>
      <c r="L306">
        <v>6.716691</v>
      </c>
      <c r="M306" t="s">
        <v>1489</v>
      </c>
      <c r="N306" t="s">
        <v>667</v>
      </c>
      <c r="O306" t="s">
        <v>164</v>
      </c>
      <c r="P306">
        <v>7.0637563669999999</v>
      </c>
      <c r="Q306">
        <v>258.08624949799997</v>
      </c>
      <c r="R306">
        <v>2024</v>
      </c>
      <c r="S306"/>
      <c r="T306" t="s">
        <v>23</v>
      </c>
      <c r="U306" t="s">
        <v>28</v>
      </c>
      <c r="V306" t="s">
        <v>33</v>
      </c>
    </row>
    <row r="307" spans="1:22" x14ac:dyDescent="0.25">
      <c r="A307" t="s">
        <v>1488</v>
      </c>
      <c r="B307" t="s">
        <v>1106</v>
      </c>
      <c r="C307">
        <v>10136000</v>
      </c>
      <c r="D307">
        <v>10300385.65</v>
      </c>
      <c r="E307">
        <v>10136000</v>
      </c>
      <c r="F307" t="s">
        <v>197</v>
      </c>
      <c r="G307">
        <v>8.5675500000000007</v>
      </c>
      <c r="H307" t="s">
        <v>1107</v>
      </c>
      <c r="I307" s="26">
        <v>50055</v>
      </c>
      <c r="J307">
        <v>425</v>
      </c>
      <c r="K307">
        <v>1</v>
      </c>
      <c r="L307">
        <v>8.5661529999999999</v>
      </c>
      <c r="M307" t="s">
        <v>1489</v>
      </c>
      <c r="N307" t="s">
        <v>1106</v>
      </c>
      <c r="O307" t="s">
        <v>164</v>
      </c>
      <c r="P307">
        <v>7.5288223990000001</v>
      </c>
      <c r="Q307">
        <v>396.65287706800001</v>
      </c>
      <c r="R307">
        <v>2024</v>
      </c>
      <c r="S307"/>
      <c r="T307" t="s">
        <v>27</v>
      </c>
      <c r="U307" t="s">
        <v>28</v>
      </c>
      <c r="V307" t="s">
        <v>37</v>
      </c>
    </row>
    <row r="308" spans="1:22" x14ac:dyDescent="0.25">
      <c r="A308" t="s">
        <v>1488</v>
      </c>
      <c r="B308" t="s">
        <v>1108</v>
      </c>
      <c r="C308">
        <v>15300000</v>
      </c>
      <c r="D308">
        <v>15363862.199999999</v>
      </c>
      <c r="E308">
        <v>15300000</v>
      </c>
      <c r="F308" t="s">
        <v>197</v>
      </c>
      <c r="G308">
        <v>8.4675499999999992</v>
      </c>
      <c r="H308" t="s">
        <v>1109</v>
      </c>
      <c r="I308" s="26">
        <v>50055</v>
      </c>
      <c r="J308">
        <v>415</v>
      </c>
      <c r="K308">
        <v>1</v>
      </c>
      <c r="L308">
        <v>8.4661849999999994</v>
      </c>
      <c r="M308" t="s">
        <v>1489</v>
      </c>
      <c r="N308" t="s">
        <v>1108</v>
      </c>
      <c r="O308" t="s">
        <v>164</v>
      </c>
      <c r="P308">
        <v>7.200714971</v>
      </c>
      <c r="Q308">
        <v>407.26463926999998</v>
      </c>
      <c r="R308">
        <v>2024</v>
      </c>
      <c r="S308"/>
      <c r="T308" t="s">
        <v>27</v>
      </c>
      <c r="U308" t="s">
        <v>28</v>
      </c>
      <c r="V308" t="s">
        <v>37</v>
      </c>
    </row>
    <row r="309" spans="1:22" x14ac:dyDescent="0.25">
      <c r="A309" t="s">
        <v>1488</v>
      </c>
      <c r="B309" t="s">
        <v>720</v>
      </c>
      <c r="C309">
        <v>1850000</v>
      </c>
      <c r="D309">
        <v>1853344.8</v>
      </c>
      <c r="E309">
        <v>1850000</v>
      </c>
      <c r="F309" t="s">
        <v>197</v>
      </c>
      <c r="G309">
        <v>7.5791599999999999</v>
      </c>
      <c r="H309" t="s">
        <v>721</v>
      </c>
      <c r="I309" s="26">
        <v>48684</v>
      </c>
      <c r="J309">
        <v>326.161</v>
      </c>
      <c r="K309">
        <v>1</v>
      </c>
      <c r="L309">
        <v>7.6770949999999996</v>
      </c>
      <c r="M309" t="s">
        <v>1489</v>
      </c>
      <c r="N309" t="s">
        <v>720</v>
      </c>
      <c r="O309" t="s">
        <v>164</v>
      </c>
      <c r="P309">
        <v>3.132243033</v>
      </c>
      <c r="Q309">
        <v>319.41370288899998</v>
      </c>
      <c r="R309">
        <v>2021</v>
      </c>
      <c r="S309"/>
      <c r="T309" t="s">
        <v>23</v>
      </c>
      <c r="U309" t="s">
        <v>20</v>
      </c>
      <c r="V309" t="s">
        <v>37</v>
      </c>
    </row>
    <row r="310" spans="1:22" x14ac:dyDescent="0.25">
      <c r="A310" t="s">
        <v>1488</v>
      </c>
      <c r="B310" t="s">
        <v>720</v>
      </c>
      <c r="C310">
        <v>2950000</v>
      </c>
      <c r="D310">
        <v>2955333.6</v>
      </c>
      <c r="E310">
        <v>2950000</v>
      </c>
      <c r="F310" t="s">
        <v>197</v>
      </c>
      <c r="G310">
        <v>7.5791599999999999</v>
      </c>
      <c r="H310" t="s">
        <v>721</v>
      </c>
      <c r="I310" s="26">
        <v>48684</v>
      </c>
      <c r="J310">
        <v>326.161</v>
      </c>
      <c r="K310">
        <v>1</v>
      </c>
      <c r="L310">
        <v>7.6770949999999996</v>
      </c>
      <c r="M310" t="s">
        <v>1489</v>
      </c>
      <c r="N310" t="s">
        <v>720</v>
      </c>
      <c r="O310" t="s">
        <v>164</v>
      </c>
      <c r="P310">
        <v>3.132243033</v>
      </c>
      <c r="Q310">
        <v>319.41370288899998</v>
      </c>
      <c r="R310">
        <v>2021</v>
      </c>
      <c r="S310"/>
      <c r="T310" t="s">
        <v>23</v>
      </c>
      <c r="U310" t="s">
        <v>20</v>
      </c>
      <c r="V310" t="s">
        <v>37</v>
      </c>
    </row>
    <row r="311" spans="1:22" x14ac:dyDescent="0.25">
      <c r="A311" t="s">
        <v>1488</v>
      </c>
      <c r="B311" t="s">
        <v>720</v>
      </c>
      <c r="C311">
        <v>760000</v>
      </c>
      <c r="D311">
        <v>761374.08</v>
      </c>
      <c r="E311">
        <v>761498.72</v>
      </c>
      <c r="F311" t="s">
        <v>197</v>
      </c>
      <c r="G311">
        <v>7.5791599999999999</v>
      </c>
      <c r="H311" t="s">
        <v>721</v>
      </c>
      <c r="I311" s="26">
        <v>48684</v>
      </c>
      <c r="J311">
        <v>326.161</v>
      </c>
      <c r="K311">
        <v>1</v>
      </c>
      <c r="L311">
        <v>7.6770949999999996</v>
      </c>
      <c r="M311" t="s">
        <v>1489</v>
      </c>
      <c r="N311" t="s">
        <v>720</v>
      </c>
      <c r="O311" t="s">
        <v>164</v>
      </c>
      <c r="P311">
        <v>3.132243033</v>
      </c>
      <c r="Q311">
        <v>319.41370288899998</v>
      </c>
      <c r="R311">
        <v>2021</v>
      </c>
      <c r="S311"/>
      <c r="T311" t="s">
        <v>23</v>
      </c>
      <c r="U311" t="s">
        <v>20</v>
      </c>
      <c r="V311" t="s">
        <v>37</v>
      </c>
    </row>
    <row r="312" spans="1:22" x14ac:dyDescent="0.25">
      <c r="A312" t="s">
        <v>1488</v>
      </c>
      <c r="B312" t="s">
        <v>720</v>
      </c>
      <c r="C312">
        <v>3040000</v>
      </c>
      <c r="D312">
        <v>3045496.32</v>
      </c>
      <c r="E312">
        <v>3045495.56</v>
      </c>
      <c r="F312" t="s">
        <v>197</v>
      </c>
      <c r="G312">
        <v>7.5791599999999999</v>
      </c>
      <c r="H312" t="s">
        <v>721</v>
      </c>
      <c r="I312" s="26">
        <v>48684</v>
      </c>
      <c r="J312">
        <v>326.161</v>
      </c>
      <c r="K312">
        <v>1</v>
      </c>
      <c r="L312">
        <v>7.6770949999999996</v>
      </c>
      <c r="M312" t="s">
        <v>1489</v>
      </c>
      <c r="N312" t="s">
        <v>720</v>
      </c>
      <c r="O312" t="s">
        <v>164</v>
      </c>
      <c r="P312">
        <v>3.132243033</v>
      </c>
      <c r="Q312">
        <v>319.41370288899998</v>
      </c>
      <c r="R312">
        <v>2021</v>
      </c>
      <c r="S312"/>
      <c r="T312" t="s">
        <v>23</v>
      </c>
      <c r="U312" t="s">
        <v>20</v>
      </c>
      <c r="V312" t="s">
        <v>37</v>
      </c>
    </row>
    <row r="313" spans="1:22" x14ac:dyDescent="0.25">
      <c r="A313" t="s">
        <v>1488</v>
      </c>
      <c r="B313" t="s">
        <v>1326</v>
      </c>
      <c r="C313">
        <v>1000000</v>
      </c>
      <c r="D313">
        <v>1001875</v>
      </c>
      <c r="E313">
        <v>1000000</v>
      </c>
      <c r="F313" t="s">
        <v>197</v>
      </c>
      <c r="G313">
        <v>8.8291599999999999</v>
      </c>
      <c r="H313" t="s">
        <v>1327</v>
      </c>
      <c r="I313" s="26">
        <v>48684</v>
      </c>
      <c r="J313">
        <v>451.161</v>
      </c>
      <c r="K313">
        <v>1</v>
      </c>
      <c r="L313">
        <v>8.9466450000000002</v>
      </c>
      <c r="M313" t="s">
        <v>1489</v>
      </c>
      <c r="N313" t="s">
        <v>1326</v>
      </c>
      <c r="O313" t="s">
        <v>164</v>
      </c>
      <c r="P313">
        <v>3.6029312029999998</v>
      </c>
      <c r="Q313">
        <v>444.77523187700001</v>
      </c>
      <c r="R313">
        <v>2021</v>
      </c>
      <c r="S313"/>
      <c r="T313" t="s">
        <v>27</v>
      </c>
      <c r="U313" t="s">
        <v>20</v>
      </c>
      <c r="V313" t="s">
        <v>37</v>
      </c>
    </row>
    <row r="314" spans="1:22" x14ac:dyDescent="0.25">
      <c r="A314" t="s">
        <v>1488</v>
      </c>
      <c r="B314" t="s">
        <v>1326</v>
      </c>
      <c r="C314">
        <v>1250000</v>
      </c>
      <c r="D314">
        <v>1252343.75</v>
      </c>
      <c r="E314">
        <v>1250000</v>
      </c>
      <c r="F314" t="s">
        <v>197</v>
      </c>
      <c r="G314">
        <v>8.8291599999999999</v>
      </c>
      <c r="H314" t="s">
        <v>1327</v>
      </c>
      <c r="I314" s="26">
        <v>48684</v>
      </c>
      <c r="J314">
        <v>451.161</v>
      </c>
      <c r="K314">
        <v>1</v>
      </c>
      <c r="L314">
        <v>8.9466450000000002</v>
      </c>
      <c r="M314" t="s">
        <v>1489</v>
      </c>
      <c r="N314" t="s">
        <v>1326</v>
      </c>
      <c r="O314" t="s">
        <v>164</v>
      </c>
      <c r="P314">
        <v>3.6029312029999998</v>
      </c>
      <c r="Q314">
        <v>444.77523187700001</v>
      </c>
      <c r="R314">
        <v>2021</v>
      </c>
      <c r="S314"/>
      <c r="T314" t="s">
        <v>27</v>
      </c>
      <c r="U314" t="s">
        <v>20</v>
      </c>
      <c r="V314" t="s">
        <v>37</v>
      </c>
    </row>
    <row r="315" spans="1:22" x14ac:dyDescent="0.25">
      <c r="A315" t="s">
        <v>1488</v>
      </c>
      <c r="B315" t="s">
        <v>1326</v>
      </c>
      <c r="C315">
        <v>380000</v>
      </c>
      <c r="D315">
        <v>380712.5</v>
      </c>
      <c r="E315">
        <v>380582.54</v>
      </c>
      <c r="F315" t="s">
        <v>197</v>
      </c>
      <c r="G315">
        <v>8.8291599999999999</v>
      </c>
      <c r="H315" t="s">
        <v>1327</v>
      </c>
      <c r="I315" s="26">
        <v>48684</v>
      </c>
      <c r="J315">
        <v>451.161</v>
      </c>
      <c r="K315">
        <v>1</v>
      </c>
      <c r="L315">
        <v>8.9466450000000002</v>
      </c>
      <c r="M315" t="s">
        <v>1489</v>
      </c>
      <c r="N315" t="s">
        <v>1326</v>
      </c>
      <c r="O315" t="s">
        <v>164</v>
      </c>
      <c r="P315">
        <v>3.6029312029999998</v>
      </c>
      <c r="Q315">
        <v>444.77523187700001</v>
      </c>
      <c r="R315">
        <v>2021</v>
      </c>
      <c r="S315"/>
      <c r="T315" t="s">
        <v>27</v>
      </c>
      <c r="U315" t="s">
        <v>20</v>
      </c>
      <c r="V315" t="s">
        <v>37</v>
      </c>
    </row>
    <row r="316" spans="1:22" x14ac:dyDescent="0.25">
      <c r="A316" t="s">
        <v>1488</v>
      </c>
      <c r="B316" t="s">
        <v>1326</v>
      </c>
      <c r="C316">
        <v>760000</v>
      </c>
      <c r="D316">
        <v>761425</v>
      </c>
      <c r="E316">
        <v>761175.34</v>
      </c>
      <c r="F316" t="s">
        <v>197</v>
      </c>
      <c r="G316">
        <v>8.8291599999999999</v>
      </c>
      <c r="H316" t="s">
        <v>1327</v>
      </c>
      <c r="I316" s="26">
        <v>48684</v>
      </c>
      <c r="J316">
        <v>451.161</v>
      </c>
      <c r="K316">
        <v>1</v>
      </c>
      <c r="L316">
        <v>8.9466450000000002</v>
      </c>
      <c r="M316" t="s">
        <v>1489</v>
      </c>
      <c r="N316" t="s">
        <v>1326</v>
      </c>
      <c r="O316" t="s">
        <v>164</v>
      </c>
      <c r="P316">
        <v>3.6029312029999998</v>
      </c>
      <c r="Q316">
        <v>444.77523187700001</v>
      </c>
      <c r="R316">
        <v>2021</v>
      </c>
      <c r="S316"/>
      <c r="T316" t="s">
        <v>27</v>
      </c>
      <c r="U316" t="s">
        <v>20</v>
      </c>
      <c r="V316" t="s">
        <v>37</v>
      </c>
    </row>
    <row r="317" spans="1:22" x14ac:dyDescent="0.25">
      <c r="A317" t="s">
        <v>1488</v>
      </c>
      <c r="B317" t="s">
        <v>1326</v>
      </c>
      <c r="C317">
        <v>760000</v>
      </c>
      <c r="D317">
        <v>761425</v>
      </c>
      <c r="E317">
        <v>761224.74</v>
      </c>
      <c r="F317" t="s">
        <v>197</v>
      </c>
      <c r="G317">
        <v>8.8291599999999999</v>
      </c>
      <c r="H317" t="s">
        <v>1327</v>
      </c>
      <c r="I317" s="26">
        <v>48684</v>
      </c>
      <c r="J317">
        <v>451.161</v>
      </c>
      <c r="K317">
        <v>1</v>
      </c>
      <c r="L317">
        <v>8.9466450000000002</v>
      </c>
      <c r="M317" t="s">
        <v>1489</v>
      </c>
      <c r="N317" t="s">
        <v>1326</v>
      </c>
      <c r="O317" t="s">
        <v>164</v>
      </c>
      <c r="P317">
        <v>3.6029312029999998</v>
      </c>
      <c r="Q317">
        <v>444.77523187700001</v>
      </c>
      <c r="R317">
        <v>2021</v>
      </c>
      <c r="S317"/>
      <c r="T317" t="s">
        <v>27</v>
      </c>
      <c r="U317" t="s">
        <v>20</v>
      </c>
      <c r="V317" t="s">
        <v>37</v>
      </c>
    </row>
    <row r="318" spans="1:22" x14ac:dyDescent="0.25">
      <c r="A318" t="s">
        <v>1488</v>
      </c>
      <c r="B318" t="s">
        <v>1114</v>
      </c>
      <c r="C318">
        <v>5050000</v>
      </c>
      <c r="D318">
        <v>5038789</v>
      </c>
      <c r="E318">
        <v>5050000</v>
      </c>
      <c r="F318" t="s">
        <v>1115</v>
      </c>
      <c r="G318">
        <v>8.4754900000000006</v>
      </c>
      <c r="H318" t="s">
        <v>1116</v>
      </c>
      <c r="I318" s="26">
        <v>50333</v>
      </c>
      <c r="J318">
        <v>415</v>
      </c>
      <c r="K318">
        <v>1</v>
      </c>
      <c r="L318">
        <v>8.4741800000000005</v>
      </c>
      <c r="M318" t="s">
        <v>1489</v>
      </c>
      <c r="N318" t="s">
        <v>1114</v>
      </c>
      <c r="O318" t="s">
        <v>211</v>
      </c>
      <c r="P318">
        <v>8.5290392379999993</v>
      </c>
      <c r="Q318">
        <v>418.368231364</v>
      </c>
      <c r="R318">
        <v>2024</v>
      </c>
      <c r="S318"/>
      <c r="T318" t="s">
        <v>27</v>
      </c>
      <c r="U318" t="s">
        <v>32</v>
      </c>
      <c r="V318" t="s">
        <v>37</v>
      </c>
    </row>
    <row r="319" spans="1:22" x14ac:dyDescent="0.25">
      <c r="A319" t="s">
        <v>1488</v>
      </c>
      <c r="B319" t="s">
        <v>673</v>
      </c>
      <c r="C319">
        <v>5000000</v>
      </c>
      <c r="D319">
        <v>5015820</v>
      </c>
      <c r="E319">
        <v>5000000</v>
      </c>
      <c r="F319" t="s">
        <v>586</v>
      </c>
      <c r="G319">
        <v>6.31846</v>
      </c>
      <c r="H319" t="s">
        <v>674</v>
      </c>
      <c r="I319" s="26">
        <v>50338</v>
      </c>
      <c r="J319">
        <v>200</v>
      </c>
      <c r="K319">
        <v>1</v>
      </c>
      <c r="L319">
        <v>6.317704</v>
      </c>
      <c r="M319" t="s">
        <v>1489</v>
      </c>
      <c r="N319" t="s">
        <v>673</v>
      </c>
      <c r="O319" t="s">
        <v>111</v>
      </c>
      <c r="P319">
        <v>8.5133252590000001</v>
      </c>
      <c r="Q319">
        <v>195.27817900599999</v>
      </c>
      <c r="R319">
        <v>2024</v>
      </c>
      <c r="S319"/>
      <c r="T319" t="s">
        <v>23</v>
      </c>
      <c r="U319" t="s">
        <v>32</v>
      </c>
      <c r="V319" t="s">
        <v>33</v>
      </c>
    </row>
    <row r="320" spans="1:22" x14ac:dyDescent="0.25">
      <c r="A320" t="s">
        <v>1498</v>
      </c>
      <c r="B320" t="s">
        <v>860</v>
      </c>
      <c r="C320">
        <v>22147582</v>
      </c>
      <c r="D320">
        <v>22562849.16</v>
      </c>
      <c r="E320">
        <v>22147582</v>
      </c>
      <c r="F320" t="s">
        <v>597</v>
      </c>
      <c r="G320">
        <v>9.0254899999999996</v>
      </c>
      <c r="H320" t="s">
        <v>861</v>
      </c>
      <c r="I320" s="26">
        <v>50150</v>
      </c>
      <c r="J320">
        <v>470</v>
      </c>
      <c r="K320">
        <v>1</v>
      </c>
      <c r="L320">
        <v>9.0240050000000007</v>
      </c>
      <c r="M320" t="s">
        <v>1499</v>
      </c>
      <c r="N320" t="s">
        <v>860</v>
      </c>
      <c r="O320" t="s">
        <v>160</v>
      </c>
      <c r="P320">
        <v>8.1084960370000001</v>
      </c>
      <c r="Q320">
        <v>438.48849799700002</v>
      </c>
      <c r="R320">
        <v>2025</v>
      </c>
      <c r="S320"/>
      <c r="T320" t="s">
        <v>27</v>
      </c>
      <c r="U320" t="s">
        <v>32</v>
      </c>
      <c r="V320" t="s">
        <v>37</v>
      </c>
    </row>
    <row r="321" spans="1:22" x14ac:dyDescent="0.25">
      <c r="A321" t="s">
        <v>1498</v>
      </c>
      <c r="B321" t="s">
        <v>1381</v>
      </c>
      <c r="C321">
        <v>6800000</v>
      </c>
      <c r="D321">
        <v>6737562.4000000004</v>
      </c>
      <c r="E321">
        <v>6800000</v>
      </c>
      <c r="F321" t="s">
        <v>597</v>
      </c>
      <c r="G321">
        <v>12.57549</v>
      </c>
      <c r="H321" t="s">
        <v>1382</v>
      </c>
      <c r="I321" s="26">
        <v>50150</v>
      </c>
      <c r="J321">
        <v>825</v>
      </c>
      <c r="K321">
        <v>1</v>
      </c>
      <c r="L321">
        <v>12.572620000000001</v>
      </c>
      <c r="M321" t="s">
        <v>1499</v>
      </c>
      <c r="N321" t="s">
        <v>1381</v>
      </c>
      <c r="O321" t="s">
        <v>160</v>
      </c>
      <c r="P321">
        <v>8.6892004969999999</v>
      </c>
      <c r="Q321">
        <v>841.55098666499998</v>
      </c>
      <c r="R321">
        <v>2025</v>
      </c>
      <c r="S321"/>
      <c r="T321" t="s">
        <v>31</v>
      </c>
      <c r="U321" t="s">
        <v>32</v>
      </c>
      <c r="V321" t="s">
        <v>37</v>
      </c>
    </row>
    <row r="322" spans="1:22" x14ac:dyDescent="0.25">
      <c r="A322" t="s">
        <v>1498</v>
      </c>
      <c r="B322" t="s">
        <v>280</v>
      </c>
      <c r="C322">
        <v>12041200.017875001</v>
      </c>
      <c r="D322">
        <v>10874600.4</v>
      </c>
      <c r="E322">
        <v>10179365.59</v>
      </c>
      <c r="F322" t="s">
        <v>193</v>
      </c>
      <c r="G322">
        <v>2.25</v>
      </c>
      <c r="H322" t="s">
        <v>279</v>
      </c>
      <c r="I322" s="26">
        <v>49145</v>
      </c>
      <c r="J322"/>
      <c r="K322">
        <v>0.39318199999999998</v>
      </c>
      <c r="L322">
        <v>3.1105770000000001</v>
      </c>
      <c r="M322" t="s">
        <v>1499</v>
      </c>
      <c r="N322" t="s">
        <v>280</v>
      </c>
      <c r="O322" t="s">
        <v>82</v>
      </c>
      <c r="P322">
        <v>1.8178755099999999</v>
      </c>
      <c r="Q322">
        <v>438.95855389399998</v>
      </c>
      <c r="R322">
        <v>2021</v>
      </c>
      <c r="S322"/>
      <c r="T322" t="s">
        <v>27</v>
      </c>
      <c r="U322" t="s">
        <v>16</v>
      </c>
      <c r="V322" t="s">
        <v>17</v>
      </c>
    </row>
    <row r="323" spans="1:22" x14ac:dyDescent="0.25">
      <c r="A323" t="s">
        <v>1498</v>
      </c>
      <c r="B323" t="s">
        <v>280</v>
      </c>
      <c r="C323">
        <v>12041200.014811</v>
      </c>
      <c r="D323">
        <v>10874600.390000001</v>
      </c>
      <c r="E323">
        <v>12041200.02</v>
      </c>
      <c r="F323" t="s">
        <v>193</v>
      </c>
      <c r="G323">
        <v>2.25</v>
      </c>
      <c r="H323" t="s">
        <v>279</v>
      </c>
      <c r="I323" s="26">
        <v>49145</v>
      </c>
      <c r="J323"/>
      <c r="K323">
        <v>0.39318199999999998</v>
      </c>
      <c r="L323">
        <v>3.1105770000000001</v>
      </c>
      <c r="M323" t="s">
        <v>1499</v>
      </c>
      <c r="N323" t="s">
        <v>280</v>
      </c>
      <c r="O323" t="s">
        <v>82</v>
      </c>
      <c r="P323">
        <v>1.8178755099999999</v>
      </c>
      <c r="Q323">
        <v>438.95855389399998</v>
      </c>
      <c r="R323">
        <v>2021</v>
      </c>
      <c r="S323"/>
      <c r="T323" t="s">
        <v>27</v>
      </c>
      <c r="U323" t="s">
        <v>16</v>
      </c>
      <c r="V323" t="s">
        <v>17</v>
      </c>
    </row>
    <row r="324" spans="1:22" x14ac:dyDescent="0.25">
      <c r="A324" t="s">
        <v>1498</v>
      </c>
      <c r="B324" t="s">
        <v>1394</v>
      </c>
      <c r="C324">
        <v>9375000</v>
      </c>
      <c r="D324">
        <v>7034231.25</v>
      </c>
      <c r="E324">
        <v>5414100</v>
      </c>
      <c r="F324" t="s">
        <v>193</v>
      </c>
      <c r="G324">
        <v>5</v>
      </c>
      <c r="H324" t="s">
        <v>1395</v>
      </c>
      <c r="I324" s="26">
        <v>49145</v>
      </c>
      <c r="J324"/>
      <c r="K324">
        <v>1</v>
      </c>
      <c r="L324">
        <v>8.4309980000000007</v>
      </c>
      <c r="M324" t="s">
        <v>1499</v>
      </c>
      <c r="N324" t="s">
        <v>1394</v>
      </c>
      <c r="O324" t="s">
        <v>82</v>
      </c>
      <c r="P324">
        <v>5.6217117050000001</v>
      </c>
      <c r="Q324">
        <v>751.37957335600004</v>
      </c>
      <c r="R324">
        <v>2021</v>
      </c>
      <c r="S324"/>
      <c r="T324" t="s">
        <v>31</v>
      </c>
      <c r="U324" t="s">
        <v>24</v>
      </c>
      <c r="V324" t="s">
        <v>29</v>
      </c>
    </row>
    <row r="325" spans="1:22" x14ac:dyDescent="0.25">
      <c r="A325" t="s">
        <v>1498</v>
      </c>
      <c r="B325" t="s">
        <v>1394</v>
      </c>
      <c r="C325">
        <v>9375000</v>
      </c>
      <c r="D325">
        <v>7034231.25</v>
      </c>
      <c r="E325">
        <v>9375000</v>
      </c>
      <c r="F325" t="s">
        <v>193</v>
      </c>
      <c r="G325">
        <v>5</v>
      </c>
      <c r="H325" t="s">
        <v>1395</v>
      </c>
      <c r="I325" s="26">
        <v>49145</v>
      </c>
      <c r="J325"/>
      <c r="K325">
        <v>1</v>
      </c>
      <c r="L325">
        <v>8.4309980000000007</v>
      </c>
      <c r="M325" t="s">
        <v>1499</v>
      </c>
      <c r="N325" t="s">
        <v>1394</v>
      </c>
      <c r="O325" t="s">
        <v>82</v>
      </c>
      <c r="P325">
        <v>5.6217117050000001</v>
      </c>
      <c r="Q325">
        <v>751.37957335600004</v>
      </c>
      <c r="R325">
        <v>2021</v>
      </c>
      <c r="S325"/>
      <c r="T325" t="s">
        <v>31</v>
      </c>
      <c r="U325" t="s">
        <v>24</v>
      </c>
      <c r="V325" t="s">
        <v>29</v>
      </c>
    </row>
    <row r="326" spans="1:22" x14ac:dyDescent="0.25">
      <c r="A326" t="s">
        <v>1498</v>
      </c>
      <c r="B326" t="s">
        <v>283</v>
      </c>
      <c r="C326">
        <v>12050400.070499999</v>
      </c>
      <c r="D326">
        <v>10502381.58</v>
      </c>
      <c r="E326">
        <v>12050400.07</v>
      </c>
      <c r="F326" t="s">
        <v>193</v>
      </c>
      <c r="G326">
        <v>2.25</v>
      </c>
      <c r="H326" t="s">
        <v>282</v>
      </c>
      <c r="I326" s="26">
        <v>49329</v>
      </c>
      <c r="J326"/>
      <c r="K326">
        <v>0.43819599999999997</v>
      </c>
      <c r="L326">
        <v>2.2498309999999999</v>
      </c>
      <c r="M326" t="s">
        <v>1499</v>
      </c>
      <c r="N326" t="s">
        <v>283</v>
      </c>
      <c r="O326" t="s">
        <v>82</v>
      </c>
      <c r="P326">
        <v>2.0454133149999998</v>
      </c>
      <c r="Q326">
        <v>554.98041726899999</v>
      </c>
      <c r="R326">
        <v>2021</v>
      </c>
      <c r="S326"/>
      <c r="T326" t="s">
        <v>27</v>
      </c>
      <c r="U326" t="s">
        <v>20</v>
      </c>
      <c r="V326" t="s">
        <v>17</v>
      </c>
    </row>
    <row r="327" spans="1:22" x14ac:dyDescent="0.25">
      <c r="A327" t="s">
        <v>1498</v>
      </c>
      <c r="B327" t="s">
        <v>283</v>
      </c>
      <c r="C327">
        <v>12050400.070499999</v>
      </c>
      <c r="D327">
        <v>10502381.58</v>
      </c>
      <c r="E327">
        <v>12050400.07</v>
      </c>
      <c r="F327" t="s">
        <v>193</v>
      </c>
      <c r="G327">
        <v>2.25</v>
      </c>
      <c r="H327" t="s">
        <v>282</v>
      </c>
      <c r="I327" s="26">
        <v>49329</v>
      </c>
      <c r="J327"/>
      <c r="K327">
        <v>0.43819599999999997</v>
      </c>
      <c r="L327">
        <v>2.2498309999999999</v>
      </c>
      <c r="M327" t="s">
        <v>1499</v>
      </c>
      <c r="N327" t="s">
        <v>283</v>
      </c>
      <c r="O327" t="s">
        <v>82</v>
      </c>
      <c r="P327">
        <v>2.0454133149999998</v>
      </c>
      <c r="Q327">
        <v>554.98041726899999</v>
      </c>
      <c r="R327">
        <v>2021</v>
      </c>
      <c r="S327"/>
      <c r="T327" t="s">
        <v>27</v>
      </c>
      <c r="U327" t="s">
        <v>20</v>
      </c>
      <c r="V327" t="s">
        <v>17</v>
      </c>
    </row>
    <row r="328" spans="1:22" x14ac:dyDescent="0.25">
      <c r="A328" t="s">
        <v>1498</v>
      </c>
      <c r="B328" t="s">
        <v>1392</v>
      </c>
      <c r="C328">
        <v>11250000</v>
      </c>
      <c r="D328">
        <v>7959206.25</v>
      </c>
      <c r="E328">
        <v>11250000</v>
      </c>
      <c r="F328" t="s">
        <v>193</v>
      </c>
      <c r="G328">
        <v>5.5</v>
      </c>
      <c r="H328" t="s">
        <v>1393</v>
      </c>
      <c r="I328" s="26">
        <v>49329</v>
      </c>
      <c r="J328"/>
      <c r="K328">
        <v>1</v>
      </c>
      <c r="L328">
        <v>5.4987820000000003</v>
      </c>
      <c r="M328" t="s">
        <v>1499</v>
      </c>
      <c r="N328" t="s">
        <v>1392</v>
      </c>
      <c r="O328" t="s">
        <v>82</v>
      </c>
      <c r="P328">
        <v>6.2828397450000004</v>
      </c>
      <c r="Q328">
        <v>879.84878710999999</v>
      </c>
      <c r="R328">
        <v>2021</v>
      </c>
      <c r="S328"/>
      <c r="T328" t="s">
        <v>31</v>
      </c>
      <c r="U328" t="s">
        <v>28</v>
      </c>
      <c r="V328" t="s">
        <v>29</v>
      </c>
    </row>
    <row r="329" spans="1:22" x14ac:dyDescent="0.25">
      <c r="A329" t="s">
        <v>1498</v>
      </c>
      <c r="B329" t="s">
        <v>1392</v>
      </c>
      <c r="C329">
        <v>11250000</v>
      </c>
      <c r="D329">
        <v>7959206.25</v>
      </c>
      <c r="E329">
        <v>11250000</v>
      </c>
      <c r="F329" t="s">
        <v>193</v>
      </c>
      <c r="G329">
        <v>5.5</v>
      </c>
      <c r="H329" t="s">
        <v>1393</v>
      </c>
      <c r="I329" s="26">
        <v>49329</v>
      </c>
      <c r="J329"/>
      <c r="K329">
        <v>1</v>
      </c>
      <c r="L329">
        <v>5.4987820000000003</v>
      </c>
      <c r="M329" t="s">
        <v>1499</v>
      </c>
      <c r="N329" t="s">
        <v>1392</v>
      </c>
      <c r="O329" t="s">
        <v>82</v>
      </c>
      <c r="P329">
        <v>6.2828397450000004</v>
      </c>
      <c r="Q329">
        <v>879.84878710999999</v>
      </c>
      <c r="R329">
        <v>2021</v>
      </c>
      <c r="S329"/>
      <c r="T329" t="s">
        <v>31</v>
      </c>
      <c r="U329" t="s">
        <v>28</v>
      </c>
      <c r="V329" t="s">
        <v>29</v>
      </c>
    </row>
    <row r="330" spans="1:22" x14ac:dyDescent="0.25">
      <c r="A330" t="s">
        <v>1498</v>
      </c>
      <c r="B330" t="s">
        <v>285</v>
      </c>
      <c r="C330">
        <v>22774488.612063002</v>
      </c>
      <c r="D330">
        <v>20135927.460000001</v>
      </c>
      <c r="E330">
        <v>22774488.620000001</v>
      </c>
      <c r="F330" t="s">
        <v>193</v>
      </c>
      <c r="G330">
        <v>2.25</v>
      </c>
      <c r="H330" t="s">
        <v>284</v>
      </c>
      <c r="I330" s="26">
        <v>48964</v>
      </c>
      <c r="J330"/>
      <c r="K330">
        <v>0.51907700000000001</v>
      </c>
      <c r="L330">
        <v>2.0916990000000002</v>
      </c>
      <c r="M330" t="s">
        <v>1499</v>
      </c>
      <c r="N330" t="s">
        <v>285</v>
      </c>
      <c r="O330" t="s">
        <v>82</v>
      </c>
      <c r="P330">
        <v>2.9825430509999999</v>
      </c>
      <c r="Q330">
        <v>323.02062487400002</v>
      </c>
      <c r="R330">
        <v>2020</v>
      </c>
      <c r="S330"/>
      <c r="T330" t="s">
        <v>27</v>
      </c>
      <c r="U330" t="s">
        <v>20</v>
      </c>
      <c r="V330" t="s">
        <v>17</v>
      </c>
    </row>
    <row r="331" spans="1:22" x14ac:dyDescent="0.25">
      <c r="A331" t="s">
        <v>1498</v>
      </c>
      <c r="B331" t="s">
        <v>285</v>
      </c>
      <c r="C331">
        <v>22774488.617063001</v>
      </c>
      <c r="D331">
        <v>20135927.460000001</v>
      </c>
      <c r="E331">
        <v>23606501.850000001</v>
      </c>
      <c r="F331" t="s">
        <v>193</v>
      </c>
      <c r="G331">
        <v>2.25</v>
      </c>
      <c r="H331" t="s">
        <v>284</v>
      </c>
      <c r="I331" s="26">
        <v>48964</v>
      </c>
      <c r="J331"/>
      <c r="K331">
        <v>0.51907700000000001</v>
      </c>
      <c r="L331">
        <v>2.0916990000000002</v>
      </c>
      <c r="M331" t="s">
        <v>1499</v>
      </c>
      <c r="N331" t="s">
        <v>285</v>
      </c>
      <c r="O331" t="s">
        <v>82</v>
      </c>
      <c r="P331">
        <v>2.9825430509999999</v>
      </c>
      <c r="Q331">
        <v>323.02062487400002</v>
      </c>
      <c r="R331">
        <v>2020</v>
      </c>
      <c r="S331"/>
      <c r="T331" t="s">
        <v>27</v>
      </c>
      <c r="U331" t="s">
        <v>20</v>
      </c>
      <c r="V331" t="s">
        <v>17</v>
      </c>
    </row>
    <row r="332" spans="1:22" x14ac:dyDescent="0.25">
      <c r="A332" t="s">
        <v>1498</v>
      </c>
      <c r="B332" t="s">
        <v>1396</v>
      </c>
      <c r="C332">
        <v>11700000</v>
      </c>
      <c r="D332">
        <v>9764012.6999999993</v>
      </c>
      <c r="E332">
        <v>11700000</v>
      </c>
      <c r="F332" t="s">
        <v>193</v>
      </c>
      <c r="G332">
        <v>5</v>
      </c>
      <c r="H332" t="s">
        <v>1397</v>
      </c>
      <c r="I332" s="26">
        <v>48964</v>
      </c>
      <c r="J332"/>
      <c r="K332">
        <v>1</v>
      </c>
      <c r="L332">
        <v>4.9995830000000003</v>
      </c>
      <c r="M332" t="s">
        <v>1499</v>
      </c>
      <c r="N332" t="s">
        <v>1396</v>
      </c>
      <c r="O332" t="s">
        <v>82</v>
      </c>
      <c r="P332">
        <v>5.0533222499999999</v>
      </c>
      <c r="Q332">
        <v>578.31378027000005</v>
      </c>
      <c r="R332">
        <v>2020</v>
      </c>
      <c r="S332"/>
      <c r="T332" t="s">
        <v>31</v>
      </c>
      <c r="U332" t="s">
        <v>24</v>
      </c>
      <c r="V332" t="s">
        <v>29</v>
      </c>
    </row>
    <row r="333" spans="1:22" x14ac:dyDescent="0.25">
      <c r="A333" t="s">
        <v>1498</v>
      </c>
      <c r="B333" t="s">
        <v>1398</v>
      </c>
      <c r="C333">
        <v>4275000</v>
      </c>
      <c r="D333">
        <v>2695477.28</v>
      </c>
      <c r="E333">
        <v>2565000</v>
      </c>
      <c r="F333" t="s">
        <v>193</v>
      </c>
      <c r="G333">
        <v>0</v>
      </c>
      <c r="H333" t="s">
        <v>1399</v>
      </c>
      <c r="I333" s="26">
        <v>48964</v>
      </c>
      <c r="J333"/>
      <c r="K333">
        <v>1</v>
      </c>
      <c r="L333">
        <v>4.1053839999999999</v>
      </c>
      <c r="M333" t="s">
        <v>1499</v>
      </c>
      <c r="N333" t="s">
        <v>1398</v>
      </c>
      <c r="O333" t="s">
        <v>82</v>
      </c>
      <c r="P333">
        <v>5.0533222499999999</v>
      </c>
      <c r="Q333">
        <v>583.779034153</v>
      </c>
      <c r="R333">
        <v>2020</v>
      </c>
      <c r="S333"/>
      <c r="T333" t="s">
        <v>31</v>
      </c>
      <c r="U333" t="s">
        <v>24</v>
      </c>
      <c r="V333" t="s">
        <v>17</v>
      </c>
    </row>
    <row r="334" spans="1:22" x14ac:dyDescent="0.25">
      <c r="A334" t="s">
        <v>1498</v>
      </c>
      <c r="B334" t="s">
        <v>1398</v>
      </c>
      <c r="C334">
        <v>4275000</v>
      </c>
      <c r="D334">
        <v>2695477.28</v>
      </c>
      <c r="E334">
        <v>2565000</v>
      </c>
      <c r="F334" t="s">
        <v>193</v>
      </c>
      <c r="G334">
        <v>0</v>
      </c>
      <c r="H334" t="s">
        <v>1399</v>
      </c>
      <c r="I334" s="26">
        <v>48964</v>
      </c>
      <c r="J334"/>
      <c r="K334">
        <v>1</v>
      </c>
      <c r="L334">
        <v>4.1053839999999999</v>
      </c>
      <c r="M334" t="s">
        <v>1499</v>
      </c>
      <c r="N334" t="s">
        <v>1398</v>
      </c>
      <c r="O334" t="s">
        <v>82</v>
      </c>
      <c r="P334">
        <v>5.0533222499999999</v>
      </c>
      <c r="Q334">
        <v>583.779034153</v>
      </c>
      <c r="R334">
        <v>2020</v>
      </c>
      <c r="S334"/>
      <c r="T334" t="s">
        <v>31</v>
      </c>
      <c r="U334" t="s">
        <v>24</v>
      </c>
      <c r="V334" t="s">
        <v>17</v>
      </c>
    </row>
    <row r="335" spans="1:22" x14ac:dyDescent="0.25">
      <c r="A335" t="s">
        <v>1498</v>
      </c>
      <c r="B335" t="s">
        <v>289</v>
      </c>
      <c r="C335">
        <v>12407218.617884001</v>
      </c>
      <c r="D335">
        <v>11953982.92</v>
      </c>
      <c r="E335">
        <v>12407218.630000001</v>
      </c>
      <c r="F335" t="s">
        <v>612</v>
      </c>
      <c r="G335">
        <v>2.25</v>
      </c>
      <c r="H335" t="s">
        <v>288</v>
      </c>
      <c r="I335" s="26">
        <v>49049</v>
      </c>
      <c r="J335"/>
      <c r="K335">
        <v>0.258936</v>
      </c>
      <c r="L335">
        <v>2.336767</v>
      </c>
      <c r="M335" t="s">
        <v>1499</v>
      </c>
      <c r="N335" t="s">
        <v>289</v>
      </c>
      <c r="O335" t="s">
        <v>82</v>
      </c>
      <c r="P335">
        <v>0.93416698399999998</v>
      </c>
      <c r="Q335">
        <v>270.60898652700001</v>
      </c>
      <c r="R335">
        <v>2021</v>
      </c>
      <c r="S335"/>
      <c r="T335" t="s">
        <v>27</v>
      </c>
      <c r="U335" t="s">
        <v>16</v>
      </c>
      <c r="V335" t="s">
        <v>17</v>
      </c>
    </row>
    <row r="336" spans="1:22" x14ac:dyDescent="0.25">
      <c r="A336" t="s">
        <v>1498</v>
      </c>
      <c r="B336" t="s">
        <v>289</v>
      </c>
      <c r="C336">
        <v>2157909.5796159999</v>
      </c>
      <c r="D336">
        <v>2079081.14</v>
      </c>
      <c r="E336">
        <v>2028151.3</v>
      </c>
      <c r="F336" t="s">
        <v>612</v>
      </c>
      <c r="G336">
        <v>2.25</v>
      </c>
      <c r="H336" t="s">
        <v>288</v>
      </c>
      <c r="I336" s="26">
        <v>49049</v>
      </c>
      <c r="J336"/>
      <c r="K336">
        <v>0.258936</v>
      </c>
      <c r="L336">
        <v>2.336767</v>
      </c>
      <c r="M336" t="s">
        <v>1499</v>
      </c>
      <c r="N336" t="s">
        <v>289</v>
      </c>
      <c r="O336" t="s">
        <v>82</v>
      </c>
      <c r="P336">
        <v>0.93416698399999998</v>
      </c>
      <c r="Q336">
        <v>270.60898652700001</v>
      </c>
      <c r="R336">
        <v>2021</v>
      </c>
      <c r="S336"/>
      <c r="T336" t="s">
        <v>27</v>
      </c>
      <c r="U336" t="s">
        <v>16</v>
      </c>
      <c r="V336" t="s">
        <v>17</v>
      </c>
    </row>
    <row r="337" spans="1:22" x14ac:dyDescent="0.25">
      <c r="A337" t="s">
        <v>1498</v>
      </c>
      <c r="B337" t="s">
        <v>1404</v>
      </c>
      <c r="C337">
        <v>21250000</v>
      </c>
      <c r="D337">
        <v>18537246.25</v>
      </c>
      <c r="E337">
        <v>21250000</v>
      </c>
      <c r="F337" t="s">
        <v>612</v>
      </c>
      <c r="G337">
        <v>5</v>
      </c>
      <c r="H337" t="s">
        <v>1405</v>
      </c>
      <c r="I337" s="26">
        <v>49049</v>
      </c>
      <c r="J337"/>
      <c r="K337">
        <v>1</v>
      </c>
      <c r="L337">
        <v>4.9994300000000003</v>
      </c>
      <c r="M337" t="s">
        <v>1499</v>
      </c>
      <c r="N337" t="s">
        <v>1404</v>
      </c>
      <c r="O337" t="s">
        <v>82</v>
      </c>
      <c r="P337">
        <v>3.8763730999999999</v>
      </c>
      <c r="Q337">
        <v>550.491057361</v>
      </c>
      <c r="R337">
        <v>2021</v>
      </c>
      <c r="S337"/>
      <c r="T337" t="s">
        <v>31</v>
      </c>
      <c r="U337" t="s">
        <v>20</v>
      </c>
      <c r="V337" t="s">
        <v>29</v>
      </c>
    </row>
    <row r="338" spans="1:22" x14ac:dyDescent="0.25">
      <c r="A338" t="s">
        <v>1498</v>
      </c>
      <c r="B338" t="s">
        <v>311</v>
      </c>
      <c r="C338">
        <v>15852641.520529</v>
      </c>
      <c r="D338">
        <v>14773932.68</v>
      </c>
      <c r="E338">
        <v>15852641.52</v>
      </c>
      <c r="F338" t="s">
        <v>309</v>
      </c>
      <c r="G338">
        <v>4.1500000000000004</v>
      </c>
      <c r="H338" t="s">
        <v>310</v>
      </c>
      <c r="I338" s="26">
        <v>48959</v>
      </c>
      <c r="J338"/>
      <c r="K338">
        <v>0.48001899999999997</v>
      </c>
      <c r="L338">
        <v>4.149769</v>
      </c>
      <c r="M338" t="s">
        <v>1499</v>
      </c>
      <c r="N338" t="s">
        <v>311</v>
      </c>
      <c r="O338" t="s">
        <v>99</v>
      </c>
      <c r="P338">
        <v>2.0965508439999998</v>
      </c>
      <c r="Q338">
        <v>460.17720283800003</v>
      </c>
      <c r="R338">
        <v>2021</v>
      </c>
      <c r="S338"/>
      <c r="T338" t="s">
        <v>27</v>
      </c>
      <c r="U338" t="s">
        <v>20</v>
      </c>
      <c r="V338" t="s">
        <v>25</v>
      </c>
    </row>
    <row r="339" spans="1:22" x14ac:dyDescent="0.25">
      <c r="A339" t="s">
        <v>1498</v>
      </c>
      <c r="B339" t="s">
        <v>1420</v>
      </c>
      <c r="C339">
        <v>13300000</v>
      </c>
      <c r="D339">
        <v>11520659.5</v>
      </c>
      <c r="E339">
        <v>13300000</v>
      </c>
      <c r="F339" t="s">
        <v>309</v>
      </c>
      <c r="G339">
        <v>8.5</v>
      </c>
      <c r="H339" t="s">
        <v>1421</v>
      </c>
      <c r="I339" s="26">
        <v>48959</v>
      </c>
      <c r="J339"/>
      <c r="K339">
        <v>1</v>
      </c>
      <c r="L339">
        <v>8.4987940000000002</v>
      </c>
      <c r="M339" t="s">
        <v>1499</v>
      </c>
      <c r="N339" t="s">
        <v>1420</v>
      </c>
      <c r="O339" t="s">
        <v>99</v>
      </c>
      <c r="P339">
        <v>4.5418052309999997</v>
      </c>
      <c r="Q339">
        <v>912.44497825799999</v>
      </c>
      <c r="R339">
        <v>2021</v>
      </c>
      <c r="S339"/>
      <c r="T339" t="s">
        <v>31</v>
      </c>
      <c r="U339" t="s">
        <v>24</v>
      </c>
      <c r="V339" t="s">
        <v>37</v>
      </c>
    </row>
    <row r="340" spans="1:22" x14ac:dyDescent="0.25">
      <c r="A340" t="s">
        <v>1498</v>
      </c>
      <c r="B340" t="s">
        <v>343</v>
      </c>
      <c r="C340">
        <v>17308933.477712002</v>
      </c>
      <c r="D340">
        <v>16787190.300000001</v>
      </c>
      <c r="E340">
        <v>17308933.48</v>
      </c>
      <c r="F340" t="s">
        <v>341</v>
      </c>
      <c r="G340">
        <v>4.5</v>
      </c>
      <c r="H340" t="s">
        <v>342</v>
      </c>
      <c r="I340" s="26">
        <v>48959</v>
      </c>
      <c r="J340"/>
      <c r="K340">
        <v>0.39962900000000001</v>
      </c>
      <c r="L340">
        <v>4.4978720000000001</v>
      </c>
      <c r="M340" t="s">
        <v>1499</v>
      </c>
      <c r="N340" t="s">
        <v>343</v>
      </c>
      <c r="O340" t="s">
        <v>114</v>
      </c>
      <c r="P340">
        <v>1.172408734</v>
      </c>
      <c r="Q340">
        <v>380.14373432100001</v>
      </c>
      <c r="R340">
        <v>2020</v>
      </c>
      <c r="S340"/>
      <c r="T340" t="s">
        <v>27</v>
      </c>
      <c r="U340" t="s">
        <v>16</v>
      </c>
      <c r="V340" t="s">
        <v>25</v>
      </c>
    </row>
    <row r="341" spans="1:22" x14ac:dyDescent="0.25">
      <c r="A341" t="s">
        <v>1498</v>
      </c>
      <c r="B341" t="s">
        <v>1436</v>
      </c>
      <c r="C341">
        <v>18900000</v>
      </c>
      <c r="D341">
        <v>17999755.199999999</v>
      </c>
      <c r="E341">
        <v>18900000</v>
      </c>
      <c r="F341" t="s">
        <v>341</v>
      </c>
      <c r="G341">
        <v>8.5</v>
      </c>
      <c r="H341" t="s">
        <v>1437</v>
      </c>
      <c r="I341" s="26">
        <v>48959</v>
      </c>
      <c r="J341"/>
      <c r="K341">
        <v>1</v>
      </c>
      <c r="L341">
        <v>8.4906930000000003</v>
      </c>
      <c r="M341" t="s">
        <v>1499</v>
      </c>
      <c r="N341" t="s">
        <v>1436</v>
      </c>
      <c r="O341" t="s">
        <v>114</v>
      </c>
      <c r="P341">
        <v>1.623314245</v>
      </c>
      <c r="Q341">
        <v>837.452161133</v>
      </c>
      <c r="R341">
        <v>2020</v>
      </c>
      <c r="S341"/>
      <c r="T341" t="s">
        <v>31</v>
      </c>
      <c r="U341" t="s">
        <v>16</v>
      </c>
      <c r="V341" t="s">
        <v>37</v>
      </c>
    </row>
    <row r="342" spans="1:22" x14ac:dyDescent="0.25">
      <c r="A342" t="s">
        <v>1498</v>
      </c>
      <c r="B342" t="s">
        <v>345</v>
      </c>
      <c r="C342">
        <v>7429565.744434</v>
      </c>
      <c r="D342">
        <v>7338783.8799999999</v>
      </c>
      <c r="E342">
        <v>7410991.8300000001</v>
      </c>
      <c r="F342" t="s">
        <v>341</v>
      </c>
      <c r="G342">
        <v>4.5</v>
      </c>
      <c r="H342" t="s">
        <v>344</v>
      </c>
      <c r="I342" s="26">
        <v>48775</v>
      </c>
      <c r="J342"/>
      <c r="K342">
        <v>0.13155900000000001</v>
      </c>
      <c r="L342">
        <v>4.5365200000000003</v>
      </c>
      <c r="M342" t="s">
        <v>1499</v>
      </c>
      <c r="N342" t="s">
        <v>345</v>
      </c>
      <c r="O342" t="s">
        <v>124</v>
      </c>
      <c r="P342">
        <v>0.38137399</v>
      </c>
      <c r="Q342">
        <v>487.78703912999998</v>
      </c>
      <c r="R342">
        <v>2021</v>
      </c>
      <c r="S342"/>
      <c r="T342" t="s">
        <v>27</v>
      </c>
      <c r="U342" t="s">
        <v>16</v>
      </c>
      <c r="V342" t="s">
        <v>25</v>
      </c>
    </row>
    <row r="343" spans="1:22" x14ac:dyDescent="0.25">
      <c r="A343" t="s">
        <v>1498</v>
      </c>
      <c r="B343" t="s">
        <v>1440</v>
      </c>
      <c r="C343">
        <v>16008109</v>
      </c>
      <c r="D343">
        <v>15522983.25</v>
      </c>
      <c r="E343">
        <v>15968088.73</v>
      </c>
      <c r="F343" t="s">
        <v>341</v>
      </c>
      <c r="G343">
        <v>8.5</v>
      </c>
      <c r="H343" t="s">
        <v>1441</v>
      </c>
      <c r="I343" s="26">
        <v>48775</v>
      </c>
      <c r="J343"/>
      <c r="K343">
        <v>1</v>
      </c>
      <c r="L343">
        <v>8.5325009999999999</v>
      </c>
      <c r="M343" t="s">
        <v>1499</v>
      </c>
      <c r="N343" t="s">
        <v>1440</v>
      </c>
      <c r="O343" t="s">
        <v>124</v>
      </c>
      <c r="P343">
        <v>1.248734096</v>
      </c>
      <c r="Q343">
        <v>776.41223325399994</v>
      </c>
      <c r="R343">
        <v>2021</v>
      </c>
      <c r="S343"/>
      <c r="T343" t="s">
        <v>31</v>
      </c>
      <c r="U343" t="s">
        <v>16</v>
      </c>
      <c r="V343" t="s">
        <v>37</v>
      </c>
    </row>
    <row r="344" spans="1:22" x14ac:dyDescent="0.25">
      <c r="A344" t="s">
        <v>1498</v>
      </c>
      <c r="B344" t="s">
        <v>347</v>
      </c>
      <c r="C344">
        <v>4724897.74902</v>
      </c>
      <c r="D344">
        <v>4684400.6500000004</v>
      </c>
      <c r="E344">
        <v>4724897.75</v>
      </c>
      <c r="F344" t="s">
        <v>341</v>
      </c>
      <c r="G344">
        <v>4.5</v>
      </c>
      <c r="H344" t="s">
        <v>346</v>
      </c>
      <c r="I344" s="26">
        <v>49140</v>
      </c>
      <c r="J344"/>
      <c r="K344">
        <v>8.4676000000000001E-2</v>
      </c>
      <c r="L344">
        <v>4.4993619999999996</v>
      </c>
      <c r="M344" t="s">
        <v>1499</v>
      </c>
      <c r="N344" t="s">
        <v>347</v>
      </c>
      <c r="O344" t="s">
        <v>114</v>
      </c>
      <c r="P344">
        <v>0.29289841999999999</v>
      </c>
      <c r="Q344">
        <v>455.54443935900002</v>
      </c>
      <c r="R344">
        <v>2021</v>
      </c>
      <c r="S344"/>
      <c r="T344" t="s">
        <v>27</v>
      </c>
      <c r="U344" t="s">
        <v>16</v>
      </c>
      <c r="V344" t="s">
        <v>25</v>
      </c>
    </row>
    <row r="345" spans="1:22" x14ac:dyDescent="0.25">
      <c r="A345" t="s">
        <v>1498</v>
      </c>
      <c r="B345" t="s">
        <v>1438</v>
      </c>
      <c r="C345">
        <v>7000000</v>
      </c>
      <c r="D345">
        <v>6833918</v>
      </c>
      <c r="E345">
        <v>7000000</v>
      </c>
      <c r="F345" t="s">
        <v>341</v>
      </c>
      <c r="G345">
        <v>8.5</v>
      </c>
      <c r="H345" t="s">
        <v>1439</v>
      </c>
      <c r="I345" s="26">
        <v>49140</v>
      </c>
      <c r="J345"/>
      <c r="K345">
        <v>1</v>
      </c>
      <c r="L345">
        <v>8.4971969999999999</v>
      </c>
      <c r="M345" t="s">
        <v>1499</v>
      </c>
      <c r="N345" t="s">
        <v>1438</v>
      </c>
      <c r="O345" t="s">
        <v>114</v>
      </c>
      <c r="P345">
        <v>1.0687953699999999</v>
      </c>
      <c r="Q345">
        <v>742.22961858999997</v>
      </c>
      <c r="R345">
        <v>2021</v>
      </c>
      <c r="S345"/>
      <c r="T345" t="s">
        <v>31</v>
      </c>
      <c r="U345" t="s">
        <v>16</v>
      </c>
      <c r="V345" t="s">
        <v>37</v>
      </c>
    </row>
    <row r="346" spans="1:22" x14ac:dyDescent="0.25">
      <c r="A346" t="s">
        <v>1498</v>
      </c>
      <c r="B346" t="s">
        <v>1383</v>
      </c>
      <c r="C346">
        <v>12310574.531396</v>
      </c>
      <c r="D346">
        <v>11478379.689999999</v>
      </c>
      <c r="E346">
        <v>8972992.7200000007</v>
      </c>
      <c r="F346" t="s">
        <v>188</v>
      </c>
      <c r="G346">
        <v>8.0791599999999999</v>
      </c>
      <c r="H346" t="s">
        <v>1384</v>
      </c>
      <c r="I346" s="26">
        <v>48959</v>
      </c>
      <c r="J346">
        <v>376.161</v>
      </c>
      <c r="K346">
        <v>0.86858100000000005</v>
      </c>
      <c r="L346">
        <v>12.532021</v>
      </c>
      <c r="M346" t="s">
        <v>1499</v>
      </c>
      <c r="N346" t="s">
        <v>1383</v>
      </c>
      <c r="O346" t="s">
        <v>160</v>
      </c>
      <c r="P346">
        <v>3.5174538740000001</v>
      </c>
      <c r="Q346">
        <v>601.80479621100005</v>
      </c>
      <c r="R346">
        <v>2021</v>
      </c>
      <c r="S346"/>
      <c r="T346" t="s">
        <v>31</v>
      </c>
      <c r="U346" t="s">
        <v>20</v>
      </c>
      <c r="V346" t="s">
        <v>37</v>
      </c>
    </row>
    <row r="347" spans="1:22" x14ac:dyDescent="0.25">
      <c r="A347" t="s">
        <v>1498</v>
      </c>
      <c r="B347" t="s">
        <v>391</v>
      </c>
      <c r="C347">
        <v>16972885.288345002</v>
      </c>
      <c r="D347">
        <v>16337590.189999999</v>
      </c>
      <c r="E347">
        <v>16972885.280000001</v>
      </c>
      <c r="F347" t="s">
        <v>188</v>
      </c>
      <c r="G347">
        <v>12.57916</v>
      </c>
      <c r="H347" t="s">
        <v>189</v>
      </c>
      <c r="I347" s="26">
        <v>48959</v>
      </c>
      <c r="J347">
        <v>826.16099999999994</v>
      </c>
      <c r="K347">
        <v>1.176337</v>
      </c>
      <c r="L347">
        <v>12.771756</v>
      </c>
      <c r="M347" t="s">
        <v>1499</v>
      </c>
      <c r="N347" t="s">
        <v>391</v>
      </c>
      <c r="O347" t="s">
        <v>160</v>
      </c>
      <c r="P347">
        <v>5.3475149870000003</v>
      </c>
      <c r="Q347">
        <v>917.90243091599996</v>
      </c>
      <c r="R347">
        <v>2021</v>
      </c>
      <c r="S347"/>
      <c r="T347" t="s">
        <v>35</v>
      </c>
      <c r="U347" t="s">
        <v>24</v>
      </c>
      <c r="V347" t="s">
        <v>37</v>
      </c>
    </row>
    <row r="348" spans="1:22" x14ac:dyDescent="0.25">
      <c r="A348" t="s">
        <v>1488</v>
      </c>
      <c r="B348" t="s">
        <v>1143</v>
      </c>
      <c r="C348">
        <v>9000000</v>
      </c>
      <c r="D348">
        <v>9090027</v>
      </c>
      <c r="E348">
        <v>9060750</v>
      </c>
      <c r="F348" t="s">
        <v>586</v>
      </c>
      <c r="G348">
        <v>7.3684599999999998</v>
      </c>
      <c r="H348" t="s">
        <v>1144</v>
      </c>
      <c r="I348" s="26">
        <v>50338</v>
      </c>
      <c r="J348">
        <v>305</v>
      </c>
      <c r="K348">
        <v>1</v>
      </c>
      <c r="L348">
        <v>7.248481</v>
      </c>
      <c r="M348" t="s">
        <v>1489</v>
      </c>
      <c r="N348" t="s">
        <v>1143</v>
      </c>
      <c r="O348" t="s">
        <v>111</v>
      </c>
      <c r="P348">
        <v>9.0307088929999999</v>
      </c>
      <c r="Q348">
        <v>290.32525124900002</v>
      </c>
      <c r="R348">
        <v>2024</v>
      </c>
      <c r="S348"/>
      <c r="T348" t="s">
        <v>27</v>
      </c>
      <c r="U348" t="s">
        <v>32</v>
      </c>
      <c r="V348" t="s">
        <v>37</v>
      </c>
    </row>
    <row r="349" spans="1:22" x14ac:dyDescent="0.25">
      <c r="A349" t="s">
        <v>1488</v>
      </c>
      <c r="B349" t="s">
        <v>1125</v>
      </c>
      <c r="C349">
        <v>4000000</v>
      </c>
      <c r="D349">
        <v>3999852</v>
      </c>
      <c r="E349">
        <v>4000000</v>
      </c>
      <c r="F349" t="s">
        <v>586</v>
      </c>
      <c r="G349">
        <v>7.7319899999999997</v>
      </c>
      <c r="H349" t="s">
        <v>1126</v>
      </c>
      <c r="I349" s="26">
        <v>50243</v>
      </c>
      <c r="J349">
        <v>340</v>
      </c>
      <c r="K349">
        <v>1</v>
      </c>
      <c r="L349">
        <v>7.7308630000000003</v>
      </c>
      <c r="M349" t="s">
        <v>1489</v>
      </c>
      <c r="N349" t="s">
        <v>1125</v>
      </c>
      <c r="O349" t="s">
        <v>111</v>
      </c>
      <c r="P349">
        <v>9.0513523520000003</v>
      </c>
      <c r="Q349">
        <v>339.91588140300001</v>
      </c>
      <c r="R349">
        <v>2024</v>
      </c>
      <c r="S349"/>
      <c r="T349" t="s">
        <v>27</v>
      </c>
      <c r="U349" t="s">
        <v>32</v>
      </c>
      <c r="V349" t="s">
        <v>37</v>
      </c>
    </row>
    <row r="350" spans="1:22" x14ac:dyDescent="0.25">
      <c r="A350" t="s">
        <v>1488</v>
      </c>
      <c r="B350" t="s">
        <v>1147</v>
      </c>
      <c r="C350">
        <v>20000000</v>
      </c>
      <c r="D350">
        <v>20001000</v>
      </c>
      <c r="E350">
        <v>20000000</v>
      </c>
      <c r="F350" t="s">
        <v>586</v>
      </c>
      <c r="G350">
        <v>6.8694699999999997</v>
      </c>
      <c r="H350" t="s">
        <v>1148</v>
      </c>
      <c r="I350" s="26">
        <v>50518</v>
      </c>
      <c r="J350">
        <v>260</v>
      </c>
      <c r="K350">
        <v>1</v>
      </c>
      <c r="L350">
        <v>6.8607610000000001</v>
      </c>
      <c r="M350" t="s">
        <v>1489</v>
      </c>
      <c r="N350" t="s">
        <v>1147</v>
      </c>
      <c r="O350" t="s">
        <v>111</v>
      </c>
      <c r="P350">
        <v>9.3749059779999993</v>
      </c>
      <c r="Q350">
        <v>259.59933593</v>
      </c>
      <c r="R350">
        <v>2025</v>
      </c>
      <c r="S350"/>
      <c r="T350" t="s">
        <v>27</v>
      </c>
      <c r="U350" t="s">
        <v>32</v>
      </c>
      <c r="V350" t="s">
        <v>33</v>
      </c>
    </row>
    <row r="351" spans="1:22" x14ac:dyDescent="0.25">
      <c r="A351" t="s">
        <v>1488</v>
      </c>
      <c r="B351" t="s">
        <v>497</v>
      </c>
      <c r="C351">
        <v>7500000</v>
      </c>
      <c r="D351">
        <v>7569840</v>
      </c>
      <c r="E351">
        <v>7500000</v>
      </c>
      <c r="F351" t="s">
        <v>586</v>
      </c>
      <c r="G351">
        <v>6.4754899999999997</v>
      </c>
      <c r="H351" t="s">
        <v>496</v>
      </c>
      <c r="I351" s="26">
        <v>50607</v>
      </c>
      <c r="J351">
        <v>215</v>
      </c>
      <c r="K351">
        <v>1</v>
      </c>
      <c r="L351">
        <v>6.4747019999999997</v>
      </c>
      <c r="M351" t="s">
        <v>1489</v>
      </c>
      <c r="N351" t="s">
        <v>497</v>
      </c>
      <c r="O351" t="s">
        <v>111</v>
      </c>
      <c r="P351">
        <v>9.1379108119999994</v>
      </c>
      <c r="Q351">
        <v>201.96637148799999</v>
      </c>
      <c r="R351">
        <v>2025</v>
      </c>
      <c r="S351"/>
      <c r="T351" t="s">
        <v>23</v>
      </c>
      <c r="U351" t="s">
        <v>32</v>
      </c>
      <c r="V351" t="s">
        <v>33</v>
      </c>
    </row>
    <row r="352" spans="1:22" x14ac:dyDescent="0.25">
      <c r="A352" t="s">
        <v>1488</v>
      </c>
      <c r="B352" t="s">
        <v>499</v>
      </c>
      <c r="C352">
        <v>4800000</v>
      </c>
      <c r="D352">
        <v>4826380.8</v>
      </c>
      <c r="E352">
        <v>4800000</v>
      </c>
      <c r="F352" t="s">
        <v>586</v>
      </c>
      <c r="G352">
        <v>7.4754899999999997</v>
      </c>
      <c r="H352" t="s">
        <v>498</v>
      </c>
      <c r="I352" s="26">
        <v>50607</v>
      </c>
      <c r="J352">
        <v>315</v>
      </c>
      <c r="K352">
        <v>1</v>
      </c>
      <c r="L352">
        <v>7.4744400000000004</v>
      </c>
      <c r="M352" t="s">
        <v>1489</v>
      </c>
      <c r="N352" t="s">
        <v>499</v>
      </c>
      <c r="O352" t="s">
        <v>111</v>
      </c>
      <c r="P352">
        <v>9.6369096289999998</v>
      </c>
      <c r="Q352">
        <v>307.19499216299999</v>
      </c>
      <c r="R352">
        <v>2025</v>
      </c>
      <c r="S352"/>
      <c r="T352" t="s">
        <v>27</v>
      </c>
      <c r="U352" t="s">
        <v>32</v>
      </c>
      <c r="V352" t="s">
        <v>37</v>
      </c>
    </row>
    <row r="353" spans="1:22" x14ac:dyDescent="0.25">
      <c r="A353" t="s">
        <v>1488</v>
      </c>
      <c r="B353" t="s">
        <v>1139</v>
      </c>
      <c r="C353">
        <v>3145557</v>
      </c>
      <c r="D353">
        <v>3150517.54</v>
      </c>
      <c r="E353">
        <v>2930086.35</v>
      </c>
      <c r="F353" t="s">
        <v>586</v>
      </c>
      <c r="G353">
        <v>7.5254899999999996</v>
      </c>
      <c r="H353" t="s">
        <v>1140</v>
      </c>
      <c r="I353" s="26">
        <v>49420</v>
      </c>
      <c r="J353">
        <v>320</v>
      </c>
      <c r="K353">
        <v>1</v>
      </c>
      <c r="L353">
        <v>8.9295150000000003</v>
      </c>
      <c r="M353" t="s">
        <v>1489</v>
      </c>
      <c r="N353" t="s">
        <v>1139</v>
      </c>
      <c r="O353" t="s">
        <v>112</v>
      </c>
      <c r="P353">
        <v>6.578649038</v>
      </c>
      <c r="Q353">
        <v>316.87751121500003</v>
      </c>
      <c r="R353">
        <v>2022</v>
      </c>
      <c r="S353"/>
      <c r="T353" t="s">
        <v>27</v>
      </c>
      <c r="U353" t="s">
        <v>28</v>
      </c>
      <c r="V353" t="s">
        <v>37</v>
      </c>
    </row>
    <row r="354" spans="1:22" x14ac:dyDescent="0.25">
      <c r="A354" t="s">
        <v>1488</v>
      </c>
      <c r="B354" t="s">
        <v>671</v>
      </c>
      <c r="C354">
        <v>4000000</v>
      </c>
      <c r="D354">
        <v>4020812</v>
      </c>
      <c r="E354">
        <v>4000000</v>
      </c>
      <c r="F354" t="s">
        <v>586</v>
      </c>
      <c r="G354">
        <v>6.4290000000000003</v>
      </c>
      <c r="H354" t="s">
        <v>672</v>
      </c>
      <c r="I354" s="26">
        <v>50239</v>
      </c>
      <c r="J354">
        <v>210</v>
      </c>
      <c r="K354">
        <v>1</v>
      </c>
      <c r="L354">
        <v>6.4282110000000001</v>
      </c>
      <c r="M354" t="s">
        <v>1489</v>
      </c>
      <c r="N354" t="s">
        <v>671</v>
      </c>
      <c r="O354" t="s">
        <v>111</v>
      </c>
      <c r="P354">
        <v>8.28757375</v>
      </c>
      <c r="Q354">
        <v>202.090982962</v>
      </c>
      <c r="R354">
        <v>2024</v>
      </c>
      <c r="S354"/>
      <c r="T354" t="s">
        <v>23</v>
      </c>
      <c r="U354" t="s">
        <v>32</v>
      </c>
      <c r="V354" t="s">
        <v>33</v>
      </c>
    </row>
    <row r="355" spans="1:22" x14ac:dyDescent="0.25">
      <c r="A355" t="s">
        <v>1488</v>
      </c>
      <c r="B355" t="s">
        <v>1141</v>
      </c>
      <c r="C355">
        <v>4000000</v>
      </c>
      <c r="D355">
        <v>4015528</v>
      </c>
      <c r="E355">
        <v>4000000</v>
      </c>
      <c r="F355" t="s">
        <v>586</v>
      </c>
      <c r="G355">
        <v>7.4790000000000001</v>
      </c>
      <c r="H355" t="s">
        <v>1142</v>
      </c>
      <c r="I355" s="26">
        <v>50239</v>
      </c>
      <c r="J355">
        <v>315</v>
      </c>
      <c r="K355">
        <v>1</v>
      </c>
      <c r="L355">
        <v>7.477932</v>
      </c>
      <c r="M355" t="s">
        <v>1489</v>
      </c>
      <c r="N355" t="s">
        <v>1141</v>
      </c>
      <c r="O355" t="s">
        <v>111</v>
      </c>
      <c r="P355">
        <v>8.8546129269999998</v>
      </c>
      <c r="Q355">
        <v>309.081955585</v>
      </c>
      <c r="R355">
        <v>2024</v>
      </c>
      <c r="S355"/>
      <c r="T355" t="s">
        <v>27</v>
      </c>
      <c r="U355" t="s">
        <v>32</v>
      </c>
      <c r="V355" t="s">
        <v>37</v>
      </c>
    </row>
    <row r="356" spans="1:22" x14ac:dyDescent="0.25">
      <c r="A356" t="s">
        <v>1488</v>
      </c>
      <c r="B356" t="s">
        <v>1127</v>
      </c>
      <c r="C356">
        <v>6000000</v>
      </c>
      <c r="D356">
        <v>6021954</v>
      </c>
      <c r="E356">
        <v>6000000</v>
      </c>
      <c r="F356" t="s">
        <v>586</v>
      </c>
      <c r="G356">
        <v>7.4175500000000003</v>
      </c>
      <c r="H356" t="s">
        <v>1128</v>
      </c>
      <c r="I356" s="26">
        <v>48502</v>
      </c>
      <c r="J356">
        <v>310</v>
      </c>
      <c r="K356">
        <v>1</v>
      </c>
      <c r="L356">
        <v>7.5288940000000002</v>
      </c>
      <c r="M356" t="s">
        <v>1489</v>
      </c>
      <c r="N356" t="s">
        <v>1127</v>
      </c>
      <c r="O356" t="s">
        <v>112</v>
      </c>
      <c r="P356">
        <v>4.8816673740000001</v>
      </c>
      <c r="Q356">
        <v>301.12053889100002</v>
      </c>
      <c r="R356">
        <v>2022</v>
      </c>
      <c r="S356"/>
      <c r="T356" t="s">
        <v>27</v>
      </c>
      <c r="U356" t="s">
        <v>24</v>
      </c>
      <c r="V356" t="s">
        <v>37</v>
      </c>
    </row>
    <row r="357" spans="1:22" x14ac:dyDescent="0.25">
      <c r="A357" t="s">
        <v>1488</v>
      </c>
      <c r="B357" t="s">
        <v>1129</v>
      </c>
      <c r="C357">
        <v>1000000</v>
      </c>
      <c r="D357">
        <v>1003130</v>
      </c>
      <c r="E357">
        <v>1000000</v>
      </c>
      <c r="F357" t="s">
        <v>586</v>
      </c>
      <c r="G357">
        <v>7.5871000000000004</v>
      </c>
      <c r="H357" t="s">
        <v>1130</v>
      </c>
      <c r="I357" s="26">
        <v>48324</v>
      </c>
      <c r="J357">
        <v>326.161</v>
      </c>
      <c r="K357">
        <v>1</v>
      </c>
      <c r="L357">
        <v>7.5860519999999996</v>
      </c>
      <c r="M357" t="s">
        <v>1489</v>
      </c>
      <c r="N357" t="s">
        <v>1129</v>
      </c>
      <c r="O357" t="s">
        <v>112</v>
      </c>
      <c r="P357">
        <v>4.0759011259999998</v>
      </c>
      <c r="Q357">
        <v>317.20696102900001</v>
      </c>
      <c r="R357">
        <v>2021</v>
      </c>
      <c r="S357"/>
      <c r="T357" t="s">
        <v>27</v>
      </c>
      <c r="U357" t="s">
        <v>24</v>
      </c>
      <c r="V357" t="s">
        <v>37</v>
      </c>
    </row>
    <row r="358" spans="1:22" x14ac:dyDescent="0.25">
      <c r="A358" t="s">
        <v>1488</v>
      </c>
      <c r="B358" t="s">
        <v>1119</v>
      </c>
      <c r="C358">
        <v>10700000</v>
      </c>
      <c r="D358">
        <v>10732549.4</v>
      </c>
      <c r="E358">
        <v>10700000</v>
      </c>
      <c r="F358" t="s">
        <v>586</v>
      </c>
      <c r="G358">
        <v>7.2175500000000001</v>
      </c>
      <c r="H358" t="s">
        <v>1120</v>
      </c>
      <c r="I358" s="26">
        <v>50420</v>
      </c>
      <c r="J358">
        <v>290</v>
      </c>
      <c r="K358">
        <v>1</v>
      </c>
      <c r="L358">
        <v>7.2165609999999996</v>
      </c>
      <c r="M358" t="s">
        <v>1489</v>
      </c>
      <c r="N358" t="s">
        <v>1119</v>
      </c>
      <c r="O358" t="s">
        <v>111</v>
      </c>
      <c r="P358">
        <v>8.3703028600000007</v>
      </c>
      <c r="Q358">
        <v>285.19466826299998</v>
      </c>
      <c r="R358">
        <v>2025</v>
      </c>
      <c r="S358"/>
      <c r="T358" t="s">
        <v>27</v>
      </c>
      <c r="U358" t="s">
        <v>32</v>
      </c>
      <c r="V358" t="s">
        <v>37</v>
      </c>
    </row>
    <row r="359" spans="1:22" x14ac:dyDescent="0.25">
      <c r="A359" t="s">
        <v>1488</v>
      </c>
      <c r="B359" t="s">
        <v>1117</v>
      </c>
      <c r="C359">
        <v>11450000</v>
      </c>
      <c r="D359">
        <v>11478098.300000001</v>
      </c>
      <c r="E359">
        <v>11452942.65</v>
      </c>
      <c r="F359" t="s">
        <v>586</v>
      </c>
      <c r="G359">
        <v>7.8291599999999999</v>
      </c>
      <c r="H359" t="s">
        <v>1118</v>
      </c>
      <c r="I359" s="26">
        <v>48502</v>
      </c>
      <c r="J359">
        <v>351.161</v>
      </c>
      <c r="K359">
        <v>1</v>
      </c>
      <c r="L359">
        <v>7.9446839999999996</v>
      </c>
      <c r="M359" t="s">
        <v>1489</v>
      </c>
      <c r="N359" t="s">
        <v>1117</v>
      </c>
      <c r="O359" t="s">
        <v>112</v>
      </c>
      <c r="P359">
        <v>4.8130989199999998</v>
      </c>
      <c r="Q359">
        <v>344.99594603399999</v>
      </c>
      <c r="R359">
        <v>2021</v>
      </c>
      <c r="S359"/>
      <c r="T359" t="s">
        <v>27</v>
      </c>
      <c r="U359" t="s">
        <v>24</v>
      </c>
      <c r="V359" t="s">
        <v>37</v>
      </c>
    </row>
    <row r="360" spans="1:22" x14ac:dyDescent="0.25">
      <c r="A360" t="s">
        <v>1488</v>
      </c>
      <c r="B360" t="s">
        <v>669</v>
      </c>
      <c r="C360">
        <v>5700000</v>
      </c>
      <c r="D360">
        <v>5737431.9000000004</v>
      </c>
      <c r="E360">
        <v>5700000</v>
      </c>
      <c r="F360" t="s">
        <v>586</v>
      </c>
      <c r="G360">
        <v>6.3175499999999998</v>
      </c>
      <c r="H360" t="s">
        <v>670</v>
      </c>
      <c r="I360" s="26">
        <v>50420</v>
      </c>
      <c r="J360">
        <v>200</v>
      </c>
      <c r="K360">
        <v>1</v>
      </c>
      <c r="L360">
        <v>6.3167920000000004</v>
      </c>
      <c r="M360" t="s">
        <v>1489</v>
      </c>
      <c r="N360" t="s">
        <v>669</v>
      </c>
      <c r="O360" t="s">
        <v>111</v>
      </c>
      <c r="P360">
        <v>8.7623761210000009</v>
      </c>
      <c r="Q360">
        <v>190.51879334899999</v>
      </c>
      <c r="R360">
        <v>2024</v>
      </c>
      <c r="S360"/>
      <c r="T360" t="s">
        <v>23</v>
      </c>
      <c r="U360" t="s">
        <v>32</v>
      </c>
      <c r="V360" t="s">
        <v>33</v>
      </c>
    </row>
    <row r="361" spans="1:22" x14ac:dyDescent="0.25">
      <c r="A361" t="s">
        <v>1488</v>
      </c>
      <c r="B361" t="s">
        <v>1121</v>
      </c>
      <c r="C361">
        <v>11400000</v>
      </c>
      <c r="D361">
        <v>11457114</v>
      </c>
      <c r="E361">
        <v>11400000</v>
      </c>
      <c r="F361" t="s">
        <v>586</v>
      </c>
      <c r="G361">
        <v>7.26755</v>
      </c>
      <c r="H361" t="s">
        <v>1122</v>
      </c>
      <c r="I361" s="26">
        <v>50420</v>
      </c>
      <c r="J361">
        <v>295</v>
      </c>
      <c r="K361">
        <v>1</v>
      </c>
      <c r="L361">
        <v>7.2665470000000001</v>
      </c>
      <c r="M361" t="s">
        <v>1489</v>
      </c>
      <c r="N361" t="s">
        <v>1121</v>
      </c>
      <c r="O361" t="s">
        <v>111</v>
      </c>
      <c r="P361">
        <v>9.2316113739999999</v>
      </c>
      <c r="Q361">
        <v>287.70997070099997</v>
      </c>
      <c r="R361">
        <v>2024</v>
      </c>
      <c r="S361"/>
      <c r="T361" t="s">
        <v>27</v>
      </c>
      <c r="U361" t="s">
        <v>32</v>
      </c>
      <c r="V361" t="s">
        <v>37</v>
      </c>
    </row>
    <row r="362" spans="1:22" x14ac:dyDescent="0.25">
      <c r="A362" t="s">
        <v>1488</v>
      </c>
      <c r="B362" t="s">
        <v>585</v>
      </c>
      <c r="C362">
        <v>3200000</v>
      </c>
      <c r="D362">
        <v>3206012.8</v>
      </c>
      <c r="E362">
        <v>3203680</v>
      </c>
      <c r="F362" t="s">
        <v>586</v>
      </c>
      <c r="G362">
        <v>6.5915499999999998</v>
      </c>
      <c r="H362" t="s">
        <v>587</v>
      </c>
      <c r="I362" s="26">
        <v>47631</v>
      </c>
      <c r="J362">
        <v>226.161</v>
      </c>
      <c r="K362">
        <v>1</v>
      </c>
      <c r="L362">
        <v>6.7507070000000002</v>
      </c>
      <c r="M362" t="s">
        <v>1489</v>
      </c>
      <c r="N362" t="s">
        <v>585</v>
      </c>
      <c r="O362" t="s">
        <v>112</v>
      </c>
      <c r="P362">
        <v>2.9017850269999999</v>
      </c>
      <c r="Q362">
        <v>218.99394916599999</v>
      </c>
      <c r="R362">
        <v>2021</v>
      </c>
      <c r="S362"/>
      <c r="T362" t="s">
        <v>23</v>
      </c>
      <c r="U362" t="s">
        <v>20</v>
      </c>
      <c r="V362" t="s">
        <v>33</v>
      </c>
    </row>
    <row r="363" spans="1:22" x14ac:dyDescent="0.25">
      <c r="A363" t="s">
        <v>1488</v>
      </c>
      <c r="B363" t="s">
        <v>1135</v>
      </c>
      <c r="C363">
        <v>900000</v>
      </c>
      <c r="D363">
        <v>904151.7</v>
      </c>
      <c r="E363">
        <v>899163</v>
      </c>
      <c r="F363" t="s">
        <v>586</v>
      </c>
      <c r="G363">
        <v>7.6371000000000002</v>
      </c>
      <c r="H363" t="s">
        <v>1136</v>
      </c>
      <c r="I363" s="26">
        <v>49144</v>
      </c>
      <c r="J363">
        <v>331.161</v>
      </c>
      <c r="K363">
        <v>1</v>
      </c>
      <c r="L363">
        <v>7.6606740000000002</v>
      </c>
      <c r="M363" t="s">
        <v>1489</v>
      </c>
      <c r="N363" t="s">
        <v>1135</v>
      </c>
      <c r="O363" t="s">
        <v>112</v>
      </c>
      <c r="P363">
        <v>6.0841395240000002</v>
      </c>
      <c r="Q363">
        <v>321.766074102</v>
      </c>
      <c r="R363">
        <v>2021</v>
      </c>
      <c r="S363"/>
      <c r="T363" t="s">
        <v>27</v>
      </c>
      <c r="U363" t="s">
        <v>28</v>
      </c>
      <c r="V363" t="s">
        <v>37</v>
      </c>
    </row>
    <row r="364" spans="1:22" x14ac:dyDescent="0.25">
      <c r="A364" t="s">
        <v>1488</v>
      </c>
      <c r="B364" t="s">
        <v>1131</v>
      </c>
      <c r="C364">
        <v>7000000</v>
      </c>
      <c r="D364">
        <v>7017178</v>
      </c>
      <c r="E364">
        <v>7000000</v>
      </c>
      <c r="F364" t="s">
        <v>586</v>
      </c>
      <c r="G364">
        <v>7.4840099999999996</v>
      </c>
      <c r="H364" t="s">
        <v>1132</v>
      </c>
      <c r="I364" s="26">
        <v>49142</v>
      </c>
      <c r="J364">
        <v>316.161</v>
      </c>
      <c r="K364">
        <v>1</v>
      </c>
      <c r="L364">
        <v>7.5943290000000001</v>
      </c>
      <c r="M364" t="s">
        <v>1489</v>
      </c>
      <c r="N364" t="s">
        <v>1131</v>
      </c>
      <c r="O364" t="s">
        <v>112</v>
      </c>
      <c r="P364">
        <v>6.0538467149999997</v>
      </c>
      <c r="Q364">
        <v>311.08180850899998</v>
      </c>
      <c r="R364">
        <v>2021</v>
      </c>
      <c r="S364"/>
      <c r="T364" t="s">
        <v>27</v>
      </c>
      <c r="U364" t="s">
        <v>28</v>
      </c>
      <c r="V364" t="s">
        <v>37</v>
      </c>
    </row>
    <row r="365" spans="1:22" x14ac:dyDescent="0.25">
      <c r="A365" t="s">
        <v>1488</v>
      </c>
      <c r="B365" t="s">
        <v>1123</v>
      </c>
      <c r="C365">
        <v>2000000</v>
      </c>
      <c r="D365">
        <v>2019008</v>
      </c>
      <c r="E365">
        <v>2000000</v>
      </c>
      <c r="F365" t="s">
        <v>586</v>
      </c>
      <c r="G365">
        <v>7.5177699999999996</v>
      </c>
      <c r="H365" t="s">
        <v>1124</v>
      </c>
      <c r="I365" s="26">
        <v>50237</v>
      </c>
      <c r="J365">
        <v>320</v>
      </c>
      <c r="K365">
        <v>1</v>
      </c>
      <c r="L365">
        <v>7.5166940000000002</v>
      </c>
      <c r="M365" t="s">
        <v>1489</v>
      </c>
      <c r="N365" t="s">
        <v>1123</v>
      </c>
      <c r="O365" t="s">
        <v>111</v>
      </c>
      <c r="P365">
        <v>8.8334126289999997</v>
      </c>
      <c r="Q365">
        <v>305.70847486899999</v>
      </c>
      <c r="R365">
        <v>2024</v>
      </c>
      <c r="S365"/>
      <c r="T365" t="s">
        <v>27</v>
      </c>
      <c r="U365" t="s">
        <v>32</v>
      </c>
      <c r="V365" t="s">
        <v>37</v>
      </c>
    </row>
    <row r="366" spans="1:22" x14ac:dyDescent="0.25">
      <c r="A366" t="s">
        <v>1488</v>
      </c>
      <c r="B366" t="s">
        <v>1133</v>
      </c>
      <c r="C366">
        <v>7630000</v>
      </c>
      <c r="D366">
        <v>7664136.6200000001</v>
      </c>
      <c r="E366">
        <v>7641338.1799999997</v>
      </c>
      <c r="F366" t="s">
        <v>586</v>
      </c>
      <c r="G366">
        <v>7.5871000000000004</v>
      </c>
      <c r="H366" t="s">
        <v>1134</v>
      </c>
      <c r="I366" s="26">
        <v>48688</v>
      </c>
      <c r="J366">
        <v>326.161</v>
      </c>
      <c r="K366">
        <v>1</v>
      </c>
      <c r="L366">
        <v>7.6632730000000002</v>
      </c>
      <c r="M366" t="s">
        <v>1489</v>
      </c>
      <c r="N366" t="s">
        <v>1133</v>
      </c>
      <c r="O366" t="s">
        <v>112</v>
      </c>
      <c r="P366">
        <v>4.0119716089999997</v>
      </c>
      <c r="Q366">
        <v>313.15938441999998</v>
      </c>
      <c r="R366">
        <v>2021</v>
      </c>
      <c r="S366"/>
      <c r="T366" t="s">
        <v>27</v>
      </c>
      <c r="U366" t="s">
        <v>24</v>
      </c>
      <c r="V366" t="s">
        <v>37</v>
      </c>
    </row>
    <row r="367" spans="1:22" x14ac:dyDescent="0.25">
      <c r="A367" t="s">
        <v>1488</v>
      </c>
      <c r="B367" t="s">
        <v>1137</v>
      </c>
      <c r="C367">
        <v>3825000</v>
      </c>
      <c r="D367">
        <v>3812943.6</v>
      </c>
      <c r="E367">
        <v>3825000</v>
      </c>
      <c r="F367" t="s">
        <v>586</v>
      </c>
      <c r="G367">
        <v>7.7435999999999998</v>
      </c>
      <c r="H367" t="s">
        <v>1138</v>
      </c>
      <c r="I367" s="26">
        <v>49331</v>
      </c>
      <c r="J367">
        <v>341.161</v>
      </c>
      <c r="K367">
        <v>1</v>
      </c>
      <c r="L367">
        <v>7.7154959999999999</v>
      </c>
      <c r="M367" t="s">
        <v>1489</v>
      </c>
      <c r="N367" t="s">
        <v>1137</v>
      </c>
      <c r="O367" t="s">
        <v>112</v>
      </c>
      <c r="P367">
        <v>6.469160821</v>
      </c>
      <c r="Q367">
        <v>347.03383579400003</v>
      </c>
      <c r="R367">
        <v>2021</v>
      </c>
      <c r="S367"/>
      <c r="T367" t="s">
        <v>27</v>
      </c>
      <c r="U367" t="s">
        <v>28</v>
      </c>
      <c r="V367" t="s">
        <v>37</v>
      </c>
    </row>
    <row r="368" spans="1:22" x14ac:dyDescent="0.25">
      <c r="A368" t="s">
        <v>1488</v>
      </c>
      <c r="B368" t="s">
        <v>1137</v>
      </c>
      <c r="C368">
        <v>340000</v>
      </c>
      <c r="D368">
        <v>338928.32</v>
      </c>
      <c r="E368">
        <v>341735.36</v>
      </c>
      <c r="F368" t="s">
        <v>586</v>
      </c>
      <c r="G368">
        <v>7.7435999999999998</v>
      </c>
      <c r="H368" t="s">
        <v>1138</v>
      </c>
      <c r="I368" s="26">
        <v>49331</v>
      </c>
      <c r="J368">
        <v>341.161</v>
      </c>
      <c r="K368">
        <v>1</v>
      </c>
      <c r="L368">
        <v>7.7154959999999999</v>
      </c>
      <c r="M368" t="s">
        <v>1489</v>
      </c>
      <c r="N368" t="s">
        <v>1137</v>
      </c>
      <c r="O368" t="s">
        <v>112</v>
      </c>
      <c r="P368">
        <v>6.469160821</v>
      </c>
      <c r="Q368">
        <v>347.03383579400003</v>
      </c>
      <c r="R368">
        <v>2021</v>
      </c>
      <c r="S368"/>
      <c r="T368" t="s">
        <v>27</v>
      </c>
      <c r="U368" t="s">
        <v>28</v>
      </c>
      <c r="V368" t="s">
        <v>37</v>
      </c>
    </row>
    <row r="369" spans="1:22" x14ac:dyDescent="0.25">
      <c r="A369" t="s">
        <v>1488</v>
      </c>
      <c r="B369" t="s">
        <v>1137</v>
      </c>
      <c r="C369">
        <v>570000</v>
      </c>
      <c r="D369">
        <v>568203.36</v>
      </c>
      <c r="E369">
        <v>571925.57999999996</v>
      </c>
      <c r="F369" t="s">
        <v>586</v>
      </c>
      <c r="G369">
        <v>7.7435999999999998</v>
      </c>
      <c r="H369" t="s">
        <v>1138</v>
      </c>
      <c r="I369" s="26">
        <v>49331</v>
      </c>
      <c r="J369">
        <v>341.161</v>
      </c>
      <c r="K369">
        <v>1</v>
      </c>
      <c r="L369">
        <v>7.7154959999999999</v>
      </c>
      <c r="M369" t="s">
        <v>1489</v>
      </c>
      <c r="N369" t="s">
        <v>1137</v>
      </c>
      <c r="O369" t="s">
        <v>112</v>
      </c>
      <c r="P369">
        <v>6.469160821</v>
      </c>
      <c r="Q369">
        <v>347.03383579400003</v>
      </c>
      <c r="R369">
        <v>2021</v>
      </c>
      <c r="S369"/>
      <c r="T369" t="s">
        <v>27</v>
      </c>
      <c r="U369" t="s">
        <v>28</v>
      </c>
      <c r="V369" t="s">
        <v>37</v>
      </c>
    </row>
    <row r="370" spans="1:22" x14ac:dyDescent="0.25">
      <c r="A370" t="s">
        <v>1488</v>
      </c>
      <c r="B370" t="s">
        <v>1137</v>
      </c>
      <c r="C370">
        <v>880000</v>
      </c>
      <c r="D370">
        <v>877226.24</v>
      </c>
      <c r="E370">
        <v>883420</v>
      </c>
      <c r="F370" t="s">
        <v>586</v>
      </c>
      <c r="G370">
        <v>7.7435999999999998</v>
      </c>
      <c r="H370" t="s">
        <v>1138</v>
      </c>
      <c r="I370" s="26">
        <v>49331</v>
      </c>
      <c r="J370">
        <v>341.161</v>
      </c>
      <c r="K370">
        <v>1</v>
      </c>
      <c r="L370">
        <v>7.7154959999999999</v>
      </c>
      <c r="M370" t="s">
        <v>1489</v>
      </c>
      <c r="N370" t="s">
        <v>1137</v>
      </c>
      <c r="O370" t="s">
        <v>112</v>
      </c>
      <c r="P370">
        <v>6.469160821</v>
      </c>
      <c r="Q370">
        <v>347.03383579400003</v>
      </c>
      <c r="R370">
        <v>2021</v>
      </c>
      <c r="S370"/>
      <c r="T370" t="s">
        <v>27</v>
      </c>
      <c r="U370" t="s">
        <v>28</v>
      </c>
      <c r="V370" t="s">
        <v>37</v>
      </c>
    </row>
    <row r="371" spans="1:22" x14ac:dyDescent="0.25">
      <c r="A371" t="s">
        <v>1488</v>
      </c>
      <c r="B371" t="s">
        <v>675</v>
      </c>
      <c r="C371">
        <v>3000000</v>
      </c>
      <c r="D371">
        <v>3014085</v>
      </c>
      <c r="E371">
        <v>3000000</v>
      </c>
      <c r="F371" t="s">
        <v>586</v>
      </c>
      <c r="G371">
        <v>6.1254900000000001</v>
      </c>
      <c r="H371" t="s">
        <v>676</v>
      </c>
      <c r="I371" s="26">
        <v>50425</v>
      </c>
      <c r="J371">
        <v>180</v>
      </c>
      <c r="K371">
        <v>1</v>
      </c>
      <c r="L371">
        <v>6.1248040000000001</v>
      </c>
      <c r="M371" t="s">
        <v>1489</v>
      </c>
      <c r="N371" t="s">
        <v>675</v>
      </c>
      <c r="O371" t="s">
        <v>111</v>
      </c>
      <c r="P371">
        <v>8.6338724459999998</v>
      </c>
      <c r="Q371">
        <v>173.18261903999999</v>
      </c>
      <c r="R371">
        <v>2025</v>
      </c>
      <c r="S371"/>
      <c r="T371" t="s">
        <v>23</v>
      </c>
      <c r="U371" t="s">
        <v>32</v>
      </c>
      <c r="V371" t="s">
        <v>33</v>
      </c>
    </row>
    <row r="372" spans="1:22" x14ac:dyDescent="0.25">
      <c r="A372" t="s">
        <v>1488</v>
      </c>
      <c r="B372" t="s">
        <v>1145</v>
      </c>
      <c r="C372">
        <v>11800000</v>
      </c>
      <c r="D372">
        <v>11846244.199999999</v>
      </c>
      <c r="E372">
        <v>11800000</v>
      </c>
      <c r="F372" t="s">
        <v>586</v>
      </c>
      <c r="G372">
        <v>7.0254899999999996</v>
      </c>
      <c r="H372" t="s">
        <v>1146</v>
      </c>
      <c r="I372" s="26">
        <v>50425</v>
      </c>
      <c r="J372">
        <v>270</v>
      </c>
      <c r="K372">
        <v>1</v>
      </c>
      <c r="L372">
        <v>7.0245879999999996</v>
      </c>
      <c r="M372" t="s">
        <v>1489</v>
      </c>
      <c r="N372" t="s">
        <v>1145</v>
      </c>
      <c r="O372" t="s">
        <v>111</v>
      </c>
      <c r="P372">
        <v>9.1776957479999997</v>
      </c>
      <c r="Q372">
        <v>264.31799430299998</v>
      </c>
      <c r="R372">
        <v>2025</v>
      </c>
      <c r="S372"/>
      <c r="T372" t="s">
        <v>27</v>
      </c>
      <c r="U372" t="s">
        <v>32</v>
      </c>
      <c r="V372" t="s">
        <v>37</v>
      </c>
    </row>
    <row r="373" spans="1:22" x14ac:dyDescent="0.25">
      <c r="A373" t="s">
        <v>1488</v>
      </c>
      <c r="B373" t="s">
        <v>1110</v>
      </c>
      <c r="C373">
        <v>1000000</v>
      </c>
      <c r="D373">
        <v>1006105</v>
      </c>
      <c r="E373">
        <v>1000550</v>
      </c>
      <c r="F373" t="s">
        <v>339</v>
      </c>
      <c r="G373">
        <v>7.6300699999999999</v>
      </c>
      <c r="H373" t="s">
        <v>1111</v>
      </c>
      <c r="I373" s="26">
        <v>49334</v>
      </c>
      <c r="J373">
        <v>331.161</v>
      </c>
      <c r="K373">
        <v>1</v>
      </c>
      <c r="L373">
        <v>7.623024</v>
      </c>
      <c r="M373" t="s">
        <v>1489</v>
      </c>
      <c r="N373" t="s">
        <v>1110</v>
      </c>
      <c r="O373" t="s">
        <v>113</v>
      </c>
      <c r="P373">
        <v>6.4531112080000002</v>
      </c>
      <c r="Q373">
        <v>319.33662651600002</v>
      </c>
      <c r="R373">
        <v>2021</v>
      </c>
      <c r="S373"/>
      <c r="T373" t="s">
        <v>27</v>
      </c>
      <c r="U373" t="s">
        <v>28</v>
      </c>
      <c r="V373" t="s">
        <v>37</v>
      </c>
    </row>
    <row r="374" spans="1:22" x14ac:dyDescent="0.25">
      <c r="A374" t="s">
        <v>1488</v>
      </c>
      <c r="B374" t="s">
        <v>1112</v>
      </c>
      <c r="C374">
        <v>275000</v>
      </c>
      <c r="D374">
        <v>276127.78000000003</v>
      </c>
      <c r="E374">
        <v>255750</v>
      </c>
      <c r="F374" t="s">
        <v>339</v>
      </c>
      <c r="G374">
        <v>7.3675499999999996</v>
      </c>
      <c r="H374" t="s">
        <v>1113</v>
      </c>
      <c r="I374" s="26">
        <v>49414</v>
      </c>
      <c r="J374">
        <v>305</v>
      </c>
      <c r="K374">
        <v>1</v>
      </c>
      <c r="L374">
        <v>7.51607</v>
      </c>
      <c r="M374" t="s">
        <v>1489</v>
      </c>
      <c r="N374" t="s">
        <v>1112</v>
      </c>
      <c r="O374" t="s">
        <v>113</v>
      </c>
      <c r="P374">
        <v>6.3546943980000004</v>
      </c>
      <c r="Q374">
        <v>296.96483753699999</v>
      </c>
      <c r="R374">
        <v>2022</v>
      </c>
      <c r="S374"/>
      <c r="T374" t="s">
        <v>27</v>
      </c>
      <c r="U374" t="s">
        <v>28</v>
      </c>
      <c r="V374" t="s">
        <v>37</v>
      </c>
    </row>
    <row r="375" spans="1:22" x14ac:dyDescent="0.25">
      <c r="A375" t="s">
        <v>1488</v>
      </c>
      <c r="B375" t="s">
        <v>1112</v>
      </c>
      <c r="C375">
        <v>3500000</v>
      </c>
      <c r="D375">
        <v>3514353.5</v>
      </c>
      <c r="E375">
        <v>3500000</v>
      </c>
      <c r="F375" t="s">
        <v>339</v>
      </c>
      <c r="G375">
        <v>7.3675499999999996</v>
      </c>
      <c r="H375" t="s">
        <v>1113</v>
      </c>
      <c r="I375" s="26">
        <v>49414</v>
      </c>
      <c r="J375">
        <v>305</v>
      </c>
      <c r="K375">
        <v>1</v>
      </c>
      <c r="L375">
        <v>7.51607</v>
      </c>
      <c r="M375" t="s">
        <v>1489</v>
      </c>
      <c r="N375" t="s">
        <v>1112</v>
      </c>
      <c r="O375" t="s">
        <v>113</v>
      </c>
      <c r="P375">
        <v>6.3546943980000004</v>
      </c>
      <c r="Q375">
        <v>296.96483753699999</v>
      </c>
      <c r="R375">
        <v>2022</v>
      </c>
      <c r="S375"/>
      <c r="T375" t="s">
        <v>27</v>
      </c>
      <c r="U375" t="s">
        <v>28</v>
      </c>
      <c r="V375" t="s">
        <v>37</v>
      </c>
    </row>
    <row r="376" spans="1:22" x14ac:dyDescent="0.25">
      <c r="A376" t="s">
        <v>1488</v>
      </c>
      <c r="B376" t="s">
        <v>677</v>
      </c>
      <c r="C376">
        <v>23466730</v>
      </c>
      <c r="D376">
        <v>23531592.039999999</v>
      </c>
      <c r="E376">
        <v>23466730</v>
      </c>
      <c r="F376" t="s">
        <v>341</v>
      </c>
      <c r="G376">
        <v>7.6791600000000004</v>
      </c>
      <c r="H376" t="s">
        <v>678</v>
      </c>
      <c r="I376" s="26">
        <v>48775</v>
      </c>
      <c r="J376">
        <v>336.161</v>
      </c>
      <c r="K376">
        <v>1</v>
      </c>
      <c r="L376">
        <v>7.792478</v>
      </c>
      <c r="M376" t="s">
        <v>1489</v>
      </c>
      <c r="N376" t="s">
        <v>677</v>
      </c>
      <c r="O376" t="s">
        <v>124</v>
      </c>
      <c r="P376">
        <v>2.6334108020000002</v>
      </c>
      <c r="Q376">
        <v>324.58436588000001</v>
      </c>
      <c r="R376">
        <v>2021</v>
      </c>
      <c r="S376"/>
      <c r="T376" t="s">
        <v>23</v>
      </c>
      <c r="U376" t="s">
        <v>20</v>
      </c>
      <c r="V376" t="s">
        <v>37</v>
      </c>
    </row>
    <row r="377" spans="1:22" x14ac:dyDescent="0.25">
      <c r="A377" t="s">
        <v>1488</v>
      </c>
      <c r="B377" t="s">
        <v>680</v>
      </c>
      <c r="C377">
        <v>16000000</v>
      </c>
      <c r="D377">
        <v>15853520</v>
      </c>
      <c r="E377">
        <v>16000000</v>
      </c>
      <c r="F377" t="s">
        <v>341</v>
      </c>
      <c r="G377">
        <v>6.76755</v>
      </c>
      <c r="H377" t="s">
        <v>681</v>
      </c>
      <c r="I377" s="26">
        <v>49963</v>
      </c>
      <c r="J377">
        <v>245</v>
      </c>
      <c r="K377">
        <v>1</v>
      </c>
      <c r="L377">
        <v>6.7666769999999996</v>
      </c>
      <c r="M377" t="s">
        <v>1489</v>
      </c>
      <c r="N377" t="s">
        <v>680</v>
      </c>
      <c r="O377" t="s">
        <v>124</v>
      </c>
      <c r="P377">
        <v>7.1282724100000001</v>
      </c>
      <c r="Q377">
        <v>260.66371138599999</v>
      </c>
      <c r="R377">
        <v>2024</v>
      </c>
      <c r="S377"/>
      <c r="T377" t="s">
        <v>23</v>
      </c>
      <c r="U377" t="s">
        <v>28</v>
      </c>
      <c r="V377" t="s">
        <v>33</v>
      </c>
    </row>
    <row r="378" spans="1:22" x14ac:dyDescent="0.25">
      <c r="A378" t="s">
        <v>1488</v>
      </c>
      <c r="B378" t="s">
        <v>1159</v>
      </c>
      <c r="C378">
        <v>12000000</v>
      </c>
      <c r="D378">
        <v>12220788</v>
      </c>
      <c r="E378">
        <v>11940000</v>
      </c>
      <c r="F378" t="s">
        <v>341</v>
      </c>
      <c r="G378">
        <v>9.1275499999999994</v>
      </c>
      <c r="H378" t="s">
        <v>1160</v>
      </c>
      <c r="I378" s="26">
        <v>49963</v>
      </c>
      <c r="J378">
        <v>481</v>
      </c>
      <c r="K378">
        <v>1</v>
      </c>
      <c r="L378">
        <v>9.2273929999999993</v>
      </c>
      <c r="M378" t="s">
        <v>1489</v>
      </c>
      <c r="N378" t="s">
        <v>1159</v>
      </c>
      <c r="O378" t="s">
        <v>124</v>
      </c>
      <c r="P378">
        <v>7.5585808649999997</v>
      </c>
      <c r="Q378">
        <v>448.39231420099998</v>
      </c>
      <c r="R378">
        <v>2024</v>
      </c>
      <c r="S378"/>
      <c r="T378" t="s">
        <v>27</v>
      </c>
      <c r="U378" t="s">
        <v>28</v>
      </c>
      <c r="V378" t="s">
        <v>37</v>
      </c>
    </row>
    <row r="379" spans="1:22" x14ac:dyDescent="0.25">
      <c r="A379" t="s">
        <v>1488</v>
      </c>
      <c r="B379" t="s">
        <v>1157</v>
      </c>
      <c r="C379">
        <v>1546632</v>
      </c>
      <c r="D379">
        <v>1551015.16</v>
      </c>
      <c r="E379">
        <v>1546632</v>
      </c>
      <c r="F379" t="s">
        <v>1155</v>
      </c>
      <c r="G379">
        <v>7.8806000000000003</v>
      </c>
      <c r="H379" t="s">
        <v>1158</v>
      </c>
      <c r="I379" s="26">
        <v>49057</v>
      </c>
      <c r="J379">
        <v>356.161</v>
      </c>
      <c r="K379">
        <v>1</v>
      </c>
      <c r="L379">
        <v>7.9788519999999998</v>
      </c>
      <c r="M379" t="s">
        <v>1489</v>
      </c>
      <c r="N379" t="s">
        <v>1157</v>
      </c>
      <c r="O379" t="s">
        <v>212</v>
      </c>
      <c r="P379">
        <v>5.8098467229999997</v>
      </c>
      <c r="Q379">
        <v>350.068617007</v>
      </c>
      <c r="R379">
        <v>2021</v>
      </c>
      <c r="S379"/>
      <c r="T379" t="s">
        <v>27</v>
      </c>
      <c r="U379" t="s">
        <v>24</v>
      </c>
      <c r="V379" t="s">
        <v>37</v>
      </c>
    </row>
    <row r="380" spans="1:22" x14ac:dyDescent="0.25">
      <c r="A380" t="s">
        <v>1488</v>
      </c>
      <c r="B380" t="s">
        <v>1157</v>
      </c>
      <c r="C380">
        <v>530000</v>
      </c>
      <c r="D380">
        <v>531502.02</v>
      </c>
      <c r="E380">
        <v>530322.77</v>
      </c>
      <c r="F380" t="s">
        <v>1155</v>
      </c>
      <c r="G380">
        <v>7.8806000000000003</v>
      </c>
      <c r="H380" t="s">
        <v>1158</v>
      </c>
      <c r="I380" s="26">
        <v>49057</v>
      </c>
      <c r="J380">
        <v>356.161</v>
      </c>
      <c r="K380">
        <v>1</v>
      </c>
      <c r="L380">
        <v>7.9788519999999998</v>
      </c>
      <c r="M380" t="s">
        <v>1489</v>
      </c>
      <c r="N380" t="s">
        <v>1157</v>
      </c>
      <c r="O380" t="s">
        <v>212</v>
      </c>
      <c r="P380">
        <v>5.8098467229999997</v>
      </c>
      <c r="Q380">
        <v>350.068617007</v>
      </c>
      <c r="R380">
        <v>2021</v>
      </c>
      <c r="S380"/>
      <c r="T380" t="s">
        <v>27</v>
      </c>
      <c r="U380" t="s">
        <v>24</v>
      </c>
      <c r="V380" t="s">
        <v>37</v>
      </c>
    </row>
    <row r="381" spans="1:22" x14ac:dyDescent="0.25">
      <c r="A381" t="s">
        <v>1488</v>
      </c>
      <c r="B381" t="s">
        <v>1157</v>
      </c>
      <c r="C381">
        <v>550000</v>
      </c>
      <c r="D381">
        <v>551558.69999999995</v>
      </c>
      <c r="E381">
        <v>550865.15</v>
      </c>
      <c r="F381" t="s">
        <v>1155</v>
      </c>
      <c r="G381">
        <v>7.8806000000000003</v>
      </c>
      <c r="H381" t="s">
        <v>1158</v>
      </c>
      <c r="I381" s="26">
        <v>49057</v>
      </c>
      <c r="J381">
        <v>356.161</v>
      </c>
      <c r="K381">
        <v>1</v>
      </c>
      <c r="L381">
        <v>7.9788519999999998</v>
      </c>
      <c r="M381" t="s">
        <v>1489</v>
      </c>
      <c r="N381" t="s">
        <v>1157</v>
      </c>
      <c r="O381" t="s">
        <v>212</v>
      </c>
      <c r="P381">
        <v>5.8098467229999997</v>
      </c>
      <c r="Q381">
        <v>350.068617007</v>
      </c>
      <c r="R381">
        <v>2021</v>
      </c>
      <c r="S381"/>
      <c r="T381" t="s">
        <v>27</v>
      </c>
      <c r="U381" t="s">
        <v>24</v>
      </c>
      <c r="V381" t="s">
        <v>37</v>
      </c>
    </row>
    <row r="382" spans="1:22" x14ac:dyDescent="0.25">
      <c r="A382" t="s">
        <v>1488</v>
      </c>
      <c r="B382" t="s">
        <v>1157</v>
      </c>
      <c r="C382">
        <v>1910000</v>
      </c>
      <c r="D382">
        <v>1915412.94</v>
      </c>
      <c r="E382">
        <v>1914383.98</v>
      </c>
      <c r="F382" t="s">
        <v>1155</v>
      </c>
      <c r="G382">
        <v>7.8806000000000003</v>
      </c>
      <c r="H382" t="s">
        <v>1158</v>
      </c>
      <c r="I382" s="26">
        <v>49057</v>
      </c>
      <c r="J382">
        <v>356.161</v>
      </c>
      <c r="K382">
        <v>1</v>
      </c>
      <c r="L382">
        <v>7.9788519999999998</v>
      </c>
      <c r="M382" t="s">
        <v>1489</v>
      </c>
      <c r="N382" t="s">
        <v>1157</v>
      </c>
      <c r="O382" t="s">
        <v>212</v>
      </c>
      <c r="P382">
        <v>5.8098467229999997</v>
      </c>
      <c r="Q382">
        <v>350.068617007</v>
      </c>
      <c r="R382">
        <v>2021</v>
      </c>
      <c r="S382"/>
      <c r="T382" t="s">
        <v>27</v>
      </c>
      <c r="U382" t="s">
        <v>24</v>
      </c>
      <c r="V382" t="s">
        <v>37</v>
      </c>
    </row>
    <row r="383" spans="1:22" x14ac:dyDescent="0.25">
      <c r="A383" t="s">
        <v>1488</v>
      </c>
      <c r="B383" t="s">
        <v>1154</v>
      </c>
      <c r="C383">
        <v>3825000</v>
      </c>
      <c r="D383">
        <v>3835293.08</v>
      </c>
      <c r="E383">
        <v>3825000</v>
      </c>
      <c r="F383" t="s">
        <v>1155</v>
      </c>
      <c r="G383">
        <v>7.9870999999999999</v>
      </c>
      <c r="H383" t="s">
        <v>1156</v>
      </c>
      <c r="I383" s="26">
        <v>49264</v>
      </c>
      <c r="J383">
        <v>366.161</v>
      </c>
      <c r="K383">
        <v>1</v>
      </c>
      <c r="L383">
        <v>7.9785159999999999</v>
      </c>
      <c r="M383" t="s">
        <v>1489</v>
      </c>
      <c r="N383" t="s">
        <v>1154</v>
      </c>
      <c r="O383" t="s">
        <v>212</v>
      </c>
      <c r="P383">
        <v>6.1676719709999999</v>
      </c>
      <c r="Q383">
        <v>360.61595884100001</v>
      </c>
      <c r="R383">
        <v>2021</v>
      </c>
      <c r="S383"/>
      <c r="T383" t="s">
        <v>27</v>
      </c>
      <c r="U383" t="s">
        <v>28</v>
      </c>
      <c r="V383" t="s">
        <v>37</v>
      </c>
    </row>
    <row r="384" spans="1:22" x14ac:dyDescent="0.25">
      <c r="A384" t="s">
        <v>1488</v>
      </c>
      <c r="B384" t="s">
        <v>1154</v>
      </c>
      <c r="C384">
        <v>340000</v>
      </c>
      <c r="D384">
        <v>340914.94</v>
      </c>
      <c r="E384">
        <v>340551.14</v>
      </c>
      <c r="F384" t="s">
        <v>1155</v>
      </c>
      <c r="G384">
        <v>7.9870999999999999</v>
      </c>
      <c r="H384" t="s">
        <v>1156</v>
      </c>
      <c r="I384" s="26">
        <v>49264</v>
      </c>
      <c r="J384">
        <v>366.161</v>
      </c>
      <c r="K384">
        <v>1</v>
      </c>
      <c r="L384">
        <v>7.9785159999999999</v>
      </c>
      <c r="M384" t="s">
        <v>1489</v>
      </c>
      <c r="N384" t="s">
        <v>1154</v>
      </c>
      <c r="O384" t="s">
        <v>212</v>
      </c>
      <c r="P384">
        <v>6.1676719709999999</v>
      </c>
      <c r="Q384">
        <v>360.61595884100001</v>
      </c>
      <c r="R384">
        <v>2021</v>
      </c>
      <c r="S384"/>
      <c r="T384" t="s">
        <v>27</v>
      </c>
      <c r="U384" t="s">
        <v>28</v>
      </c>
      <c r="V384" t="s">
        <v>37</v>
      </c>
    </row>
    <row r="385" spans="1:22" x14ac:dyDescent="0.25">
      <c r="A385" t="s">
        <v>1488</v>
      </c>
      <c r="B385" t="s">
        <v>1154</v>
      </c>
      <c r="C385">
        <v>540000</v>
      </c>
      <c r="D385">
        <v>541453.14</v>
      </c>
      <c r="E385">
        <v>540391.65</v>
      </c>
      <c r="F385" t="s">
        <v>1155</v>
      </c>
      <c r="G385">
        <v>7.9870999999999999</v>
      </c>
      <c r="H385" t="s">
        <v>1156</v>
      </c>
      <c r="I385" s="26">
        <v>49264</v>
      </c>
      <c r="J385">
        <v>366.161</v>
      </c>
      <c r="K385">
        <v>1</v>
      </c>
      <c r="L385">
        <v>7.9785159999999999</v>
      </c>
      <c r="M385" t="s">
        <v>1489</v>
      </c>
      <c r="N385" t="s">
        <v>1154</v>
      </c>
      <c r="O385" t="s">
        <v>212</v>
      </c>
      <c r="P385">
        <v>6.1676719709999999</v>
      </c>
      <c r="Q385">
        <v>360.61595884100001</v>
      </c>
      <c r="R385">
        <v>2021</v>
      </c>
      <c r="S385"/>
      <c r="T385" t="s">
        <v>27</v>
      </c>
      <c r="U385" t="s">
        <v>28</v>
      </c>
      <c r="V385" t="s">
        <v>37</v>
      </c>
    </row>
    <row r="386" spans="1:22" x14ac:dyDescent="0.25">
      <c r="A386" t="s">
        <v>1488</v>
      </c>
      <c r="B386" t="s">
        <v>1154</v>
      </c>
      <c r="C386">
        <v>910000</v>
      </c>
      <c r="D386">
        <v>912448.81</v>
      </c>
      <c r="E386">
        <v>911111.05</v>
      </c>
      <c r="F386" t="s">
        <v>1155</v>
      </c>
      <c r="G386">
        <v>7.9870999999999999</v>
      </c>
      <c r="H386" t="s">
        <v>1156</v>
      </c>
      <c r="I386" s="26">
        <v>49264</v>
      </c>
      <c r="J386">
        <v>366.161</v>
      </c>
      <c r="K386">
        <v>1</v>
      </c>
      <c r="L386">
        <v>7.9785159999999999</v>
      </c>
      <c r="M386" t="s">
        <v>1489</v>
      </c>
      <c r="N386" t="s">
        <v>1154</v>
      </c>
      <c r="O386" t="s">
        <v>212</v>
      </c>
      <c r="P386">
        <v>6.1676719709999999</v>
      </c>
      <c r="Q386">
        <v>360.61595884100001</v>
      </c>
      <c r="R386">
        <v>2021</v>
      </c>
      <c r="S386"/>
      <c r="T386" t="s">
        <v>27</v>
      </c>
      <c r="U386" t="s">
        <v>28</v>
      </c>
      <c r="V386" t="s">
        <v>37</v>
      </c>
    </row>
    <row r="387" spans="1:22" x14ac:dyDescent="0.25">
      <c r="A387" t="s">
        <v>1488</v>
      </c>
      <c r="B387" t="s">
        <v>564</v>
      </c>
      <c r="C387">
        <v>2000000</v>
      </c>
      <c r="D387">
        <v>2005724</v>
      </c>
      <c r="E387">
        <v>2000000</v>
      </c>
      <c r="F387" t="s">
        <v>565</v>
      </c>
      <c r="G387">
        <v>7.2840100000000003</v>
      </c>
      <c r="H387" t="s">
        <v>566</v>
      </c>
      <c r="I387" s="26">
        <v>48686</v>
      </c>
      <c r="J387">
        <v>296.161</v>
      </c>
      <c r="K387">
        <v>1</v>
      </c>
      <c r="L387">
        <v>7.3943250000000003</v>
      </c>
      <c r="M387" t="s">
        <v>1489</v>
      </c>
      <c r="N387" t="s">
        <v>564</v>
      </c>
      <c r="O387" t="s">
        <v>213</v>
      </c>
      <c r="P387">
        <v>3.682672202</v>
      </c>
      <c r="Q387"/>
      <c r="R387">
        <v>2020</v>
      </c>
      <c r="S387"/>
      <c r="T387" t="s">
        <v>23</v>
      </c>
      <c r="U387" t="s">
        <v>20</v>
      </c>
      <c r="V387" t="s">
        <v>37</v>
      </c>
    </row>
    <row r="388" spans="1:22" x14ac:dyDescent="0.25">
      <c r="A388" t="s">
        <v>1488</v>
      </c>
      <c r="B388" t="s">
        <v>567</v>
      </c>
      <c r="C388">
        <v>3500000</v>
      </c>
      <c r="D388">
        <v>3511245.5</v>
      </c>
      <c r="E388">
        <v>3473750</v>
      </c>
      <c r="F388" t="s">
        <v>565</v>
      </c>
      <c r="G388">
        <v>7.3371000000000004</v>
      </c>
      <c r="H388" t="s">
        <v>568</v>
      </c>
      <c r="I388" s="26">
        <v>49237</v>
      </c>
      <c r="J388">
        <v>301.161</v>
      </c>
      <c r="K388">
        <v>1</v>
      </c>
      <c r="L388">
        <v>7.4398439999999999</v>
      </c>
      <c r="M388" t="s">
        <v>1489</v>
      </c>
      <c r="N388" t="s">
        <v>567</v>
      </c>
      <c r="O388" t="s">
        <v>213</v>
      </c>
      <c r="P388">
        <v>5.3737713730000003</v>
      </c>
      <c r="Q388">
        <v>293.88845093100002</v>
      </c>
      <c r="R388">
        <v>2021</v>
      </c>
      <c r="S388"/>
      <c r="T388" t="s">
        <v>23</v>
      </c>
      <c r="U388" t="s">
        <v>24</v>
      </c>
      <c r="V388" t="s">
        <v>37</v>
      </c>
    </row>
    <row r="389" spans="1:22" x14ac:dyDescent="0.25">
      <c r="A389" t="s">
        <v>1488</v>
      </c>
      <c r="B389" t="s">
        <v>567</v>
      </c>
      <c r="C389">
        <v>3250000</v>
      </c>
      <c r="D389">
        <v>3260442.25</v>
      </c>
      <c r="E389">
        <v>3217500</v>
      </c>
      <c r="F389" t="s">
        <v>565</v>
      </c>
      <c r="G389">
        <v>7.3371000000000004</v>
      </c>
      <c r="H389" t="s">
        <v>568</v>
      </c>
      <c r="I389" s="26">
        <v>49237</v>
      </c>
      <c r="J389">
        <v>301.161</v>
      </c>
      <c r="K389">
        <v>1</v>
      </c>
      <c r="L389">
        <v>7.4398439999999999</v>
      </c>
      <c r="M389" t="s">
        <v>1489</v>
      </c>
      <c r="N389" t="s">
        <v>567</v>
      </c>
      <c r="O389" t="s">
        <v>213</v>
      </c>
      <c r="P389">
        <v>5.3737713730000003</v>
      </c>
      <c r="Q389">
        <v>293.88845093100002</v>
      </c>
      <c r="R389">
        <v>2021</v>
      </c>
      <c r="S389"/>
      <c r="T389" t="s">
        <v>23</v>
      </c>
      <c r="U389" t="s">
        <v>24</v>
      </c>
      <c r="V389" t="s">
        <v>37</v>
      </c>
    </row>
    <row r="390" spans="1:22" x14ac:dyDescent="0.25">
      <c r="A390" t="s">
        <v>1488</v>
      </c>
      <c r="B390" t="s">
        <v>1149</v>
      </c>
      <c r="C390">
        <v>7500000</v>
      </c>
      <c r="D390">
        <v>7508340</v>
      </c>
      <c r="E390">
        <v>7500000</v>
      </c>
      <c r="F390"/>
      <c r="G390">
        <v>7.7689899999999996</v>
      </c>
      <c r="H390" t="s">
        <v>1150</v>
      </c>
      <c r="I390" s="26">
        <v>49240</v>
      </c>
      <c r="J390">
        <v>345</v>
      </c>
      <c r="K390">
        <v>1</v>
      </c>
      <c r="L390">
        <v>7.7678370000000001</v>
      </c>
      <c r="M390" t="s">
        <v>1489</v>
      </c>
      <c r="N390" t="s">
        <v>1149</v>
      </c>
      <c r="O390" t="s">
        <v>214</v>
      </c>
      <c r="P390">
        <v>6.3799806710000002</v>
      </c>
      <c r="Q390">
        <v>342.661744236</v>
      </c>
      <c r="R390">
        <v>2024</v>
      </c>
      <c r="S390"/>
      <c r="T390" t="s">
        <v>27</v>
      </c>
      <c r="U390" t="s">
        <v>28</v>
      </c>
      <c r="V390" t="s">
        <v>37</v>
      </c>
    </row>
    <row r="391" spans="1:22" x14ac:dyDescent="0.25">
      <c r="A391" t="s">
        <v>1488</v>
      </c>
      <c r="B391" t="s">
        <v>1166</v>
      </c>
      <c r="C391">
        <v>10620000</v>
      </c>
      <c r="D391">
        <v>10661184.359999999</v>
      </c>
      <c r="E391">
        <v>10620000</v>
      </c>
      <c r="F391" t="s">
        <v>351</v>
      </c>
      <c r="G391">
        <v>7.2254899999999997</v>
      </c>
      <c r="H391" t="s">
        <v>1167</v>
      </c>
      <c r="I391" s="26">
        <v>50790</v>
      </c>
      <c r="J391">
        <v>290</v>
      </c>
      <c r="K391">
        <v>1</v>
      </c>
      <c r="L391">
        <v>7.2245369999999998</v>
      </c>
      <c r="M391" t="s">
        <v>1489</v>
      </c>
      <c r="N391" t="s">
        <v>1166</v>
      </c>
      <c r="O391" t="s">
        <v>215</v>
      </c>
      <c r="P391">
        <v>8.4864670370000006</v>
      </c>
      <c r="Q391">
        <v>283.98044937899999</v>
      </c>
      <c r="R391">
        <v>2024</v>
      </c>
      <c r="S391"/>
      <c r="T391" t="s">
        <v>27</v>
      </c>
      <c r="U391" t="s">
        <v>32</v>
      </c>
      <c r="V391" t="s">
        <v>37</v>
      </c>
    </row>
    <row r="392" spans="1:22" x14ac:dyDescent="0.25">
      <c r="A392" t="s">
        <v>1488</v>
      </c>
      <c r="B392" t="s">
        <v>1164</v>
      </c>
      <c r="C392">
        <v>5387526</v>
      </c>
      <c r="D392">
        <v>5363675.42</v>
      </c>
      <c r="E392">
        <v>5387526</v>
      </c>
      <c r="F392" t="s">
        <v>351</v>
      </c>
      <c r="G392">
        <v>6.9675500000000001</v>
      </c>
      <c r="H392" t="s">
        <v>1165</v>
      </c>
      <c r="I392" s="26">
        <v>50875</v>
      </c>
      <c r="J392">
        <v>265</v>
      </c>
      <c r="K392">
        <v>1</v>
      </c>
      <c r="L392">
        <v>6.9666309999999996</v>
      </c>
      <c r="M392" t="s">
        <v>1489</v>
      </c>
      <c r="N392" t="s">
        <v>1164</v>
      </c>
      <c r="O392" t="s">
        <v>215</v>
      </c>
      <c r="P392">
        <v>9.4796255479999996</v>
      </c>
      <c r="Q392">
        <v>271.05379960699997</v>
      </c>
      <c r="R392">
        <v>2025</v>
      </c>
      <c r="S392"/>
      <c r="T392" t="s">
        <v>27</v>
      </c>
      <c r="U392" t="s">
        <v>32</v>
      </c>
      <c r="V392" t="s">
        <v>33</v>
      </c>
    </row>
    <row r="393" spans="1:22" x14ac:dyDescent="0.25">
      <c r="A393" t="s">
        <v>1488</v>
      </c>
      <c r="B393" t="s">
        <v>355</v>
      </c>
      <c r="C393">
        <v>7000000</v>
      </c>
      <c r="D393">
        <v>7021525</v>
      </c>
      <c r="E393">
        <v>7000000</v>
      </c>
      <c r="F393" t="s">
        <v>351</v>
      </c>
      <c r="G393">
        <v>8.0371000000000006</v>
      </c>
      <c r="H393" t="s">
        <v>354</v>
      </c>
      <c r="I393" s="26">
        <v>48689</v>
      </c>
      <c r="J393">
        <v>371.161</v>
      </c>
      <c r="K393">
        <v>1</v>
      </c>
      <c r="L393">
        <v>8.1486789999999996</v>
      </c>
      <c r="M393" t="s">
        <v>1489</v>
      </c>
      <c r="N393" t="s">
        <v>355</v>
      </c>
      <c r="O393" t="s">
        <v>126</v>
      </c>
      <c r="P393">
        <v>4.638632833</v>
      </c>
      <c r="Q393">
        <v>363.07192100100002</v>
      </c>
      <c r="R393">
        <v>2021</v>
      </c>
      <c r="S393"/>
      <c r="T393" t="s">
        <v>27</v>
      </c>
      <c r="U393" t="s">
        <v>24</v>
      </c>
      <c r="V393" t="s">
        <v>37</v>
      </c>
    </row>
    <row r="394" spans="1:22" x14ac:dyDescent="0.25">
      <c r="A394" t="s">
        <v>1488</v>
      </c>
      <c r="B394" t="s">
        <v>1169</v>
      </c>
      <c r="C394">
        <v>4810000</v>
      </c>
      <c r="D394">
        <v>4820456.9400000004</v>
      </c>
      <c r="E394">
        <v>4810000</v>
      </c>
      <c r="F394" t="s">
        <v>351</v>
      </c>
      <c r="G394">
        <v>7.02027</v>
      </c>
      <c r="H394" t="s">
        <v>1170</v>
      </c>
      <c r="I394" s="26">
        <v>49962</v>
      </c>
      <c r="J394">
        <v>270</v>
      </c>
      <c r="K394">
        <v>1</v>
      </c>
      <c r="L394">
        <v>7.0193370000000002</v>
      </c>
      <c r="M394" t="s">
        <v>1489</v>
      </c>
      <c r="N394" t="s">
        <v>1169</v>
      </c>
      <c r="O394" t="s">
        <v>216</v>
      </c>
      <c r="P394">
        <v>6.1742103999999998</v>
      </c>
      <c r="Q394">
        <v>265.615435902</v>
      </c>
      <c r="R394">
        <v>2025</v>
      </c>
      <c r="S394"/>
      <c r="T394" t="s">
        <v>27</v>
      </c>
      <c r="U394" t="s">
        <v>28</v>
      </c>
      <c r="V394" t="s">
        <v>37</v>
      </c>
    </row>
    <row r="395" spans="1:22" x14ac:dyDescent="0.25">
      <c r="A395" t="s">
        <v>1488</v>
      </c>
      <c r="B395" t="s">
        <v>1161</v>
      </c>
      <c r="C395">
        <v>4000000</v>
      </c>
      <c r="D395">
        <v>4017824</v>
      </c>
      <c r="E395">
        <v>4000000</v>
      </c>
      <c r="F395" t="s">
        <v>1162</v>
      </c>
      <c r="G395">
        <v>7.7300700000000004</v>
      </c>
      <c r="H395" t="s">
        <v>1163</v>
      </c>
      <c r="I395" s="26">
        <v>47689</v>
      </c>
      <c r="J395">
        <v>341.161</v>
      </c>
      <c r="K395">
        <v>1</v>
      </c>
      <c r="L395">
        <v>7.8315450000000002</v>
      </c>
      <c r="M395" t="s">
        <v>1489</v>
      </c>
      <c r="N395" t="s">
        <v>1161</v>
      </c>
      <c r="O395" t="s">
        <v>85</v>
      </c>
      <c r="P395">
        <v>3.3646189909999999</v>
      </c>
      <c r="Q395">
        <v>325.83472608300002</v>
      </c>
      <c r="R395">
        <v>2021</v>
      </c>
      <c r="S395"/>
      <c r="T395" t="s">
        <v>27</v>
      </c>
      <c r="U395" t="s">
        <v>20</v>
      </c>
      <c r="V395" t="s">
        <v>37</v>
      </c>
    </row>
    <row r="396" spans="1:22" x14ac:dyDescent="0.25">
      <c r="A396" t="s">
        <v>1488</v>
      </c>
      <c r="B396" t="s">
        <v>1161</v>
      </c>
      <c r="C396">
        <v>760000</v>
      </c>
      <c r="D396">
        <v>763386.56</v>
      </c>
      <c r="E396">
        <v>763097</v>
      </c>
      <c r="F396" t="s">
        <v>1162</v>
      </c>
      <c r="G396">
        <v>7.7300700000000004</v>
      </c>
      <c r="H396" t="s">
        <v>1163</v>
      </c>
      <c r="I396" s="26">
        <v>47689</v>
      </c>
      <c r="J396">
        <v>341.161</v>
      </c>
      <c r="K396">
        <v>1</v>
      </c>
      <c r="L396">
        <v>7.8315450000000002</v>
      </c>
      <c r="M396" t="s">
        <v>1489</v>
      </c>
      <c r="N396" t="s">
        <v>1161</v>
      </c>
      <c r="O396" t="s">
        <v>85</v>
      </c>
      <c r="P396">
        <v>3.3646189909999999</v>
      </c>
      <c r="Q396">
        <v>325.83472608300002</v>
      </c>
      <c r="R396">
        <v>2021</v>
      </c>
      <c r="S396"/>
      <c r="T396" t="s">
        <v>27</v>
      </c>
      <c r="U396" t="s">
        <v>20</v>
      </c>
      <c r="V396" t="s">
        <v>37</v>
      </c>
    </row>
    <row r="397" spans="1:22" x14ac:dyDescent="0.25">
      <c r="A397" t="s">
        <v>1488</v>
      </c>
      <c r="B397" t="s">
        <v>1363</v>
      </c>
      <c r="C397">
        <v>900000</v>
      </c>
      <c r="D397">
        <v>901836</v>
      </c>
      <c r="E397">
        <v>900000</v>
      </c>
      <c r="F397" t="s">
        <v>733</v>
      </c>
      <c r="G397">
        <v>8.3370999999999995</v>
      </c>
      <c r="H397" t="s">
        <v>1364</v>
      </c>
      <c r="I397" s="26">
        <v>49145</v>
      </c>
      <c r="J397">
        <v>401.161</v>
      </c>
      <c r="K397">
        <v>1</v>
      </c>
      <c r="L397">
        <v>8.4263639999999995</v>
      </c>
      <c r="M397" t="s">
        <v>1489</v>
      </c>
      <c r="N397" t="s">
        <v>1363</v>
      </c>
      <c r="O397" t="s">
        <v>152</v>
      </c>
      <c r="P397">
        <v>5.9432115760000004</v>
      </c>
      <c r="Q397">
        <v>396.69692009800002</v>
      </c>
      <c r="R397">
        <v>2021</v>
      </c>
      <c r="S397"/>
      <c r="T397" t="s">
        <v>27</v>
      </c>
      <c r="U397" t="s">
        <v>24</v>
      </c>
      <c r="V397" t="s">
        <v>37</v>
      </c>
    </row>
    <row r="398" spans="1:22" x14ac:dyDescent="0.25">
      <c r="A398" t="s">
        <v>1488</v>
      </c>
      <c r="B398" t="s">
        <v>1363</v>
      </c>
      <c r="C398">
        <v>460000</v>
      </c>
      <c r="D398">
        <v>460938.4</v>
      </c>
      <c r="E398">
        <v>460971.98</v>
      </c>
      <c r="F398" t="s">
        <v>733</v>
      </c>
      <c r="G398">
        <v>8.3370999999999995</v>
      </c>
      <c r="H398" t="s">
        <v>1364</v>
      </c>
      <c r="I398" s="26">
        <v>49145</v>
      </c>
      <c r="J398">
        <v>401.161</v>
      </c>
      <c r="K398">
        <v>1</v>
      </c>
      <c r="L398">
        <v>8.4263639999999995</v>
      </c>
      <c r="M398" t="s">
        <v>1489</v>
      </c>
      <c r="N398" t="s">
        <v>1363</v>
      </c>
      <c r="O398" t="s">
        <v>152</v>
      </c>
      <c r="P398">
        <v>5.9432115760000004</v>
      </c>
      <c r="Q398">
        <v>396.69692009800002</v>
      </c>
      <c r="R398">
        <v>2021</v>
      </c>
      <c r="S398"/>
      <c r="T398" t="s">
        <v>27</v>
      </c>
      <c r="U398" t="s">
        <v>24</v>
      </c>
      <c r="V398" t="s">
        <v>37</v>
      </c>
    </row>
    <row r="399" spans="1:22" x14ac:dyDescent="0.25">
      <c r="A399" t="s">
        <v>1488</v>
      </c>
      <c r="B399" t="s">
        <v>1363</v>
      </c>
      <c r="C399">
        <v>460000</v>
      </c>
      <c r="D399">
        <v>460938.4</v>
      </c>
      <c r="E399">
        <v>462005.6</v>
      </c>
      <c r="F399" t="s">
        <v>733</v>
      </c>
      <c r="G399">
        <v>8.3370999999999995</v>
      </c>
      <c r="H399" t="s">
        <v>1364</v>
      </c>
      <c r="I399" s="26">
        <v>49145</v>
      </c>
      <c r="J399">
        <v>401.161</v>
      </c>
      <c r="K399">
        <v>1</v>
      </c>
      <c r="L399">
        <v>8.4263639999999995</v>
      </c>
      <c r="M399" t="s">
        <v>1489</v>
      </c>
      <c r="N399" t="s">
        <v>1363</v>
      </c>
      <c r="O399" t="s">
        <v>152</v>
      </c>
      <c r="P399">
        <v>5.9432115760000004</v>
      </c>
      <c r="Q399">
        <v>396.69692009800002</v>
      </c>
      <c r="R399">
        <v>2021</v>
      </c>
      <c r="S399"/>
      <c r="T399" t="s">
        <v>27</v>
      </c>
      <c r="U399" t="s">
        <v>24</v>
      </c>
      <c r="V399" t="s">
        <v>37</v>
      </c>
    </row>
    <row r="400" spans="1:22" x14ac:dyDescent="0.25">
      <c r="A400" t="s">
        <v>1488</v>
      </c>
      <c r="B400" t="s">
        <v>732</v>
      </c>
      <c r="C400">
        <v>3000000</v>
      </c>
      <c r="D400">
        <v>3000150</v>
      </c>
      <c r="E400">
        <v>3000000</v>
      </c>
      <c r="F400" t="s">
        <v>733</v>
      </c>
      <c r="G400">
        <v>6.9340099999999998</v>
      </c>
      <c r="H400" t="s">
        <v>734</v>
      </c>
      <c r="I400" s="26">
        <v>49234</v>
      </c>
      <c r="J400">
        <v>261.161</v>
      </c>
      <c r="K400">
        <v>1</v>
      </c>
      <c r="L400">
        <v>6.9330730000000003</v>
      </c>
      <c r="M400" t="s">
        <v>1489</v>
      </c>
      <c r="N400" t="s">
        <v>732</v>
      </c>
      <c r="O400" t="s">
        <v>152</v>
      </c>
      <c r="P400">
        <v>5.7796780969999997</v>
      </c>
      <c r="Q400"/>
      <c r="R400">
        <v>2021</v>
      </c>
      <c r="S400"/>
      <c r="T400" t="s">
        <v>23</v>
      </c>
      <c r="U400" t="s">
        <v>24</v>
      </c>
      <c r="V400" t="s">
        <v>33</v>
      </c>
    </row>
    <row r="401" spans="1:22" x14ac:dyDescent="0.25">
      <c r="A401" t="s">
        <v>1488</v>
      </c>
      <c r="B401" t="s">
        <v>1365</v>
      </c>
      <c r="C401">
        <v>4850000</v>
      </c>
      <c r="D401">
        <v>4838059.3</v>
      </c>
      <c r="E401">
        <v>4850000</v>
      </c>
      <c r="F401" t="s">
        <v>733</v>
      </c>
      <c r="G401">
        <v>8.0840099999999993</v>
      </c>
      <c r="H401" t="s">
        <v>1366</v>
      </c>
      <c r="I401" s="26">
        <v>49234</v>
      </c>
      <c r="J401">
        <v>376.161</v>
      </c>
      <c r="K401">
        <v>1</v>
      </c>
      <c r="L401">
        <v>8.2100690000000007</v>
      </c>
      <c r="M401" t="s">
        <v>1489</v>
      </c>
      <c r="N401" t="s">
        <v>1365</v>
      </c>
      <c r="O401" t="s">
        <v>152</v>
      </c>
      <c r="P401">
        <v>6.218061413</v>
      </c>
      <c r="Q401">
        <v>380.89023727300003</v>
      </c>
      <c r="R401">
        <v>2021</v>
      </c>
      <c r="S401"/>
      <c r="T401" t="s">
        <v>27</v>
      </c>
      <c r="U401" t="s">
        <v>28</v>
      </c>
      <c r="V401" t="s">
        <v>37</v>
      </c>
    </row>
    <row r="402" spans="1:22" x14ac:dyDescent="0.25">
      <c r="A402" t="s">
        <v>1488</v>
      </c>
      <c r="B402" t="s">
        <v>1365</v>
      </c>
      <c r="C402">
        <v>420000</v>
      </c>
      <c r="D402">
        <v>418965.96</v>
      </c>
      <c r="E402">
        <v>418926.9</v>
      </c>
      <c r="F402" t="s">
        <v>733</v>
      </c>
      <c r="G402">
        <v>8.0840099999999993</v>
      </c>
      <c r="H402" t="s">
        <v>1366</v>
      </c>
      <c r="I402" s="26">
        <v>49234</v>
      </c>
      <c r="J402">
        <v>376.161</v>
      </c>
      <c r="K402">
        <v>1</v>
      </c>
      <c r="L402">
        <v>8.2100690000000007</v>
      </c>
      <c r="M402" t="s">
        <v>1489</v>
      </c>
      <c r="N402" t="s">
        <v>1365</v>
      </c>
      <c r="O402" t="s">
        <v>152</v>
      </c>
      <c r="P402">
        <v>6.218061413</v>
      </c>
      <c r="Q402">
        <v>380.89023727300003</v>
      </c>
      <c r="R402">
        <v>2021</v>
      </c>
      <c r="S402"/>
      <c r="T402" t="s">
        <v>27</v>
      </c>
      <c r="U402" t="s">
        <v>28</v>
      </c>
      <c r="V402" t="s">
        <v>37</v>
      </c>
    </row>
    <row r="403" spans="1:22" x14ac:dyDescent="0.25">
      <c r="A403" t="s">
        <v>1488</v>
      </c>
      <c r="B403" t="s">
        <v>1365</v>
      </c>
      <c r="C403">
        <v>720000</v>
      </c>
      <c r="D403">
        <v>718227.36</v>
      </c>
      <c r="E403">
        <v>716643.96</v>
      </c>
      <c r="F403" t="s">
        <v>733</v>
      </c>
      <c r="G403">
        <v>8.0840099999999993</v>
      </c>
      <c r="H403" t="s">
        <v>1366</v>
      </c>
      <c r="I403" s="26">
        <v>49234</v>
      </c>
      <c r="J403">
        <v>376.161</v>
      </c>
      <c r="K403">
        <v>1</v>
      </c>
      <c r="L403">
        <v>8.2100690000000007</v>
      </c>
      <c r="M403" t="s">
        <v>1489</v>
      </c>
      <c r="N403" t="s">
        <v>1365</v>
      </c>
      <c r="O403" t="s">
        <v>152</v>
      </c>
      <c r="P403">
        <v>6.218061413</v>
      </c>
      <c r="Q403">
        <v>380.89023727300003</v>
      </c>
      <c r="R403">
        <v>2021</v>
      </c>
      <c r="S403"/>
      <c r="T403" t="s">
        <v>27</v>
      </c>
      <c r="U403" t="s">
        <v>28</v>
      </c>
      <c r="V403" t="s">
        <v>37</v>
      </c>
    </row>
    <row r="404" spans="1:22" x14ac:dyDescent="0.25">
      <c r="A404" t="s">
        <v>1488</v>
      </c>
      <c r="B404" t="s">
        <v>1365</v>
      </c>
      <c r="C404">
        <v>1140000</v>
      </c>
      <c r="D404">
        <v>1137193.32</v>
      </c>
      <c r="E404">
        <v>1141456.06</v>
      </c>
      <c r="F404" t="s">
        <v>733</v>
      </c>
      <c r="G404">
        <v>8.0840099999999993</v>
      </c>
      <c r="H404" t="s">
        <v>1366</v>
      </c>
      <c r="I404" s="26">
        <v>49234</v>
      </c>
      <c r="J404">
        <v>376.161</v>
      </c>
      <c r="K404">
        <v>1</v>
      </c>
      <c r="L404">
        <v>8.2100690000000007</v>
      </c>
      <c r="M404" t="s">
        <v>1489</v>
      </c>
      <c r="N404" t="s">
        <v>1365</v>
      </c>
      <c r="O404" t="s">
        <v>152</v>
      </c>
      <c r="P404">
        <v>6.218061413</v>
      </c>
      <c r="Q404">
        <v>380.89023727300003</v>
      </c>
      <c r="R404">
        <v>2021</v>
      </c>
      <c r="S404"/>
      <c r="T404" t="s">
        <v>27</v>
      </c>
      <c r="U404" t="s">
        <v>28</v>
      </c>
      <c r="V404" t="s">
        <v>37</v>
      </c>
    </row>
    <row r="405" spans="1:22" x14ac:dyDescent="0.25">
      <c r="A405" t="s">
        <v>1488</v>
      </c>
      <c r="B405" t="s">
        <v>1183</v>
      </c>
      <c r="C405">
        <v>10700000</v>
      </c>
      <c r="D405">
        <v>10745271.699999999</v>
      </c>
      <c r="E405">
        <v>10700000</v>
      </c>
      <c r="F405" t="s">
        <v>686</v>
      </c>
      <c r="G405">
        <v>7.0319900000000004</v>
      </c>
      <c r="H405" t="s">
        <v>1184</v>
      </c>
      <c r="I405" s="26">
        <v>50427</v>
      </c>
      <c r="J405">
        <v>270</v>
      </c>
      <c r="K405">
        <v>1</v>
      </c>
      <c r="L405">
        <v>7.0310589999999999</v>
      </c>
      <c r="M405" t="s">
        <v>1489</v>
      </c>
      <c r="N405" t="s">
        <v>1183</v>
      </c>
      <c r="O405" t="s">
        <v>127</v>
      </c>
      <c r="P405">
        <v>9.2708154139999994</v>
      </c>
      <c r="Q405">
        <v>263.92980898799999</v>
      </c>
      <c r="R405">
        <v>2024</v>
      </c>
      <c r="S405"/>
      <c r="T405" t="s">
        <v>27</v>
      </c>
      <c r="U405" t="s">
        <v>32</v>
      </c>
      <c r="V405" t="s">
        <v>37</v>
      </c>
    </row>
    <row r="406" spans="1:22" x14ac:dyDescent="0.25">
      <c r="A406" t="s">
        <v>1488</v>
      </c>
      <c r="B406" t="s">
        <v>1187</v>
      </c>
      <c r="C406">
        <v>2400000</v>
      </c>
      <c r="D406">
        <v>2407984.7999999998</v>
      </c>
      <c r="E406">
        <v>2400000</v>
      </c>
      <c r="F406" t="s">
        <v>686</v>
      </c>
      <c r="G406">
        <v>7.2254899999999997</v>
      </c>
      <c r="H406" t="s">
        <v>1188</v>
      </c>
      <c r="I406" s="26">
        <v>50241</v>
      </c>
      <c r="J406">
        <v>290</v>
      </c>
      <c r="K406">
        <v>1</v>
      </c>
      <c r="L406">
        <v>7.2245369999999998</v>
      </c>
      <c r="M406" t="s">
        <v>1489</v>
      </c>
      <c r="N406" t="s">
        <v>1187</v>
      </c>
      <c r="O406" t="s">
        <v>127</v>
      </c>
      <c r="P406">
        <v>8.8050649920000001</v>
      </c>
      <c r="Q406">
        <v>284.95618268999999</v>
      </c>
      <c r="R406">
        <v>2024</v>
      </c>
      <c r="S406"/>
      <c r="T406" t="s">
        <v>27</v>
      </c>
      <c r="U406" t="s">
        <v>32</v>
      </c>
      <c r="V406" t="s">
        <v>37</v>
      </c>
    </row>
    <row r="407" spans="1:22" x14ac:dyDescent="0.25">
      <c r="A407" t="s">
        <v>1488</v>
      </c>
      <c r="B407" t="s">
        <v>685</v>
      </c>
      <c r="C407">
        <v>3200000</v>
      </c>
      <c r="D407">
        <v>3217539.2</v>
      </c>
      <c r="E407">
        <v>3200000</v>
      </c>
      <c r="F407" t="s">
        <v>686</v>
      </c>
      <c r="G407">
        <v>6.3254900000000003</v>
      </c>
      <c r="H407" t="s">
        <v>687</v>
      </c>
      <c r="I407" s="26">
        <v>50241</v>
      </c>
      <c r="J407">
        <v>200</v>
      </c>
      <c r="K407">
        <v>1</v>
      </c>
      <c r="L407">
        <v>6.3247590000000002</v>
      </c>
      <c r="M407" t="s">
        <v>1489</v>
      </c>
      <c r="N407" t="s">
        <v>685</v>
      </c>
      <c r="O407" t="s">
        <v>127</v>
      </c>
      <c r="P407">
        <v>8.2209395460000003</v>
      </c>
      <c r="Q407">
        <v>191.66242638599999</v>
      </c>
      <c r="R407">
        <v>2024</v>
      </c>
      <c r="S407"/>
      <c r="T407" t="s">
        <v>23</v>
      </c>
      <c r="U407" t="s">
        <v>32</v>
      </c>
      <c r="V407" t="s">
        <v>33</v>
      </c>
    </row>
    <row r="408" spans="1:22" x14ac:dyDescent="0.25">
      <c r="A408" t="s">
        <v>1488</v>
      </c>
      <c r="B408" t="s">
        <v>1210</v>
      </c>
      <c r="C408">
        <v>6000000</v>
      </c>
      <c r="D408">
        <v>6047622</v>
      </c>
      <c r="E408">
        <v>6000000</v>
      </c>
      <c r="F408" t="s">
        <v>693</v>
      </c>
      <c r="G408">
        <v>7.4184599999999996</v>
      </c>
      <c r="H408" t="s">
        <v>1211</v>
      </c>
      <c r="I408" s="26">
        <v>50338</v>
      </c>
      <c r="J408">
        <v>310</v>
      </c>
      <c r="K408">
        <v>1</v>
      </c>
      <c r="L408">
        <v>7.4174179999999996</v>
      </c>
      <c r="M408" t="s">
        <v>1489</v>
      </c>
      <c r="N408" t="s">
        <v>1210</v>
      </c>
      <c r="O408" t="s">
        <v>217</v>
      </c>
      <c r="P408">
        <v>9.0507018559999999</v>
      </c>
      <c r="Q408">
        <v>298.30899583299998</v>
      </c>
      <c r="R408">
        <v>2024</v>
      </c>
      <c r="S408"/>
      <c r="T408" t="s">
        <v>27</v>
      </c>
      <c r="U408" t="s">
        <v>32</v>
      </c>
      <c r="V408" t="s">
        <v>37</v>
      </c>
    </row>
    <row r="409" spans="1:22" x14ac:dyDescent="0.25">
      <c r="A409" t="s">
        <v>1488</v>
      </c>
      <c r="B409" t="s">
        <v>1236</v>
      </c>
      <c r="C409">
        <v>1000000</v>
      </c>
      <c r="D409">
        <v>1004113</v>
      </c>
      <c r="E409">
        <v>1001700</v>
      </c>
      <c r="F409"/>
      <c r="G409">
        <v>7.7870999999999997</v>
      </c>
      <c r="H409" t="s">
        <v>1237</v>
      </c>
      <c r="I409" s="26">
        <v>50059</v>
      </c>
      <c r="J409">
        <v>346.161</v>
      </c>
      <c r="K409">
        <v>1</v>
      </c>
      <c r="L409">
        <v>7.7597940000000003</v>
      </c>
      <c r="M409" t="s">
        <v>1489</v>
      </c>
      <c r="N409" t="s">
        <v>1236</v>
      </c>
      <c r="O409" t="s">
        <v>127</v>
      </c>
      <c r="P409">
        <v>6.3401163809999996</v>
      </c>
      <c r="Q409">
        <v>338.025519793</v>
      </c>
      <c r="R409">
        <v>2021</v>
      </c>
      <c r="S409"/>
      <c r="T409" t="s">
        <v>27</v>
      </c>
      <c r="U409" t="s">
        <v>28</v>
      </c>
      <c r="V409" t="s">
        <v>37</v>
      </c>
    </row>
    <row r="410" spans="1:22" x14ac:dyDescent="0.25">
      <c r="A410" t="s">
        <v>1488</v>
      </c>
      <c r="B410" t="s">
        <v>1173</v>
      </c>
      <c r="C410">
        <v>4500000</v>
      </c>
      <c r="D410">
        <v>4523206.5</v>
      </c>
      <c r="E410">
        <v>4500000</v>
      </c>
      <c r="F410" t="s">
        <v>683</v>
      </c>
      <c r="G410">
        <v>7.3254900000000003</v>
      </c>
      <c r="H410" t="s">
        <v>1174</v>
      </c>
      <c r="I410" s="26">
        <v>50334</v>
      </c>
      <c r="J410">
        <v>300</v>
      </c>
      <c r="K410">
        <v>1</v>
      </c>
      <c r="L410">
        <v>7.3244790000000002</v>
      </c>
      <c r="M410" t="s">
        <v>1489</v>
      </c>
      <c r="N410" t="s">
        <v>1173</v>
      </c>
      <c r="O410" t="s">
        <v>127</v>
      </c>
      <c r="P410">
        <v>8.255387035</v>
      </c>
      <c r="Q410">
        <v>291.85435162499999</v>
      </c>
      <c r="R410">
        <v>2024</v>
      </c>
      <c r="S410"/>
      <c r="T410" t="s">
        <v>27</v>
      </c>
      <c r="U410" t="s">
        <v>32</v>
      </c>
      <c r="V410" t="s">
        <v>37</v>
      </c>
    </row>
    <row r="411" spans="1:22" x14ac:dyDescent="0.25">
      <c r="A411" t="s">
        <v>1488</v>
      </c>
      <c r="B411" t="s">
        <v>1238</v>
      </c>
      <c r="C411">
        <v>600000</v>
      </c>
      <c r="D411">
        <v>602679</v>
      </c>
      <c r="E411">
        <v>600000</v>
      </c>
      <c r="F411" t="s">
        <v>1239</v>
      </c>
      <c r="G411">
        <v>7.3754900000000001</v>
      </c>
      <c r="H411" t="s">
        <v>1240</v>
      </c>
      <c r="I411" s="26">
        <v>50241</v>
      </c>
      <c r="J411">
        <v>305</v>
      </c>
      <c r="K411">
        <v>1</v>
      </c>
      <c r="L411">
        <v>7.3744969999999999</v>
      </c>
      <c r="M411" t="s">
        <v>1489</v>
      </c>
      <c r="N411" t="s">
        <v>1238</v>
      </c>
      <c r="O411" t="s">
        <v>127</v>
      </c>
      <c r="P411">
        <v>8.8457775000000005</v>
      </c>
      <c r="Q411">
        <v>298.26980315200001</v>
      </c>
      <c r="R411">
        <v>2024</v>
      </c>
      <c r="S411"/>
      <c r="T411" t="s">
        <v>27</v>
      </c>
      <c r="U411" t="s">
        <v>32</v>
      </c>
      <c r="V411" t="s">
        <v>37</v>
      </c>
    </row>
    <row r="412" spans="1:22" x14ac:dyDescent="0.25">
      <c r="A412" t="s">
        <v>1488</v>
      </c>
      <c r="B412" t="s">
        <v>1204</v>
      </c>
      <c r="C412">
        <v>7000000</v>
      </c>
      <c r="D412">
        <v>7026271</v>
      </c>
      <c r="E412">
        <v>7000000</v>
      </c>
      <c r="F412" t="s">
        <v>693</v>
      </c>
      <c r="G412">
        <v>7.0754900000000003</v>
      </c>
      <c r="H412" t="s">
        <v>1205</v>
      </c>
      <c r="I412" s="26">
        <v>50425</v>
      </c>
      <c r="J412">
        <v>275</v>
      </c>
      <c r="K412">
        <v>1</v>
      </c>
      <c r="L412">
        <v>7.0745750000000003</v>
      </c>
      <c r="M412" t="s">
        <v>1489</v>
      </c>
      <c r="N412" t="s">
        <v>1204</v>
      </c>
      <c r="O412" t="s">
        <v>217</v>
      </c>
      <c r="P412">
        <v>8.8929303760000007</v>
      </c>
      <c r="Q412">
        <v>269.41802625000003</v>
      </c>
      <c r="R412">
        <v>2025</v>
      </c>
      <c r="S412"/>
      <c r="T412" t="s">
        <v>27</v>
      </c>
      <c r="U412" t="s">
        <v>32</v>
      </c>
      <c r="V412" t="s">
        <v>37</v>
      </c>
    </row>
    <row r="413" spans="1:22" x14ac:dyDescent="0.25">
      <c r="A413" t="s">
        <v>1488</v>
      </c>
      <c r="B413" t="s">
        <v>1181</v>
      </c>
      <c r="C413">
        <v>6715000</v>
      </c>
      <c r="D413">
        <v>6745707.7000000002</v>
      </c>
      <c r="E413">
        <v>6849300</v>
      </c>
      <c r="F413" t="s">
        <v>686</v>
      </c>
      <c r="G413">
        <v>7.0754900000000003</v>
      </c>
      <c r="H413" t="s">
        <v>1182</v>
      </c>
      <c r="I413" s="26">
        <v>50425</v>
      </c>
      <c r="J413">
        <v>275</v>
      </c>
      <c r="K413">
        <v>1</v>
      </c>
      <c r="L413">
        <v>6.727411</v>
      </c>
      <c r="M413" t="s">
        <v>1489</v>
      </c>
      <c r="N413" t="s">
        <v>1181</v>
      </c>
      <c r="O413" t="s">
        <v>127</v>
      </c>
      <c r="P413">
        <v>9.2585942879999994</v>
      </c>
      <c r="Q413">
        <v>268.43014655600001</v>
      </c>
      <c r="R413">
        <v>2024</v>
      </c>
      <c r="S413"/>
      <c r="T413" t="s">
        <v>27</v>
      </c>
      <c r="U413" t="s">
        <v>32</v>
      </c>
      <c r="V413" t="s">
        <v>37</v>
      </c>
    </row>
    <row r="414" spans="1:22" x14ac:dyDescent="0.25">
      <c r="A414" t="s">
        <v>1488</v>
      </c>
      <c r="B414" t="s">
        <v>1179</v>
      </c>
      <c r="C414">
        <v>5000000</v>
      </c>
      <c r="D414">
        <v>5030930</v>
      </c>
      <c r="E414">
        <v>5000000</v>
      </c>
      <c r="F414" t="s">
        <v>686</v>
      </c>
      <c r="G414">
        <v>7.9254899999999999</v>
      </c>
      <c r="H414" t="s">
        <v>1180</v>
      </c>
      <c r="I414" s="26">
        <v>50150</v>
      </c>
      <c r="J414">
        <v>360</v>
      </c>
      <c r="K414">
        <v>1</v>
      </c>
      <c r="L414">
        <v>7.9243439999999996</v>
      </c>
      <c r="M414" t="s">
        <v>1489</v>
      </c>
      <c r="N414" t="s">
        <v>1179</v>
      </c>
      <c r="O414" t="s">
        <v>127</v>
      </c>
      <c r="P414">
        <v>8.6662160539999995</v>
      </c>
      <c r="Q414">
        <v>350.34985889299998</v>
      </c>
      <c r="R414">
        <v>2024</v>
      </c>
      <c r="S414"/>
      <c r="T414" t="s">
        <v>27</v>
      </c>
      <c r="U414" t="s">
        <v>32</v>
      </c>
      <c r="V414" t="s">
        <v>37</v>
      </c>
    </row>
    <row r="415" spans="1:22" x14ac:dyDescent="0.25">
      <c r="A415" t="s">
        <v>1488</v>
      </c>
      <c r="B415" t="s">
        <v>1208</v>
      </c>
      <c r="C415">
        <v>9000000</v>
      </c>
      <c r="D415">
        <v>9014067</v>
      </c>
      <c r="E415">
        <v>9000000</v>
      </c>
      <c r="F415" t="s">
        <v>693</v>
      </c>
      <c r="G415">
        <v>6.7724000000000002</v>
      </c>
      <c r="H415" t="s">
        <v>1209</v>
      </c>
      <c r="I415" s="26">
        <v>50147</v>
      </c>
      <c r="J415">
        <v>245</v>
      </c>
      <c r="K415">
        <v>1</v>
      </c>
      <c r="L415">
        <v>6.7715180000000004</v>
      </c>
      <c r="M415" t="s">
        <v>1489</v>
      </c>
      <c r="N415" t="s">
        <v>1208</v>
      </c>
      <c r="O415" t="s">
        <v>217</v>
      </c>
      <c r="P415">
        <v>7.3418136140000003</v>
      </c>
      <c r="Q415">
        <v>242.262870161</v>
      </c>
      <c r="R415">
        <v>2025</v>
      </c>
      <c r="S415"/>
      <c r="T415" t="s">
        <v>27</v>
      </c>
      <c r="U415" t="s">
        <v>28</v>
      </c>
      <c r="V415" t="s">
        <v>33</v>
      </c>
    </row>
    <row r="416" spans="1:22" x14ac:dyDescent="0.25">
      <c r="A416" t="s">
        <v>1488</v>
      </c>
      <c r="B416" t="s">
        <v>1206</v>
      </c>
      <c r="C416">
        <v>5000000</v>
      </c>
      <c r="D416">
        <v>5044465</v>
      </c>
      <c r="E416">
        <v>5000000</v>
      </c>
      <c r="F416" t="s">
        <v>693</v>
      </c>
      <c r="G416">
        <v>7.4254899999999999</v>
      </c>
      <c r="H416" t="s">
        <v>1207</v>
      </c>
      <c r="I416" s="26">
        <v>50333</v>
      </c>
      <c r="J416">
        <v>310</v>
      </c>
      <c r="K416">
        <v>1</v>
      </c>
      <c r="L416">
        <v>7.4244830000000004</v>
      </c>
      <c r="M416" t="s">
        <v>1489</v>
      </c>
      <c r="N416" t="s">
        <v>1206</v>
      </c>
      <c r="O416" t="s">
        <v>217</v>
      </c>
      <c r="P416">
        <v>8.8497823130000004</v>
      </c>
      <c r="Q416">
        <v>296.69582815299998</v>
      </c>
      <c r="R416">
        <v>2024</v>
      </c>
      <c r="S416"/>
      <c r="T416" t="s">
        <v>27</v>
      </c>
      <c r="U416" t="s">
        <v>32</v>
      </c>
      <c r="V416" t="s">
        <v>37</v>
      </c>
    </row>
    <row r="417" spans="1:22" x14ac:dyDescent="0.25">
      <c r="A417" t="s">
        <v>1488</v>
      </c>
      <c r="B417" t="s">
        <v>692</v>
      </c>
      <c r="C417">
        <v>6670000</v>
      </c>
      <c r="D417">
        <v>6695812.9000000004</v>
      </c>
      <c r="E417">
        <v>6670000</v>
      </c>
      <c r="F417" t="s">
        <v>693</v>
      </c>
      <c r="G417">
        <v>6.1754899999999999</v>
      </c>
      <c r="H417" t="s">
        <v>694</v>
      </c>
      <c r="I417" s="26">
        <v>50426</v>
      </c>
      <c r="J417">
        <v>185</v>
      </c>
      <c r="K417">
        <v>1</v>
      </c>
      <c r="L417">
        <v>6.1747719999999999</v>
      </c>
      <c r="M417" t="s">
        <v>1489</v>
      </c>
      <c r="N417" t="s">
        <v>692</v>
      </c>
      <c r="O417" t="s">
        <v>217</v>
      </c>
      <c r="P417">
        <v>8.6996069580000004</v>
      </c>
      <c r="Q417">
        <v>179.36489314400001</v>
      </c>
      <c r="R417">
        <v>2024</v>
      </c>
      <c r="S417"/>
      <c r="T417" t="s">
        <v>23</v>
      </c>
      <c r="U417" t="s">
        <v>32</v>
      </c>
      <c r="V417" t="s">
        <v>33</v>
      </c>
    </row>
    <row r="418" spans="1:22" x14ac:dyDescent="0.25">
      <c r="A418" t="s">
        <v>1488</v>
      </c>
      <c r="B418" t="s">
        <v>1191</v>
      </c>
      <c r="C418">
        <v>4700000</v>
      </c>
      <c r="D418">
        <v>4712422.0999999996</v>
      </c>
      <c r="E418">
        <v>4700000</v>
      </c>
      <c r="F418" t="s">
        <v>364</v>
      </c>
      <c r="G418">
        <v>7.6175499999999996</v>
      </c>
      <c r="H418" t="s">
        <v>1192</v>
      </c>
      <c r="I418" s="26">
        <v>50328</v>
      </c>
      <c r="J418">
        <v>330</v>
      </c>
      <c r="K418">
        <v>1</v>
      </c>
      <c r="L418">
        <v>7.6164480000000001</v>
      </c>
      <c r="M418" t="s">
        <v>1489</v>
      </c>
      <c r="N418" t="s">
        <v>1191</v>
      </c>
      <c r="O418" t="s">
        <v>129</v>
      </c>
      <c r="P418">
        <v>9.0986853199999995</v>
      </c>
      <c r="Q418">
        <v>325.98295675399999</v>
      </c>
      <c r="R418">
        <v>2024</v>
      </c>
      <c r="S418"/>
      <c r="T418" t="s">
        <v>27</v>
      </c>
      <c r="U418" t="s">
        <v>32</v>
      </c>
      <c r="V418" t="s">
        <v>37</v>
      </c>
    </row>
    <row r="419" spans="1:22" x14ac:dyDescent="0.25">
      <c r="A419" t="s">
        <v>1488</v>
      </c>
      <c r="B419" t="s">
        <v>688</v>
      </c>
      <c r="C419">
        <v>5700000</v>
      </c>
      <c r="D419">
        <v>5711097.9000000004</v>
      </c>
      <c r="E419">
        <v>5700000</v>
      </c>
      <c r="F419" t="s">
        <v>364</v>
      </c>
      <c r="G419">
        <v>6.26755</v>
      </c>
      <c r="H419" t="s">
        <v>689</v>
      </c>
      <c r="I419" s="26">
        <v>50420</v>
      </c>
      <c r="J419">
        <v>195</v>
      </c>
      <c r="K419">
        <v>1</v>
      </c>
      <c r="L419">
        <v>6.2668039999999996</v>
      </c>
      <c r="M419" t="s">
        <v>1489</v>
      </c>
      <c r="N419" t="s">
        <v>688</v>
      </c>
      <c r="O419" t="s">
        <v>129</v>
      </c>
      <c r="P419">
        <v>8.6967420969999996</v>
      </c>
      <c r="Q419">
        <v>192.111211258</v>
      </c>
      <c r="R419">
        <v>2024</v>
      </c>
      <c r="S419"/>
      <c r="T419" t="s">
        <v>23</v>
      </c>
      <c r="U419" t="s">
        <v>32</v>
      </c>
      <c r="V419" t="s">
        <v>33</v>
      </c>
    </row>
    <row r="420" spans="1:22" x14ac:dyDescent="0.25">
      <c r="A420" t="s">
        <v>1488</v>
      </c>
      <c r="B420" t="s">
        <v>1189</v>
      </c>
      <c r="C420">
        <v>5700000</v>
      </c>
      <c r="D420">
        <v>5721967.7999999998</v>
      </c>
      <c r="E420">
        <v>5700000</v>
      </c>
      <c r="F420" t="s">
        <v>364</v>
      </c>
      <c r="G420">
        <v>7.3175499999999998</v>
      </c>
      <c r="H420" t="s">
        <v>1190</v>
      </c>
      <c r="I420" s="26">
        <v>50420</v>
      </c>
      <c r="J420">
        <v>300</v>
      </c>
      <c r="K420">
        <v>1</v>
      </c>
      <c r="L420">
        <v>7.3165339999999999</v>
      </c>
      <c r="M420" t="s">
        <v>1489</v>
      </c>
      <c r="N420" t="s">
        <v>1189</v>
      </c>
      <c r="O420" t="s">
        <v>129</v>
      </c>
      <c r="P420">
        <v>9.3279796919999995</v>
      </c>
      <c r="Q420">
        <v>294.39574424599999</v>
      </c>
      <c r="R420">
        <v>2024</v>
      </c>
      <c r="S420"/>
      <c r="T420" t="s">
        <v>27</v>
      </c>
      <c r="U420" t="s">
        <v>32</v>
      </c>
      <c r="V420" t="s">
        <v>37</v>
      </c>
    </row>
    <row r="421" spans="1:22" x14ac:dyDescent="0.25">
      <c r="A421" t="s">
        <v>1488</v>
      </c>
      <c r="B421" t="s">
        <v>1193</v>
      </c>
      <c r="C421">
        <v>7000000</v>
      </c>
      <c r="D421">
        <v>7026915</v>
      </c>
      <c r="E421">
        <v>7000000</v>
      </c>
      <c r="F421" t="s">
        <v>364</v>
      </c>
      <c r="G421">
        <v>6.9221300000000001</v>
      </c>
      <c r="H421" t="s">
        <v>1194</v>
      </c>
      <c r="I421" s="26">
        <v>50510</v>
      </c>
      <c r="J421">
        <v>270</v>
      </c>
      <c r="K421">
        <v>1</v>
      </c>
      <c r="L421">
        <v>6.9152279999999999</v>
      </c>
      <c r="M421" t="s">
        <v>1489</v>
      </c>
      <c r="N421" t="s">
        <v>1193</v>
      </c>
      <c r="O421" t="s">
        <v>221</v>
      </c>
      <c r="P421">
        <v>9.4396035210000004</v>
      </c>
      <c r="Q421">
        <v>264.48537290799999</v>
      </c>
      <c r="R421">
        <v>2025</v>
      </c>
      <c r="S421"/>
      <c r="T421" t="s">
        <v>27</v>
      </c>
      <c r="U421" t="s">
        <v>32</v>
      </c>
      <c r="V421" t="s">
        <v>33</v>
      </c>
    </row>
    <row r="422" spans="1:22" x14ac:dyDescent="0.25">
      <c r="A422" t="s">
        <v>1488</v>
      </c>
      <c r="B422" t="s">
        <v>690</v>
      </c>
      <c r="C422">
        <v>4000000</v>
      </c>
      <c r="D422">
        <v>4020572</v>
      </c>
      <c r="E422">
        <v>4000000</v>
      </c>
      <c r="F422" t="s">
        <v>364</v>
      </c>
      <c r="G422">
        <v>6.2175500000000001</v>
      </c>
      <c r="H422" t="s">
        <v>691</v>
      </c>
      <c r="I422" s="26">
        <v>50420</v>
      </c>
      <c r="J422">
        <v>190</v>
      </c>
      <c r="K422">
        <v>1</v>
      </c>
      <c r="L422">
        <v>6.2168159999999997</v>
      </c>
      <c r="M422" t="s">
        <v>1489</v>
      </c>
      <c r="N422" t="s">
        <v>690</v>
      </c>
      <c r="O422" t="s">
        <v>221</v>
      </c>
      <c r="P422">
        <v>8.7709917419999996</v>
      </c>
      <c r="Q422">
        <v>182.599077131</v>
      </c>
      <c r="R422">
        <v>2024</v>
      </c>
      <c r="S422"/>
      <c r="T422" t="s">
        <v>23</v>
      </c>
      <c r="U422" t="s">
        <v>32</v>
      </c>
      <c r="V422" t="s">
        <v>33</v>
      </c>
    </row>
    <row r="423" spans="1:22" x14ac:dyDescent="0.25">
      <c r="A423" t="s">
        <v>1488</v>
      </c>
      <c r="B423" t="s">
        <v>1212</v>
      </c>
      <c r="C423">
        <v>8650000</v>
      </c>
      <c r="D423">
        <v>8696562.9499999993</v>
      </c>
      <c r="E423">
        <v>8650000</v>
      </c>
      <c r="F423" t="s">
        <v>693</v>
      </c>
      <c r="G423">
        <v>6.8172899999999998</v>
      </c>
      <c r="H423" t="s">
        <v>1213</v>
      </c>
      <c r="I423" s="26">
        <v>50511</v>
      </c>
      <c r="J423">
        <v>250</v>
      </c>
      <c r="K423">
        <v>1</v>
      </c>
      <c r="L423">
        <v>6.8094619999999999</v>
      </c>
      <c r="M423" t="s">
        <v>1489</v>
      </c>
      <c r="N423" t="s">
        <v>1212</v>
      </c>
      <c r="O423" t="s">
        <v>217</v>
      </c>
      <c r="P423">
        <v>9.4318943019999999</v>
      </c>
      <c r="Q423">
        <v>242.20671390699999</v>
      </c>
      <c r="R423">
        <v>2025</v>
      </c>
      <c r="S423"/>
      <c r="T423" t="s">
        <v>27</v>
      </c>
      <c r="U423" t="s">
        <v>32</v>
      </c>
      <c r="V423" t="s">
        <v>33</v>
      </c>
    </row>
    <row r="424" spans="1:22" x14ac:dyDescent="0.25">
      <c r="A424" t="s">
        <v>1488</v>
      </c>
      <c r="B424" t="s">
        <v>501</v>
      </c>
      <c r="C424">
        <v>8650000</v>
      </c>
      <c r="D424">
        <v>8724554.3499999996</v>
      </c>
      <c r="E424">
        <v>8650000</v>
      </c>
      <c r="F424" t="s">
        <v>1215</v>
      </c>
      <c r="G424">
        <v>8.2184600000000003</v>
      </c>
      <c r="H424" t="s">
        <v>500</v>
      </c>
      <c r="I424" s="26">
        <v>50611</v>
      </c>
      <c r="J424">
        <v>390</v>
      </c>
      <c r="K424">
        <v>1</v>
      </c>
      <c r="L424">
        <v>8.2171830000000003</v>
      </c>
      <c r="M424" t="s">
        <v>1489</v>
      </c>
      <c r="N424" t="s">
        <v>501</v>
      </c>
      <c r="O424" t="s">
        <v>130</v>
      </c>
      <c r="P424">
        <v>9.7381478000000001</v>
      </c>
      <c r="Q424">
        <v>377.50389464900002</v>
      </c>
      <c r="R424">
        <v>2025</v>
      </c>
      <c r="S424"/>
      <c r="T424" t="s">
        <v>27</v>
      </c>
      <c r="U424" t="s">
        <v>32</v>
      </c>
      <c r="V424" t="s">
        <v>37</v>
      </c>
    </row>
    <row r="425" spans="1:22" x14ac:dyDescent="0.25">
      <c r="A425" t="s">
        <v>1488</v>
      </c>
      <c r="B425" t="s">
        <v>1219</v>
      </c>
      <c r="C425">
        <v>1031000</v>
      </c>
      <c r="D425">
        <v>1033445.53</v>
      </c>
      <c r="E425">
        <v>992337.5</v>
      </c>
      <c r="F425" t="s">
        <v>1215</v>
      </c>
      <c r="G425">
        <v>8.4800699999999996</v>
      </c>
      <c r="H425" t="s">
        <v>1220</v>
      </c>
      <c r="I425" s="26">
        <v>48512</v>
      </c>
      <c r="J425">
        <v>416.161</v>
      </c>
      <c r="K425">
        <v>1</v>
      </c>
      <c r="L425">
        <v>8.7336030000000004</v>
      </c>
      <c r="M425" t="s">
        <v>1489</v>
      </c>
      <c r="N425" t="s">
        <v>1219</v>
      </c>
      <c r="O425" t="s">
        <v>130</v>
      </c>
      <c r="P425">
        <v>4.6780564289999997</v>
      </c>
      <c r="Q425">
        <v>409.88136086399999</v>
      </c>
      <c r="R425">
        <v>2019</v>
      </c>
      <c r="S425"/>
      <c r="T425" t="s">
        <v>27</v>
      </c>
      <c r="U425" t="s">
        <v>24</v>
      </c>
      <c r="V425" t="s">
        <v>37</v>
      </c>
    </row>
    <row r="426" spans="1:22" x14ac:dyDescent="0.25">
      <c r="A426" t="s">
        <v>1488</v>
      </c>
      <c r="B426" t="s">
        <v>1219</v>
      </c>
      <c r="C426">
        <v>1500000</v>
      </c>
      <c r="D426">
        <v>1503558</v>
      </c>
      <c r="E426">
        <v>1449375</v>
      </c>
      <c r="F426" t="s">
        <v>1215</v>
      </c>
      <c r="G426">
        <v>8.4800699999999996</v>
      </c>
      <c r="H426" t="s">
        <v>1220</v>
      </c>
      <c r="I426" s="26">
        <v>48512</v>
      </c>
      <c r="J426">
        <v>416.161</v>
      </c>
      <c r="K426">
        <v>1</v>
      </c>
      <c r="L426">
        <v>8.7336030000000004</v>
      </c>
      <c r="M426" t="s">
        <v>1489</v>
      </c>
      <c r="N426" t="s">
        <v>1219</v>
      </c>
      <c r="O426" t="s">
        <v>130</v>
      </c>
      <c r="P426">
        <v>4.6780564289999997</v>
      </c>
      <c r="Q426">
        <v>409.88136086399999</v>
      </c>
      <c r="R426">
        <v>2019</v>
      </c>
      <c r="S426"/>
      <c r="T426" t="s">
        <v>27</v>
      </c>
      <c r="U426" t="s">
        <v>24</v>
      </c>
      <c r="V426" t="s">
        <v>37</v>
      </c>
    </row>
    <row r="427" spans="1:22" x14ac:dyDescent="0.25">
      <c r="A427" t="s">
        <v>1488</v>
      </c>
      <c r="B427" t="s">
        <v>1219</v>
      </c>
      <c r="C427">
        <v>9540000</v>
      </c>
      <c r="D427">
        <v>9562628.8800000008</v>
      </c>
      <c r="E427">
        <v>9555292.6199999992</v>
      </c>
      <c r="F427" t="s">
        <v>1215</v>
      </c>
      <c r="G427">
        <v>8.4800699999999996</v>
      </c>
      <c r="H427" t="s">
        <v>1220</v>
      </c>
      <c r="I427" s="26">
        <v>48512</v>
      </c>
      <c r="J427">
        <v>416.161</v>
      </c>
      <c r="K427">
        <v>1</v>
      </c>
      <c r="L427">
        <v>8.7336030000000004</v>
      </c>
      <c r="M427" t="s">
        <v>1489</v>
      </c>
      <c r="N427" t="s">
        <v>1219</v>
      </c>
      <c r="O427" t="s">
        <v>130</v>
      </c>
      <c r="P427">
        <v>4.6780564289999997</v>
      </c>
      <c r="Q427">
        <v>409.88136086399999</v>
      </c>
      <c r="R427">
        <v>2019</v>
      </c>
      <c r="S427"/>
      <c r="T427" t="s">
        <v>27</v>
      </c>
      <c r="U427" t="s">
        <v>24</v>
      </c>
      <c r="V427" t="s">
        <v>37</v>
      </c>
    </row>
    <row r="428" spans="1:22" x14ac:dyDescent="0.25">
      <c r="A428" t="s">
        <v>1488</v>
      </c>
      <c r="B428" t="s">
        <v>1223</v>
      </c>
      <c r="C428">
        <v>10300000</v>
      </c>
      <c r="D428">
        <v>10348863.199999999</v>
      </c>
      <c r="E428">
        <v>10300000</v>
      </c>
      <c r="F428" t="s">
        <v>1215</v>
      </c>
      <c r="G428">
        <v>7.2319899999999997</v>
      </c>
      <c r="H428" t="s">
        <v>1224</v>
      </c>
      <c r="I428" s="26">
        <v>50427</v>
      </c>
      <c r="J428">
        <v>290</v>
      </c>
      <c r="K428">
        <v>1</v>
      </c>
      <c r="L428">
        <v>7.2310049999999997</v>
      </c>
      <c r="M428" t="s">
        <v>1489</v>
      </c>
      <c r="N428" t="s">
        <v>1223</v>
      </c>
      <c r="O428" t="s">
        <v>130</v>
      </c>
      <c r="P428">
        <v>9.3028813039999996</v>
      </c>
      <c r="Q428">
        <v>283.14639329599999</v>
      </c>
      <c r="R428">
        <v>2025</v>
      </c>
      <c r="S428"/>
      <c r="T428" t="s">
        <v>27</v>
      </c>
      <c r="U428" t="s">
        <v>32</v>
      </c>
      <c r="V428" t="s">
        <v>37</v>
      </c>
    </row>
    <row r="429" spans="1:22" x14ac:dyDescent="0.25">
      <c r="A429" t="s">
        <v>1488</v>
      </c>
      <c r="B429" t="s">
        <v>1227</v>
      </c>
      <c r="C429">
        <v>3499823</v>
      </c>
      <c r="D429">
        <v>3505233.73</v>
      </c>
      <c r="E429">
        <v>3498073.09</v>
      </c>
      <c r="F429" t="s">
        <v>1215</v>
      </c>
      <c r="G429">
        <v>7.6291599999999997</v>
      </c>
      <c r="H429" t="s">
        <v>1228</v>
      </c>
      <c r="I429" s="26">
        <v>49140</v>
      </c>
      <c r="J429">
        <v>331.161</v>
      </c>
      <c r="K429">
        <v>1</v>
      </c>
      <c r="L429">
        <v>7.7447470000000003</v>
      </c>
      <c r="M429" t="s">
        <v>1489</v>
      </c>
      <c r="N429" t="s">
        <v>1227</v>
      </c>
      <c r="O429" t="s">
        <v>130</v>
      </c>
      <c r="P429">
        <v>5.9896885720000004</v>
      </c>
      <c r="Q429">
        <v>327.84966778799998</v>
      </c>
      <c r="R429">
        <v>2021</v>
      </c>
      <c r="S429"/>
      <c r="T429" t="s">
        <v>27</v>
      </c>
      <c r="U429" t="s">
        <v>24</v>
      </c>
      <c r="V429" t="s">
        <v>37</v>
      </c>
    </row>
    <row r="430" spans="1:22" x14ac:dyDescent="0.25">
      <c r="A430" t="s">
        <v>1488</v>
      </c>
      <c r="B430" t="s">
        <v>1221</v>
      </c>
      <c r="C430">
        <v>6250000</v>
      </c>
      <c r="D430">
        <v>6125906.25</v>
      </c>
      <c r="E430">
        <v>6250000</v>
      </c>
      <c r="F430" t="s">
        <v>1215</v>
      </c>
      <c r="G430">
        <v>7.51755</v>
      </c>
      <c r="H430" t="s">
        <v>1222</v>
      </c>
      <c r="I430" s="26">
        <v>49414</v>
      </c>
      <c r="J430">
        <v>320</v>
      </c>
      <c r="K430">
        <v>1</v>
      </c>
      <c r="L430">
        <v>7.6298159999999999</v>
      </c>
      <c r="M430" t="s">
        <v>1489</v>
      </c>
      <c r="N430" t="s">
        <v>1221</v>
      </c>
      <c r="O430" t="s">
        <v>130</v>
      </c>
      <c r="P430">
        <v>6.4799685450000002</v>
      </c>
      <c r="Q430">
        <v>357.830071444</v>
      </c>
      <c r="R430">
        <v>2022</v>
      </c>
      <c r="S430"/>
      <c r="T430" t="s">
        <v>27</v>
      </c>
      <c r="U430" t="s">
        <v>28</v>
      </c>
      <c r="V430" t="s">
        <v>37</v>
      </c>
    </row>
    <row r="431" spans="1:22" x14ac:dyDescent="0.25">
      <c r="A431" t="s">
        <v>1488</v>
      </c>
      <c r="B431" t="s">
        <v>1225</v>
      </c>
      <c r="C431">
        <v>5000000</v>
      </c>
      <c r="D431">
        <v>5019250</v>
      </c>
      <c r="E431">
        <v>5000000</v>
      </c>
      <c r="F431" t="s">
        <v>1215</v>
      </c>
      <c r="G431">
        <v>8.3675499999999996</v>
      </c>
      <c r="H431" t="s">
        <v>1226</v>
      </c>
      <c r="I431" s="26">
        <v>50145</v>
      </c>
      <c r="J431">
        <v>405</v>
      </c>
      <c r="K431">
        <v>1</v>
      </c>
      <c r="L431">
        <v>8.3662179999999999</v>
      </c>
      <c r="M431" t="s">
        <v>1489</v>
      </c>
      <c r="N431" t="s">
        <v>1225</v>
      </c>
      <c r="O431" t="s">
        <v>130</v>
      </c>
      <c r="P431">
        <v>8.6634616520000005</v>
      </c>
      <c r="Q431">
        <v>398.79715744700002</v>
      </c>
      <c r="R431">
        <v>2024</v>
      </c>
      <c r="S431"/>
      <c r="T431" t="s">
        <v>27</v>
      </c>
      <c r="U431" t="s">
        <v>32</v>
      </c>
      <c r="V431" t="s">
        <v>37</v>
      </c>
    </row>
    <row r="432" spans="1:22" x14ac:dyDescent="0.25">
      <c r="A432" t="s">
        <v>1488</v>
      </c>
      <c r="B432" t="s">
        <v>1214</v>
      </c>
      <c r="C432">
        <v>6000000</v>
      </c>
      <c r="D432">
        <v>6027366</v>
      </c>
      <c r="E432">
        <v>5993700</v>
      </c>
      <c r="F432" t="s">
        <v>1215</v>
      </c>
      <c r="G432">
        <v>7.5840100000000001</v>
      </c>
      <c r="H432" t="s">
        <v>1216</v>
      </c>
      <c r="I432" s="26">
        <v>47681</v>
      </c>
      <c r="J432">
        <v>326.161</v>
      </c>
      <c r="K432">
        <v>1</v>
      </c>
      <c r="L432">
        <v>7.7779639999999999</v>
      </c>
      <c r="M432" t="s">
        <v>1489</v>
      </c>
      <c r="N432" t="s">
        <v>1214</v>
      </c>
      <c r="O432" t="s">
        <v>130</v>
      </c>
      <c r="P432">
        <v>3.242261461</v>
      </c>
      <c r="Q432">
        <v>310.06510001300001</v>
      </c>
      <c r="R432">
        <v>2018</v>
      </c>
      <c r="S432"/>
      <c r="T432" t="s">
        <v>27</v>
      </c>
      <c r="U432" t="s">
        <v>20</v>
      </c>
      <c r="V432" t="s">
        <v>37</v>
      </c>
    </row>
    <row r="433" spans="1:22" x14ac:dyDescent="0.25">
      <c r="A433" t="s">
        <v>1488</v>
      </c>
      <c r="B433" t="s">
        <v>1214</v>
      </c>
      <c r="C433">
        <v>1520000</v>
      </c>
      <c r="D433">
        <v>1526932.72</v>
      </c>
      <c r="E433">
        <v>1498634.12</v>
      </c>
      <c r="F433" t="s">
        <v>1215</v>
      </c>
      <c r="G433">
        <v>7.5840100000000001</v>
      </c>
      <c r="H433" t="s">
        <v>1216</v>
      </c>
      <c r="I433" s="26">
        <v>47681</v>
      </c>
      <c r="J433">
        <v>326.161</v>
      </c>
      <c r="K433">
        <v>1</v>
      </c>
      <c r="L433">
        <v>7.7779639999999999</v>
      </c>
      <c r="M433" t="s">
        <v>1489</v>
      </c>
      <c r="N433" t="s">
        <v>1214</v>
      </c>
      <c r="O433" t="s">
        <v>130</v>
      </c>
      <c r="P433">
        <v>3.242261461</v>
      </c>
      <c r="Q433">
        <v>310.06510001300001</v>
      </c>
      <c r="R433">
        <v>2018</v>
      </c>
      <c r="S433"/>
      <c r="T433" t="s">
        <v>27</v>
      </c>
      <c r="U433" t="s">
        <v>20</v>
      </c>
      <c r="V433" t="s">
        <v>37</v>
      </c>
    </row>
    <row r="434" spans="1:22" x14ac:dyDescent="0.25">
      <c r="A434" t="s">
        <v>1488</v>
      </c>
      <c r="B434" t="s">
        <v>1214</v>
      </c>
      <c r="C434">
        <v>1520000</v>
      </c>
      <c r="D434">
        <v>1526932.72</v>
      </c>
      <c r="E434">
        <v>1508296</v>
      </c>
      <c r="F434" t="s">
        <v>1215</v>
      </c>
      <c r="G434">
        <v>7.5840100000000001</v>
      </c>
      <c r="H434" t="s">
        <v>1216</v>
      </c>
      <c r="I434" s="26">
        <v>47681</v>
      </c>
      <c r="J434">
        <v>326.161</v>
      </c>
      <c r="K434">
        <v>1</v>
      </c>
      <c r="L434">
        <v>7.7779639999999999</v>
      </c>
      <c r="M434" t="s">
        <v>1489</v>
      </c>
      <c r="N434" t="s">
        <v>1214</v>
      </c>
      <c r="O434" t="s">
        <v>130</v>
      </c>
      <c r="P434">
        <v>3.242261461</v>
      </c>
      <c r="Q434">
        <v>310.06510001300001</v>
      </c>
      <c r="R434">
        <v>2018</v>
      </c>
      <c r="S434"/>
      <c r="T434" t="s">
        <v>27</v>
      </c>
      <c r="U434" t="s">
        <v>20</v>
      </c>
      <c r="V434" t="s">
        <v>37</v>
      </c>
    </row>
    <row r="435" spans="1:22" x14ac:dyDescent="0.25">
      <c r="A435" t="s">
        <v>1488</v>
      </c>
      <c r="B435" t="s">
        <v>1217</v>
      </c>
      <c r="C435">
        <v>2725000</v>
      </c>
      <c r="D435">
        <v>2731867</v>
      </c>
      <c r="E435">
        <v>2500187.5</v>
      </c>
      <c r="F435" t="s">
        <v>1215</v>
      </c>
      <c r="G435">
        <v>7.5370999999999997</v>
      </c>
      <c r="H435" t="s">
        <v>1218</v>
      </c>
      <c r="I435" s="26">
        <v>47776</v>
      </c>
      <c r="J435">
        <v>321.161</v>
      </c>
      <c r="K435">
        <v>1</v>
      </c>
      <c r="L435">
        <v>9.4837679999999995</v>
      </c>
      <c r="M435" t="s">
        <v>1489</v>
      </c>
      <c r="N435" t="s">
        <v>1217</v>
      </c>
      <c r="O435" t="s">
        <v>130</v>
      </c>
      <c r="P435">
        <v>3.1716607560000001</v>
      </c>
      <c r="Q435">
        <v>311.82993430599998</v>
      </c>
      <c r="R435">
        <v>2018</v>
      </c>
      <c r="S435"/>
      <c r="T435" t="s">
        <v>27</v>
      </c>
      <c r="U435" t="s">
        <v>20</v>
      </c>
      <c r="V435" t="s">
        <v>37</v>
      </c>
    </row>
    <row r="436" spans="1:22" x14ac:dyDescent="0.25">
      <c r="A436" t="s">
        <v>1488</v>
      </c>
      <c r="B436" t="s">
        <v>1229</v>
      </c>
      <c r="C436">
        <v>500000</v>
      </c>
      <c r="D436">
        <v>503519</v>
      </c>
      <c r="E436">
        <v>500000</v>
      </c>
      <c r="F436" t="s">
        <v>1215</v>
      </c>
      <c r="G436">
        <v>7.4254899999999999</v>
      </c>
      <c r="H436" t="s">
        <v>1230</v>
      </c>
      <c r="I436" s="26">
        <v>50333</v>
      </c>
      <c r="J436">
        <v>310</v>
      </c>
      <c r="K436">
        <v>1</v>
      </c>
      <c r="L436">
        <v>7.4244830000000004</v>
      </c>
      <c r="M436" t="s">
        <v>1489</v>
      </c>
      <c r="N436" t="s">
        <v>1229</v>
      </c>
      <c r="O436" t="s">
        <v>130</v>
      </c>
      <c r="P436">
        <v>9.0544673150000001</v>
      </c>
      <c r="Q436">
        <v>299.59756122900001</v>
      </c>
      <c r="R436">
        <v>2024</v>
      </c>
      <c r="S436"/>
      <c r="T436" t="s">
        <v>27</v>
      </c>
      <c r="U436" t="s">
        <v>32</v>
      </c>
      <c r="V436" t="s">
        <v>37</v>
      </c>
    </row>
    <row r="437" spans="1:22" x14ac:dyDescent="0.25">
      <c r="A437" t="s">
        <v>1488</v>
      </c>
      <c r="B437" t="s">
        <v>1234</v>
      </c>
      <c r="C437">
        <v>10000000</v>
      </c>
      <c r="D437">
        <v>10065870</v>
      </c>
      <c r="E437">
        <v>10000000</v>
      </c>
      <c r="F437" t="s">
        <v>1215</v>
      </c>
      <c r="G437">
        <v>6.9319899999999999</v>
      </c>
      <c r="H437" t="s">
        <v>1235</v>
      </c>
      <c r="I437" s="26">
        <v>50517</v>
      </c>
      <c r="J437">
        <v>260</v>
      </c>
      <c r="K437">
        <v>1</v>
      </c>
      <c r="L437">
        <v>6.9310859999999996</v>
      </c>
      <c r="M437" t="s">
        <v>1489</v>
      </c>
      <c r="N437" t="s">
        <v>1234</v>
      </c>
      <c r="O437" t="s">
        <v>130</v>
      </c>
      <c r="P437">
        <v>9.4914776379999992</v>
      </c>
      <c r="Q437">
        <v>250.805644091</v>
      </c>
      <c r="R437">
        <v>2025</v>
      </c>
      <c r="S437"/>
      <c r="T437" t="s">
        <v>27</v>
      </c>
      <c r="U437" t="s">
        <v>32</v>
      </c>
      <c r="V437" t="s">
        <v>33</v>
      </c>
    </row>
    <row r="438" spans="1:22" x14ac:dyDescent="0.25">
      <c r="A438" t="s">
        <v>1488</v>
      </c>
      <c r="B438" t="s">
        <v>1231</v>
      </c>
      <c r="C438">
        <v>1000000</v>
      </c>
      <c r="D438">
        <v>1005170</v>
      </c>
      <c r="E438">
        <v>1000000</v>
      </c>
      <c r="F438" t="s">
        <v>1232</v>
      </c>
      <c r="G438">
        <v>8.5254899999999996</v>
      </c>
      <c r="H438" t="s">
        <v>1233</v>
      </c>
      <c r="I438" s="26">
        <v>49968</v>
      </c>
      <c r="J438">
        <v>420</v>
      </c>
      <c r="K438">
        <v>1</v>
      </c>
      <c r="L438">
        <v>8.524165</v>
      </c>
      <c r="M438" t="s">
        <v>1489</v>
      </c>
      <c r="N438" t="s">
        <v>1231</v>
      </c>
      <c r="O438" t="s">
        <v>130</v>
      </c>
      <c r="P438">
        <v>7.9476811170000001</v>
      </c>
      <c r="Q438">
        <v>411.12574331600001</v>
      </c>
      <c r="R438">
        <v>2023</v>
      </c>
      <c r="S438"/>
      <c r="T438" t="s">
        <v>27</v>
      </c>
      <c r="U438" t="s">
        <v>28</v>
      </c>
      <c r="V438" t="s">
        <v>37</v>
      </c>
    </row>
    <row r="439" spans="1:22" x14ac:dyDescent="0.25">
      <c r="A439" t="s">
        <v>1488</v>
      </c>
      <c r="B439" t="s">
        <v>1175</v>
      </c>
      <c r="C439">
        <v>3000000</v>
      </c>
      <c r="D439">
        <v>3019113</v>
      </c>
      <c r="E439">
        <v>3045000</v>
      </c>
      <c r="F439" t="s">
        <v>683</v>
      </c>
      <c r="G439">
        <v>8.5254899999999996</v>
      </c>
      <c r="H439" t="s">
        <v>1176</v>
      </c>
      <c r="I439" s="26">
        <v>50242</v>
      </c>
      <c r="J439">
        <v>420</v>
      </c>
      <c r="K439">
        <v>1</v>
      </c>
      <c r="L439">
        <v>8.2463800000000003</v>
      </c>
      <c r="M439" t="s">
        <v>1489</v>
      </c>
      <c r="N439" t="s">
        <v>1175</v>
      </c>
      <c r="O439" t="s">
        <v>127</v>
      </c>
      <c r="P439">
        <v>9.2305555560000005</v>
      </c>
      <c r="Q439">
        <v>410.24045592800002</v>
      </c>
      <c r="R439">
        <v>2024</v>
      </c>
      <c r="S439"/>
      <c r="T439" t="s">
        <v>27</v>
      </c>
      <c r="U439" t="s">
        <v>32</v>
      </c>
      <c r="V439" t="s">
        <v>37</v>
      </c>
    </row>
    <row r="440" spans="1:22" x14ac:dyDescent="0.25">
      <c r="A440" t="s">
        <v>1488</v>
      </c>
      <c r="B440" t="s">
        <v>682</v>
      </c>
      <c r="C440">
        <v>25000000</v>
      </c>
      <c r="D440">
        <v>25167600</v>
      </c>
      <c r="E440">
        <v>25000000</v>
      </c>
      <c r="F440" t="s">
        <v>683</v>
      </c>
      <c r="G440">
        <v>6.6754899999999999</v>
      </c>
      <c r="H440" t="s">
        <v>684</v>
      </c>
      <c r="I440" s="26">
        <v>50150</v>
      </c>
      <c r="J440">
        <v>235</v>
      </c>
      <c r="K440">
        <v>1</v>
      </c>
      <c r="L440">
        <v>6.6746749999999997</v>
      </c>
      <c r="M440" t="s">
        <v>1489</v>
      </c>
      <c r="N440" t="s">
        <v>682</v>
      </c>
      <c r="O440" t="s">
        <v>127</v>
      </c>
      <c r="P440">
        <v>7.7114266970000003</v>
      </c>
      <c r="Q440">
        <v>224.15269092899999</v>
      </c>
      <c r="R440">
        <v>2024</v>
      </c>
      <c r="S440"/>
      <c r="T440" t="s">
        <v>23</v>
      </c>
      <c r="U440" t="s">
        <v>28</v>
      </c>
      <c r="V440" t="s">
        <v>33</v>
      </c>
    </row>
    <row r="441" spans="1:22" x14ac:dyDescent="0.25">
      <c r="A441" t="s">
        <v>1488</v>
      </c>
      <c r="B441" t="s">
        <v>1177</v>
      </c>
      <c r="C441">
        <v>1000000</v>
      </c>
      <c r="D441">
        <v>1007474</v>
      </c>
      <c r="E441">
        <v>1000000</v>
      </c>
      <c r="F441" t="s">
        <v>683</v>
      </c>
      <c r="G441">
        <v>7.7754899999999996</v>
      </c>
      <c r="H441" t="s">
        <v>1178</v>
      </c>
      <c r="I441" s="26">
        <v>50150</v>
      </c>
      <c r="J441">
        <v>345</v>
      </c>
      <c r="K441">
        <v>1</v>
      </c>
      <c r="L441">
        <v>7.7743859999999998</v>
      </c>
      <c r="M441" t="s">
        <v>1489</v>
      </c>
      <c r="N441" t="s">
        <v>1177</v>
      </c>
      <c r="O441" t="s">
        <v>127</v>
      </c>
      <c r="P441">
        <v>8.220652394</v>
      </c>
      <c r="Q441">
        <v>332.99854204100001</v>
      </c>
      <c r="R441">
        <v>2024</v>
      </c>
      <c r="S441"/>
      <c r="T441" t="s">
        <v>27</v>
      </c>
      <c r="U441" t="s">
        <v>32</v>
      </c>
      <c r="V441" t="s">
        <v>37</v>
      </c>
    </row>
    <row r="442" spans="1:22" x14ac:dyDescent="0.25">
      <c r="A442" t="s">
        <v>1488</v>
      </c>
      <c r="B442" t="s">
        <v>1171</v>
      </c>
      <c r="C442">
        <v>4050000</v>
      </c>
      <c r="D442">
        <v>4037878.35</v>
      </c>
      <c r="E442">
        <v>4050000</v>
      </c>
      <c r="F442" t="s">
        <v>683</v>
      </c>
      <c r="G442">
        <v>6.8254900000000003</v>
      </c>
      <c r="H442" t="s">
        <v>1172</v>
      </c>
      <c r="I442" s="26">
        <v>50515</v>
      </c>
      <c r="J442">
        <v>250</v>
      </c>
      <c r="K442">
        <v>1</v>
      </c>
      <c r="L442">
        <v>6.8246390000000003</v>
      </c>
      <c r="M442" t="s">
        <v>1489</v>
      </c>
      <c r="N442" t="s">
        <v>1171</v>
      </c>
      <c r="O442" t="s">
        <v>127</v>
      </c>
      <c r="P442">
        <v>9.3192894129999999</v>
      </c>
      <c r="Q442">
        <v>254.08030531399999</v>
      </c>
      <c r="R442">
        <v>2025</v>
      </c>
      <c r="S442"/>
      <c r="T442" t="s">
        <v>27</v>
      </c>
      <c r="U442" t="s">
        <v>32</v>
      </c>
      <c r="V442" t="s">
        <v>33</v>
      </c>
    </row>
    <row r="443" spans="1:22" x14ac:dyDescent="0.25">
      <c r="A443" t="s">
        <v>1488</v>
      </c>
      <c r="B443" t="s">
        <v>1185</v>
      </c>
      <c r="C443">
        <v>1000000</v>
      </c>
      <c r="D443">
        <v>995735</v>
      </c>
      <c r="E443">
        <v>1000000</v>
      </c>
      <c r="F443" t="s">
        <v>686</v>
      </c>
      <c r="G443">
        <v>6.9754899999999997</v>
      </c>
      <c r="H443" t="s">
        <v>1186</v>
      </c>
      <c r="I443" s="26">
        <v>50425</v>
      </c>
      <c r="J443">
        <v>265</v>
      </c>
      <c r="K443">
        <v>1</v>
      </c>
      <c r="L443">
        <v>6.9746009999999998</v>
      </c>
      <c r="M443" t="s">
        <v>1489</v>
      </c>
      <c r="N443" t="s">
        <v>1185</v>
      </c>
      <c r="O443" t="s">
        <v>127</v>
      </c>
      <c r="P443">
        <v>9.0338301679999997</v>
      </c>
      <c r="Q443">
        <v>271.03684029700003</v>
      </c>
      <c r="R443">
        <v>2025</v>
      </c>
      <c r="S443"/>
      <c r="T443" t="s">
        <v>27</v>
      </c>
      <c r="U443" t="s">
        <v>32</v>
      </c>
      <c r="V443" t="s">
        <v>33</v>
      </c>
    </row>
    <row r="444" spans="1:22" x14ac:dyDescent="0.25">
      <c r="A444" t="s">
        <v>1488</v>
      </c>
      <c r="B444" t="s">
        <v>767</v>
      </c>
      <c r="C444">
        <v>1000000</v>
      </c>
      <c r="D444">
        <v>1005619</v>
      </c>
      <c r="E444">
        <v>1000000</v>
      </c>
      <c r="F444" t="s">
        <v>765</v>
      </c>
      <c r="G444">
        <v>7.8684599999999998</v>
      </c>
      <c r="H444" t="s">
        <v>768</v>
      </c>
      <c r="I444" s="26">
        <v>50246</v>
      </c>
      <c r="J444">
        <v>355</v>
      </c>
      <c r="K444">
        <v>1</v>
      </c>
      <c r="L444">
        <v>7.8672870000000001</v>
      </c>
      <c r="M444" t="s">
        <v>1489</v>
      </c>
      <c r="N444" t="s">
        <v>767</v>
      </c>
      <c r="O444" t="s">
        <v>222</v>
      </c>
      <c r="P444">
        <v>8.7571252529999999</v>
      </c>
      <c r="Q444">
        <v>346.29219905600002</v>
      </c>
      <c r="R444">
        <v>2024</v>
      </c>
      <c r="S444"/>
      <c r="T444" t="s">
        <v>27</v>
      </c>
      <c r="U444" t="s">
        <v>32</v>
      </c>
      <c r="V444" t="s">
        <v>37</v>
      </c>
    </row>
    <row r="445" spans="1:22" x14ac:dyDescent="0.25">
      <c r="A445" t="s">
        <v>1488</v>
      </c>
      <c r="B445" t="s">
        <v>764</v>
      </c>
      <c r="C445">
        <v>1000000</v>
      </c>
      <c r="D445">
        <v>1008954</v>
      </c>
      <c r="E445">
        <v>1000000</v>
      </c>
      <c r="F445" t="s">
        <v>765</v>
      </c>
      <c r="G445">
        <v>9.6184600000000007</v>
      </c>
      <c r="H445" t="s">
        <v>766</v>
      </c>
      <c r="I445" s="26">
        <v>50065</v>
      </c>
      <c r="J445">
        <v>530</v>
      </c>
      <c r="K445">
        <v>1</v>
      </c>
      <c r="L445">
        <v>9.6167069999999999</v>
      </c>
      <c r="M445" t="s">
        <v>1489</v>
      </c>
      <c r="N445" t="s">
        <v>764</v>
      </c>
      <c r="O445" t="s">
        <v>222</v>
      </c>
      <c r="P445">
        <v>7.9320862270000001</v>
      </c>
      <c r="Q445">
        <v>514.15173217899996</v>
      </c>
      <c r="R445">
        <v>2023</v>
      </c>
      <c r="S445"/>
      <c r="T445" t="s">
        <v>27</v>
      </c>
      <c r="U445" t="s">
        <v>28</v>
      </c>
      <c r="V445" t="s">
        <v>37</v>
      </c>
    </row>
    <row r="446" spans="1:22" x14ac:dyDescent="0.25">
      <c r="A446" t="s">
        <v>1488</v>
      </c>
      <c r="B446" t="s">
        <v>1246</v>
      </c>
      <c r="C446">
        <v>500000</v>
      </c>
      <c r="D446">
        <v>500025</v>
      </c>
      <c r="E446">
        <v>497925</v>
      </c>
      <c r="F446" t="s">
        <v>374</v>
      </c>
      <c r="G446">
        <v>7.5291600000000001</v>
      </c>
      <c r="H446" t="s">
        <v>1247</v>
      </c>
      <c r="I446" s="26">
        <v>49324</v>
      </c>
      <c r="J446">
        <v>321.161</v>
      </c>
      <c r="K446">
        <v>1</v>
      </c>
      <c r="L446">
        <v>7.615272</v>
      </c>
      <c r="M446" t="s">
        <v>1489</v>
      </c>
      <c r="N446" t="s">
        <v>1246</v>
      </c>
      <c r="O446" t="s">
        <v>131</v>
      </c>
      <c r="P446">
        <v>6.2830814159999999</v>
      </c>
      <c r="Q446"/>
      <c r="R446">
        <v>2021</v>
      </c>
      <c r="S446"/>
      <c r="T446" t="s">
        <v>27</v>
      </c>
      <c r="U446" t="s">
        <v>28</v>
      </c>
      <c r="V446" t="s">
        <v>37</v>
      </c>
    </row>
    <row r="447" spans="1:22" x14ac:dyDescent="0.25">
      <c r="A447" t="s">
        <v>1488</v>
      </c>
      <c r="B447" t="s">
        <v>503</v>
      </c>
      <c r="C447">
        <v>500000</v>
      </c>
      <c r="D447">
        <v>501875</v>
      </c>
      <c r="E447">
        <v>500000</v>
      </c>
      <c r="F447" t="s">
        <v>374</v>
      </c>
      <c r="G447">
        <v>7.0993300000000001</v>
      </c>
      <c r="H447" t="s">
        <v>502</v>
      </c>
      <c r="I447" s="26">
        <v>50693</v>
      </c>
      <c r="J447">
        <v>280</v>
      </c>
      <c r="K447">
        <v>1</v>
      </c>
      <c r="L447">
        <v>0</v>
      </c>
      <c r="M447" t="s">
        <v>1489</v>
      </c>
      <c r="N447" t="s">
        <v>503</v>
      </c>
      <c r="O447" t="s">
        <v>131</v>
      </c>
      <c r="P447">
        <v>0</v>
      </c>
      <c r="Q447">
        <v>274.85899222199998</v>
      </c>
      <c r="R447">
        <v>2025</v>
      </c>
      <c r="S447"/>
      <c r="T447" t="s">
        <v>27</v>
      </c>
      <c r="U447" t="s">
        <v>16</v>
      </c>
      <c r="V447" t="s">
        <v>37</v>
      </c>
    </row>
    <row r="448" spans="1:22" x14ac:dyDescent="0.25">
      <c r="A448" t="s">
        <v>1488</v>
      </c>
      <c r="B448" t="s">
        <v>506</v>
      </c>
      <c r="C448">
        <v>3247000</v>
      </c>
      <c r="D448">
        <v>3251649.7</v>
      </c>
      <c r="E448">
        <v>3247000</v>
      </c>
      <c r="F448" t="s">
        <v>374</v>
      </c>
      <c r="G448">
        <v>7.7254899999999997</v>
      </c>
      <c r="H448" t="s">
        <v>505</v>
      </c>
      <c r="I448" s="26">
        <v>50606</v>
      </c>
      <c r="J448">
        <v>340</v>
      </c>
      <c r="K448">
        <v>1</v>
      </c>
      <c r="L448">
        <v>7.7244010000000003</v>
      </c>
      <c r="M448" t="s">
        <v>1489</v>
      </c>
      <c r="N448" t="s">
        <v>506</v>
      </c>
      <c r="O448" t="s">
        <v>131</v>
      </c>
      <c r="P448">
        <v>9.6737586740000001</v>
      </c>
      <c r="Q448">
        <v>337.84601310699998</v>
      </c>
      <c r="R448">
        <v>2025</v>
      </c>
      <c r="S448"/>
      <c r="T448" t="s">
        <v>27</v>
      </c>
      <c r="U448" t="s">
        <v>32</v>
      </c>
      <c r="V448" t="s">
        <v>37</v>
      </c>
    </row>
    <row r="449" spans="1:22" x14ac:dyDescent="0.25">
      <c r="A449" t="s">
        <v>1488</v>
      </c>
      <c r="B449" t="s">
        <v>697</v>
      </c>
      <c r="C449">
        <v>2500000</v>
      </c>
      <c r="D449">
        <v>2511325</v>
      </c>
      <c r="E449">
        <v>2500000</v>
      </c>
      <c r="F449" t="s">
        <v>374</v>
      </c>
      <c r="G449">
        <v>6.2754899999999996</v>
      </c>
      <c r="H449" t="s">
        <v>698</v>
      </c>
      <c r="I449" s="26">
        <v>50241</v>
      </c>
      <c r="J449">
        <v>195</v>
      </c>
      <c r="K449">
        <v>1</v>
      </c>
      <c r="L449">
        <v>6.2747700000000002</v>
      </c>
      <c r="M449" t="s">
        <v>1489</v>
      </c>
      <c r="N449" t="s">
        <v>697</v>
      </c>
      <c r="O449" t="s">
        <v>131</v>
      </c>
      <c r="P449">
        <v>8.1649085390000007</v>
      </c>
      <c r="Q449">
        <v>188.07571710799999</v>
      </c>
      <c r="R449">
        <v>2024</v>
      </c>
      <c r="S449"/>
      <c r="T449" t="s">
        <v>23</v>
      </c>
      <c r="U449" t="s">
        <v>32</v>
      </c>
      <c r="V449" t="s">
        <v>33</v>
      </c>
    </row>
    <row r="450" spans="1:22" x14ac:dyDescent="0.25">
      <c r="A450" t="s">
        <v>1488</v>
      </c>
      <c r="B450" t="s">
        <v>1249</v>
      </c>
      <c r="C450">
        <v>2400000</v>
      </c>
      <c r="D450">
        <v>2409400.7999999998</v>
      </c>
      <c r="E450">
        <v>2400000</v>
      </c>
      <c r="F450" t="s">
        <v>374</v>
      </c>
      <c r="G450">
        <v>7.2754899999999996</v>
      </c>
      <c r="H450" t="s">
        <v>1250</v>
      </c>
      <c r="I450" s="26">
        <v>50241</v>
      </c>
      <c r="J450">
        <v>295</v>
      </c>
      <c r="K450">
        <v>1</v>
      </c>
      <c r="L450">
        <v>7.2745240000000004</v>
      </c>
      <c r="M450" t="s">
        <v>1489</v>
      </c>
      <c r="N450" t="s">
        <v>1249</v>
      </c>
      <c r="O450" t="s">
        <v>131</v>
      </c>
      <c r="P450">
        <v>8.7308479689999992</v>
      </c>
      <c r="Q450">
        <v>289.03881326200002</v>
      </c>
      <c r="R450">
        <v>2024</v>
      </c>
      <c r="S450"/>
      <c r="T450" t="s">
        <v>27</v>
      </c>
      <c r="U450" t="s">
        <v>32</v>
      </c>
      <c r="V450" t="s">
        <v>37</v>
      </c>
    </row>
    <row r="451" spans="1:22" x14ac:dyDescent="0.25">
      <c r="A451" t="s">
        <v>1488</v>
      </c>
      <c r="B451" t="s">
        <v>699</v>
      </c>
      <c r="C451">
        <v>2700000</v>
      </c>
      <c r="D451">
        <v>2711828.7</v>
      </c>
      <c r="E451">
        <v>2700000</v>
      </c>
      <c r="F451" t="s">
        <v>374</v>
      </c>
      <c r="G451">
        <v>6.0122099999999996</v>
      </c>
      <c r="H451" t="s">
        <v>700</v>
      </c>
      <c r="I451" s="26">
        <v>50515</v>
      </c>
      <c r="J451">
        <v>170</v>
      </c>
      <c r="K451">
        <v>1</v>
      </c>
      <c r="L451">
        <v>6.0048859999999999</v>
      </c>
      <c r="M451" t="s">
        <v>1489</v>
      </c>
      <c r="N451" t="s">
        <v>699</v>
      </c>
      <c r="O451" t="s">
        <v>131</v>
      </c>
      <c r="P451">
        <v>8.8587417849999994</v>
      </c>
      <c r="Q451">
        <v>163.55089501099999</v>
      </c>
      <c r="R451">
        <v>2025</v>
      </c>
      <c r="S451"/>
      <c r="T451" t="s">
        <v>23</v>
      </c>
      <c r="U451" t="s">
        <v>32</v>
      </c>
      <c r="V451" t="s">
        <v>33</v>
      </c>
    </row>
    <row r="452" spans="1:22" x14ac:dyDescent="0.25">
      <c r="A452" t="s">
        <v>1488</v>
      </c>
      <c r="B452" t="s">
        <v>1251</v>
      </c>
      <c r="C452">
        <v>14500000</v>
      </c>
      <c r="D452">
        <v>14472000.5</v>
      </c>
      <c r="E452">
        <v>14500000</v>
      </c>
      <c r="F452" t="s">
        <v>374</v>
      </c>
      <c r="G452">
        <v>6.7622099999999996</v>
      </c>
      <c r="H452" t="s">
        <v>1252</v>
      </c>
      <c r="I452" s="26">
        <v>50515</v>
      </c>
      <c r="J452">
        <v>245</v>
      </c>
      <c r="K452">
        <v>1</v>
      </c>
      <c r="L452">
        <v>6.7528009999999998</v>
      </c>
      <c r="M452" t="s">
        <v>1489</v>
      </c>
      <c r="N452" t="s">
        <v>1251</v>
      </c>
      <c r="O452" t="s">
        <v>131</v>
      </c>
      <c r="P452">
        <v>9.4072302610000005</v>
      </c>
      <c r="Q452">
        <v>247.26767253099999</v>
      </c>
      <c r="R452">
        <v>2025</v>
      </c>
      <c r="S452"/>
      <c r="T452" t="s">
        <v>27</v>
      </c>
      <c r="U452" t="s">
        <v>32</v>
      </c>
      <c r="V452" t="s">
        <v>33</v>
      </c>
    </row>
    <row r="453" spans="1:22" x14ac:dyDescent="0.25">
      <c r="A453" t="s">
        <v>1488</v>
      </c>
      <c r="B453" t="s">
        <v>508</v>
      </c>
      <c r="C453">
        <v>9900000</v>
      </c>
      <c r="D453">
        <v>9938501.0999999996</v>
      </c>
      <c r="E453">
        <v>9900000</v>
      </c>
      <c r="F453" t="s">
        <v>374</v>
      </c>
      <c r="G453">
        <v>0</v>
      </c>
      <c r="H453" t="s">
        <v>507</v>
      </c>
      <c r="I453" s="26">
        <v>50606</v>
      </c>
      <c r="J453">
        <v>280</v>
      </c>
      <c r="K453">
        <v>1</v>
      </c>
      <c r="L453">
        <v>0</v>
      </c>
      <c r="M453" t="s">
        <v>1489</v>
      </c>
      <c r="N453" t="s">
        <v>508</v>
      </c>
      <c r="O453" t="s">
        <v>131</v>
      </c>
      <c r="P453">
        <v>9.6362707329999999</v>
      </c>
      <c r="Q453">
        <v>273.43680967699999</v>
      </c>
      <c r="R453">
        <v>2025</v>
      </c>
      <c r="S453"/>
      <c r="T453" t="s">
        <v>27</v>
      </c>
      <c r="U453" t="s">
        <v>32</v>
      </c>
      <c r="V453" t="s">
        <v>17</v>
      </c>
    </row>
    <row r="454" spans="1:22" x14ac:dyDescent="0.25">
      <c r="A454" t="s">
        <v>1488</v>
      </c>
      <c r="B454" t="s">
        <v>511</v>
      </c>
      <c r="C454">
        <v>9300000</v>
      </c>
      <c r="D454">
        <v>9335079.5999999996</v>
      </c>
      <c r="E454">
        <v>9300000</v>
      </c>
      <c r="F454" t="s">
        <v>1241</v>
      </c>
      <c r="G454">
        <v>7.9254899999999999</v>
      </c>
      <c r="H454" t="s">
        <v>510</v>
      </c>
      <c r="I454" s="26">
        <v>49876</v>
      </c>
      <c r="J454">
        <v>360</v>
      </c>
      <c r="K454">
        <v>1</v>
      </c>
      <c r="L454">
        <v>7.9243439999999996</v>
      </c>
      <c r="M454" t="s">
        <v>1489</v>
      </c>
      <c r="N454" t="s">
        <v>511</v>
      </c>
      <c r="O454" t="s">
        <v>132</v>
      </c>
      <c r="P454">
        <v>7.6524448009999997</v>
      </c>
      <c r="Q454">
        <v>353.46309610600002</v>
      </c>
      <c r="R454">
        <v>2025</v>
      </c>
      <c r="S454"/>
      <c r="T454" t="s">
        <v>27</v>
      </c>
      <c r="U454" t="s">
        <v>28</v>
      </c>
      <c r="V454" t="s">
        <v>37</v>
      </c>
    </row>
    <row r="455" spans="1:22" x14ac:dyDescent="0.25">
      <c r="A455" t="s">
        <v>1488</v>
      </c>
      <c r="B455" t="s">
        <v>695</v>
      </c>
      <c r="C455">
        <v>3000000</v>
      </c>
      <c r="D455">
        <v>3014301</v>
      </c>
      <c r="E455">
        <v>3000000</v>
      </c>
      <c r="F455" t="s">
        <v>136</v>
      </c>
      <c r="G455">
        <v>6.1461300000000003</v>
      </c>
      <c r="H455" t="s">
        <v>696</v>
      </c>
      <c r="I455" s="26">
        <v>50520</v>
      </c>
      <c r="J455">
        <v>190</v>
      </c>
      <c r="K455">
        <v>1</v>
      </c>
      <c r="L455">
        <v>6.1402599999999996</v>
      </c>
      <c r="M455" t="s">
        <v>1489</v>
      </c>
      <c r="N455" t="s">
        <v>695</v>
      </c>
      <c r="O455" t="s">
        <v>223</v>
      </c>
      <c r="P455">
        <v>8.9379400320000002</v>
      </c>
      <c r="Q455">
        <v>183.156647795</v>
      </c>
      <c r="R455">
        <v>2025</v>
      </c>
      <c r="S455"/>
      <c r="T455" t="s">
        <v>23</v>
      </c>
      <c r="U455" t="s">
        <v>32</v>
      </c>
      <c r="V455" t="s">
        <v>33</v>
      </c>
    </row>
    <row r="456" spans="1:22" x14ac:dyDescent="0.25">
      <c r="A456" t="s">
        <v>1488</v>
      </c>
      <c r="B456" t="s">
        <v>1244</v>
      </c>
      <c r="C456">
        <v>5500000</v>
      </c>
      <c r="D456">
        <v>5516692.5</v>
      </c>
      <c r="E456">
        <v>5500000</v>
      </c>
      <c r="F456" t="s">
        <v>136</v>
      </c>
      <c r="G456">
        <v>7.0961299999999996</v>
      </c>
      <c r="H456" t="s">
        <v>1245</v>
      </c>
      <c r="I456" s="26">
        <v>50520</v>
      </c>
      <c r="J456">
        <v>285</v>
      </c>
      <c r="K456">
        <v>1</v>
      </c>
      <c r="L456">
        <v>7.0881559999999997</v>
      </c>
      <c r="M456" t="s">
        <v>1489</v>
      </c>
      <c r="N456" t="s">
        <v>1244</v>
      </c>
      <c r="O456" t="s">
        <v>223</v>
      </c>
      <c r="P456">
        <v>9.4689049399999998</v>
      </c>
      <c r="Q456">
        <v>280.489202659</v>
      </c>
      <c r="R456">
        <v>2025</v>
      </c>
      <c r="S456"/>
      <c r="T456" t="s">
        <v>27</v>
      </c>
      <c r="U456" t="s">
        <v>32</v>
      </c>
      <c r="V456" t="s">
        <v>37</v>
      </c>
    </row>
    <row r="457" spans="1:22" x14ac:dyDescent="0.25">
      <c r="A457" t="s">
        <v>1488</v>
      </c>
      <c r="B457" t="s">
        <v>1242</v>
      </c>
      <c r="C457">
        <v>7800000</v>
      </c>
      <c r="D457">
        <v>7826863.2000000002</v>
      </c>
      <c r="E457">
        <v>7800000</v>
      </c>
      <c r="F457" t="s">
        <v>136</v>
      </c>
      <c r="G457">
        <v>7.2684600000000001</v>
      </c>
      <c r="H457" t="s">
        <v>1243</v>
      </c>
      <c r="I457" s="26">
        <v>50430</v>
      </c>
      <c r="J457">
        <v>295</v>
      </c>
      <c r="K457">
        <v>1</v>
      </c>
      <c r="L457">
        <v>7.2674599999999998</v>
      </c>
      <c r="M457" t="s">
        <v>1489</v>
      </c>
      <c r="N457" t="s">
        <v>1242</v>
      </c>
      <c r="O457" t="s">
        <v>223</v>
      </c>
      <c r="P457">
        <v>9.2386458650000005</v>
      </c>
      <c r="Q457">
        <v>289.95231722599999</v>
      </c>
      <c r="R457">
        <v>2025</v>
      </c>
      <c r="S457"/>
      <c r="T457" t="s">
        <v>27</v>
      </c>
      <c r="U457" t="s">
        <v>32</v>
      </c>
      <c r="V457" t="s">
        <v>37</v>
      </c>
    </row>
    <row r="458" spans="1:22" x14ac:dyDescent="0.25">
      <c r="A458" t="s">
        <v>1488</v>
      </c>
      <c r="B458" t="s">
        <v>514</v>
      </c>
      <c r="C458">
        <v>6300000</v>
      </c>
      <c r="D458">
        <v>6323625</v>
      </c>
      <c r="E458">
        <v>6300000</v>
      </c>
      <c r="F458" t="s">
        <v>136</v>
      </c>
      <c r="G458">
        <v>0</v>
      </c>
      <c r="H458" t="s">
        <v>513</v>
      </c>
      <c r="I458" s="26">
        <v>50698</v>
      </c>
      <c r="J458">
        <v>300</v>
      </c>
      <c r="K458">
        <v>1</v>
      </c>
      <c r="L458">
        <v>0</v>
      </c>
      <c r="M458" t="s">
        <v>1489</v>
      </c>
      <c r="N458" t="s">
        <v>514</v>
      </c>
      <c r="O458" t="s">
        <v>136</v>
      </c>
      <c r="P458">
        <v>9.0500000000000007</v>
      </c>
      <c r="Q458"/>
      <c r="R458">
        <v>2025</v>
      </c>
      <c r="S458"/>
      <c r="T458" t="s">
        <v>27</v>
      </c>
      <c r="U458" t="s">
        <v>40</v>
      </c>
      <c r="V458" t="s">
        <v>17</v>
      </c>
    </row>
    <row r="459" spans="1:22" x14ac:dyDescent="0.25">
      <c r="A459" t="s">
        <v>1488</v>
      </c>
      <c r="B459" t="s">
        <v>701</v>
      </c>
      <c r="C459">
        <v>10300000</v>
      </c>
      <c r="D459">
        <v>10309053.699999999</v>
      </c>
      <c r="E459">
        <v>10300000</v>
      </c>
      <c r="F459" t="s">
        <v>702</v>
      </c>
      <c r="G459">
        <v>6.1175499999999996</v>
      </c>
      <c r="H459" t="s">
        <v>703</v>
      </c>
      <c r="I459" s="26">
        <v>50055</v>
      </c>
      <c r="J459">
        <v>180</v>
      </c>
      <c r="K459">
        <v>1</v>
      </c>
      <c r="L459">
        <v>6.1168370000000003</v>
      </c>
      <c r="M459" t="s">
        <v>1489</v>
      </c>
      <c r="N459" t="s">
        <v>701</v>
      </c>
      <c r="O459" t="s">
        <v>110</v>
      </c>
      <c r="P459">
        <v>8.6597029719999998</v>
      </c>
      <c r="Q459">
        <v>178.649973273</v>
      </c>
      <c r="R459">
        <v>2025</v>
      </c>
      <c r="S459"/>
      <c r="T459" t="s">
        <v>23</v>
      </c>
      <c r="U459" t="s">
        <v>32</v>
      </c>
      <c r="V459" t="s">
        <v>33</v>
      </c>
    </row>
    <row r="460" spans="1:22" x14ac:dyDescent="0.25">
      <c r="A460" t="s">
        <v>1488</v>
      </c>
      <c r="B460" t="s">
        <v>1253</v>
      </c>
      <c r="C460">
        <v>20700000</v>
      </c>
      <c r="D460">
        <v>20787147</v>
      </c>
      <c r="E460">
        <v>20700000</v>
      </c>
      <c r="F460" t="s">
        <v>702</v>
      </c>
      <c r="G460">
        <v>6.9675500000000001</v>
      </c>
      <c r="H460" t="s">
        <v>1254</v>
      </c>
      <c r="I460" s="26">
        <v>50055</v>
      </c>
      <c r="J460">
        <v>265</v>
      </c>
      <c r="K460">
        <v>1</v>
      </c>
      <c r="L460">
        <v>6.9666259999999998</v>
      </c>
      <c r="M460" t="s">
        <v>1489</v>
      </c>
      <c r="N460" t="s">
        <v>1253</v>
      </c>
      <c r="O460" t="s">
        <v>110</v>
      </c>
      <c r="P460">
        <v>9.2084536349999997</v>
      </c>
      <c r="Q460">
        <v>258.92469740000001</v>
      </c>
      <c r="R460">
        <v>2025</v>
      </c>
      <c r="S460"/>
      <c r="T460" t="s">
        <v>27</v>
      </c>
      <c r="U460" t="s">
        <v>32</v>
      </c>
      <c r="V460" t="s">
        <v>33</v>
      </c>
    </row>
    <row r="461" spans="1:22" x14ac:dyDescent="0.25">
      <c r="A461" t="s">
        <v>1488</v>
      </c>
      <c r="B461" t="s">
        <v>1261</v>
      </c>
      <c r="C461">
        <v>1000000</v>
      </c>
      <c r="D461">
        <v>1009604</v>
      </c>
      <c r="E461">
        <v>1000000</v>
      </c>
      <c r="F461" t="s">
        <v>705</v>
      </c>
      <c r="G461">
        <v>9.3254900000000003</v>
      </c>
      <c r="H461" t="s">
        <v>1262</v>
      </c>
      <c r="I461" s="26">
        <v>50060</v>
      </c>
      <c r="J461">
        <v>500</v>
      </c>
      <c r="K461">
        <v>1</v>
      </c>
      <c r="L461">
        <v>9.3239049999999999</v>
      </c>
      <c r="M461" t="s">
        <v>1489</v>
      </c>
      <c r="N461" t="s">
        <v>1261</v>
      </c>
      <c r="O461" t="s">
        <v>224</v>
      </c>
      <c r="P461">
        <v>8.5557780819999998</v>
      </c>
      <c r="Q461">
        <v>484.07370830299999</v>
      </c>
      <c r="R461">
        <v>2023</v>
      </c>
      <c r="S461"/>
      <c r="T461" t="s">
        <v>27</v>
      </c>
      <c r="U461" t="s">
        <v>32</v>
      </c>
      <c r="V461" t="s">
        <v>37</v>
      </c>
    </row>
    <row r="462" spans="1:22" x14ac:dyDescent="0.25">
      <c r="A462" t="s">
        <v>1488</v>
      </c>
      <c r="B462" t="s">
        <v>1257</v>
      </c>
      <c r="C462">
        <v>575000</v>
      </c>
      <c r="D462">
        <v>576128.73</v>
      </c>
      <c r="E462">
        <v>566662.5</v>
      </c>
      <c r="F462" t="s">
        <v>705</v>
      </c>
      <c r="G462">
        <v>8.4724000000000004</v>
      </c>
      <c r="H462" t="s">
        <v>1258</v>
      </c>
      <c r="I462" s="26">
        <v>49782</v>
      </c>
      <c r="J462">
        <v>415</v>
      </c>
      <c r="K462">
        <v>1</v>
      </c>
      <c r="L462">
        <v>8.7764919999999993</v>
      </c>
      <c r="M462" t="s">
        <v>1489</v>
      </c>
      <c r="N462" t="s">
        <v>1257</v>
      </c>
      <c r="O462" t="s">
        <v>224</v>
      </c>
      <c r="P462">
        <v>5.7780782740000003</v>
      </c>
      <c r="Q462">
        <v>410.525224127</v>
      </c>
      <c r="R462">
        <v>2024</v>
      </c>
      <c r="S462"/>
      <c r="T462" t="s">
        <v>27</v>
      </c>
      <c r="U462" t="s">
        <v>24</v>
      </c>
      <c r="V462" t="s">
        <v>37</v>
      </c>
    </row>
    <row r="463" spans="1:22" x14ac:dyDescent="0.25">
      <c r="A463" t="s">
        <v>1488</v>
      </c>
      <c r="B463" t="s">
        <v>1259</v>
      </c>
      <c r="C463">
        <v>3000000</v>
      </c>
      <c r="D463">
        <v>2988969</v>
      </c>
      <c r="E463">
        <v>3000000</v>
      </c>
      <c r="F463" t="s">
        <v>705</v>
      </c>
      <c r="G463">
        <v>6.9184599999999996</v>
      </c>
      <c r="H463" t="s">
        <v>1260</v>
      </c>
      <c r="I463" s="26">
        <v>50065</v>
      </c>
      <c r="J463">
        <v>260</v>
      </c>
      <c r="K463">
        <v>1</v>
      </c>
      <c r="L463">
        <v>6.9175529999999998</v>
      </c>
      <c r="M463" t="s">
        <v>1489</v>
      </c>
      <c r="N463" t="s">
        <v>1259</v>
      </c>
      <c r="O463" t="s">
        <v>224</v>
      </c>
      <c r="P463">
        <v>7.014098196</v>
      </c>
      <c r="Q463">
        <v>266.30053788999999</v>
      </c>
      <c r="R463">
        <v>2025</v>
      </c>
      <c r="S463"/>
      <c r="T463" t="s">
        <v>27</v>
      </c>
      <c r="U463" t="s">
        <v>28</v>
      </c>
      <c r="V463" t="s">
        <v>33</v>
      </c>
    </row>
    <row r="464" spans="1:22" x14ac:dyDescent="0.25">
      <c r="A464" t="s">
        <v>1488</v>
      </c>
      <c r="B464" t="s">
        <v>704</v>
      </c>
      <c r="C464">
        <v>6000000</v>
      </c>
      <c r="D464">
        <v>6029964</v>
      </c>
      <c r="E464">
        <v>6000000</v>
      </c>
      <c r="F464" t="s">
        <v>705</v>
      </c>
      <c r="G464">
        <v>6.3754900000000001</v>
      </c>
      <c r="H464" t="s">
        <v>706</v>
      </c>
      <c r="I464" s="26">
        <v>50333</v>
      </c>
      <c r="J464">
        <v>205</v>
      </c>
      <c r="K464">
        <v>1</v>
      </c>
      <c r="L464">
        <v>6.3747470000000002</v>
      </c>
      <c r="M464" t="s">
        <v>1489</v>
      </c>
      <c r="N464" t="s">
        <v>704</v>
      </c>
      <c r="O464" t="s">
        <v>224</v>
      </c>
      <c r="P464">
        <v>8.6483314470000003</v>
      </c>
      <c r="Q464">
        <v>197.687299212</v>
      </c>
      <c r="R464">
        <v>2024</v>
      </c>
      <c r="S464"/>
      <c r="T464" t="s">
        <v>23</v>
      </c>
      <c r="U464" t="s">
        <v>32</v>
      </c>
      <c r="V464" t="s">
        <v>33</v>
      </c>
    </row>
    <row r="465" spans="1:22" x14ac:dyDescent="0.25">
      <c r="A465" t="s">
        <v>1488</v>
      </c>
      <c r="B465" t="s">
        <v>1255</v>
      </c>
      <c r="C465">
        <v>2000000</v>
      </c>
      <c r="D465">
        <v>2008708</v>
      </c>
      <c r="E465">
        <v>2000000</v>
      </c>
      <c r="F465" t="s">
        <v>705</v>
      </c>
      <c r="G465">
        <v>7.3254900000000003</v>
      </c>
      <c r="H465" t="s">
        <v>1256</v>
      </c>
      <c r="I465" s="26">
        <v>50333</v>
      </c>
      <c r="J465">
        <v>300</v>
      </c>
      <c r="K465">
        <v>1</v>
      </c>
      <c r="L465">
        <v>7.3245100000000001</v>
      </c>
      <c r="M465" t="s">
        <v>1489</v>
      </c>
      <c r="N465" t="s">
        <v>1255</v>
      </c>
      <c r="O465" t="s">
        <v>224</v>
      </c>
      <c r="P465">
        <v>9.0960109899999999</v>
      </c>
      <c r="Q465">
        <v>293.573114809</v>
      </c>
      <c r="R465">
        <v>2024</v>
      </c>
      <c r="S465"/>
      <c r="T465" t="s">
        <v>27</v>
      </c>
      <c r="U465" t="s">
        <v>32</v>
      </c>
      <c r="V465" t="s">
        <v>37</v>
      </c>
    </row>
    <row r="466" spans="1:22" x14ac:dyDescent="0.25">
      <c r="A466" t="s">
        <v>1488</v>
      </c>
      <c r="B466" t="s">
        <v>1263</v>
      </c>
      <c r="C466">
        <v>6000000</v>
      </c>
      <c r="D466">
        <v>6011394</v>
      </c>
      <c r="E466">
        <v>6000000</v>
      </c>
      <c r="F466" t="s">
        <v>705</v>
      </c>
      <c r="G466">
        <v>7.0252999999999997</v>
      </c>
      <c r="H466" t="s">
        <v>1264</v>
      </c>
      <c r="I466" s="26">
        <v>50515</v>
      </c>
      <c r="J466">
        <v>275</v>
      </c>
      <c r="K466">
        <v>1</v>
      </c>
      <c r="L466">
        <v>7.0181579999999997</v>
      </c>
      <c r="M466" t="s">
        <v>1489</v>
      </c>
      <c r="N466" t="s">
        <v>1263</v>
      </c>
      <c r="O466" t="s">
        <v>224</v>
      </c>
      <c r="P466">
        <v>9.4517296589999997</v>
      </c>
      <c r="Q466">
        <v>272.074854346</v>
      </c>
      <c r="R466">
        <v>2025</v>
      </c>
      <c r="S466"/>
      <c r="T466" t="s">
        <v>27</v>
      </c>
      <c r="U466" t="s">
        <v>32</v>
      </c>
      <c r="V466" t="s">
        <v>37</v>
      </c>
    </row>
    <row r="467" spans="1:22" x14ac:dyDescent="0.25">
      <c r="A467" t="s">
        <v>1488</v>
      </c>
      <c r="B467" t="s">
        <v>1265</v>
      </c>
      <c r="C467">
        <v>3450000</v>
      </c>
      <c r="D467">
        <v>3460032.6</v>
      </c>
      <c r="E467">
        <v>3450000</v>
      </c>
      <c r="F467" t="s">
        <v>707</v>
      </c>
      <c r="G467">
        <v>6.9175500000000003</v>
      </c>
      <c r="H467" t="s">
        <v>1266</v>
      </c>
      <c r="I467" s="26">
        <v>50420</v>
      </c>
      <c r="J467">
        <v>260</v>
      </c>
      <c r="K467">
        <v>1</v>
      </c>
      <c r="L467">
        <v>6.9166420000000004</v>
      </c>
      <c r="M467" t="s">
        <v>1489</v>
      </c>
      <c r="N467" t="s">
        <v>1265</v>
      </c>
      <c r="O467" t="s">
        <v>225</v>
      </c>
      <c r="P467">
        <v>9.2488848909999994</v>
      </c>
      <c r="Q467">
        <v>255.797177232</v>
      </c>
      <c r="R467">
        <v>2025</v>
      </c>
      <c r="S467"/>
      <c r="T467" t="s">
        <v>27</v>
      </c>
      <c r="U467" t="s">
        <v>32</v>
      </c>
      <c r="V467" t="s">
        <v>33</v>
      </c>
    </row>
    <row r="468" spans="1:22" x14ac:dyDescent="0.25">
      <c r="A468" t="s">
        <v>1488</v>
      </c>
      <c r="B468" t="s">
        <v>1275</v>
      </c>
      <c r="C468">
        <v>10000000</v>
      </c>
      <c r="D468">
        <v>10042090</v>
      </c>
      <c r="E468">
        <v>10000000</v>
      </c>
      <c r="F468" t="s">
        <v>707</v>
      </c>
      <c r="G468">
        <v>7.6871</v>
      </c>
      <c r="H468" t="s">
        <v>1276</v>
      </c>
      <c r="I468" s="26">
        <v>49054</v>
      </c>
      <c r="J468">
        <v>336.161</v>
      </c>
      <c r="K468">
        <v>1</v>
      </c>
      <c r="L468">
        <v>7.7939100000000003</v>
      </c>
      <c r="M468" t="s">
        <v>1489</v>
      </c>
      <c r="N468" t="s">
        <v>1275</v>
      </c>
      <c r="O468" t="s">
        <v>226</v>
      </c>
      <c r="P468">
        <v>5.6146669730000003</v>
      </c>
      <c r="Q468">
        <v>326.93644713200001</v>
      </c>
      <c r="R468">
        <v>2021</v>
      </c>
      <c r="S468"/>
      <c r="T468" t="s">
        <v>27</v>
      </c>
      <c r="U468" t="s">
        <v>24</v>
      </c>
      <c r="V468" t="s">
        <v>37</v>
      </c>
    </row>
    <row r="469" spans="1:22" x14ac:dyDescent="0.25">
      <c r="A469" t="s">
        <v>1488</v>
      </c>
      <c r="B469" t="s">
        <v>1277</v>
      </c>
      <c r="C469">
        <v>2500000</v>
      </c>
      <c r="D469">
        <v>2505632.5</v>
      </c>
      <c r="E469">
        <v>2500000</v>
      </c>
      <c r="F469" t="s">
        <v>707</v>
      </c>
      <c r="G469">
        <v>7.6305100000000001</v>
      </c>
      <c r="H469" t="s">
        <v>1278</v>
      </c>
      <c r="I469" s="26">
        <v>49115</v>
      </c>
      <c r="J469">
        <v>331.161</v>
      </c>
      <c r="K469">
        <v>1</v>
      </c>
      <c r="L469">
        <v>7.7292139999999998</v>
      </c>
      <c r="M469" t="s">
        <v>1489</v>
      </c>
      <c r="N469" t="s">
        <v>1277</v>
      </c>
      <c r="O469" t="s">
        <v>226</v>
      </c>
      <c r="P469">
        <v>6.0054901129999996</v>
      </c>
      <c r="Q469">
        <v>326.43887878599998</v>
      </c>
      <c r="R469">
        <v>2021</v>
      </c>
      <c r="S469"/>
      <c r="T469" t="s">
        <v>27</v>
      </c>
      <c r="U469" t="s">
        <v>28</v>
      </c>
      <c r="V469" t="s">
        <v>37</v>
      </c>
    </row>
    <row r="470" spans="1:22" x14ac:dyDescent="0.25">
      <c r="A470" t="s">
        <v>1488</v>
      </c>
      <c r="B470" t="s">
        <v>1267</v>
      </c>
      <c r="C470">
        <v>5500000</v>
      </c>
      <c r="D470">
        <v>5514344</v>
      </c>
      <c r="E470">
        <v>5500000</v>
      </c>
      <c r="F470" t="s">
        <v>707</v>
      </c>
      <c r="G470">
        <v>7.4254899999999999</v>
      </c>
      <c r="H470" t="s">
        <v>1268</v>
      </c>
      <c r="I470" s="26">
        <v>49510</v>
      </c>
      <c r="J470">
        <v>310</v>
      </c>
      <c r="K470">
        <v>1</v>
      </c>
      <c r="L470">
        <v>7.4244870000000001</v>
      </c>
      <c r="M470" t="s">
        <v>1489</v>
      </c>
      <c r="N470" t="s">
        <v>1267</v>
      </c>
      <c r="O470" t="s">
        <v>225</v>
      </c>
      <c r="P470">
        <v>6.6301847169999997</v>
      </c>
      <c r="Q470">
        <v>304.99610486099999</v>
      </c>
      <c r="R470">
        <v>2024</v>
      </c>
      <c r="S470"/>
      <c r="T470" t="s">
        <v>27</v>
      </c>
      <c r="U470" t="s">
        <v>28</v>
      </c>
      <c r="V470" t="s">
        <v>37</v>
      </c>
    </row>
    <row r="471" spans="1:22" x14ac:dyDescent="0.25">
      <c r="A471" t="s">
        <v>1488</v>
      </c>
      <c r="B471" t="s">
        <v>1271</v>
      </c>
      <c r="C471">
        <v>1000000</v>
      </c>
      <c r="D471">
        <v>1007701</v>
      </c>
      <c r="E471">
        <v>1000000</v>
      </c>
      <c r="F471" t="s">
        <v>707</v>
      </c>
      <c r="G471">
        <v>8.0138099999999994</v>
      </c>
      <c r="H471" t="s">
        <v>1272</v>
      </c>
      <c r="I471" s="26">
        <v>50156</v>
      </c>
      <c r="J471">
        <v>370</v>
      </c>
      <c r="K471">
        <v>1</v>
      </c>
      <c r="L471">
        <v>8.0126860000000004</v>
      </c>
      <c r="M471" t="s">
        <v>1489</v>
      </c>
      <c r="N471" t="s">
        <v>1271</v>
      </c>
      <c r="O471" t="s">
        <v>146</v>
      </c>
      <c r="P471">
        <v>8.6439119170000005</v>
      </c>
      <c r="Q471">
        <v>357.96949232999998</v>
      </c>
      <c r="R471">
        <v>2024</v>
      </c>
      <c r="S471"/>
      <c r="T471" t="s">
        <v>27</v>
      </c>
      <c r="U471" t="s">
        <v>32</v>
      </c>
      <c r="V471" t="s">
        <v>37</v>
      </c>
    </row>
    <row r="472" spans="1:22" x14ac:dyDescent="0.25">
      <c r="A472" t="s">
        <v>1488</v>
      </c>
      <c r="B472" t="s">
        <v>1273</v>
      </c>
      <c r="C472">
        <v>7800000</v>
      </c>
      <c r="D472">
        <v>7827705.5999999996</v>
      </c>
      <c r="E472">
        <v>7800000</v>
      </c>
      <c r="F472" t="s">
        <v>707</v>
      </c>
      <c r="G472">
        <v>7.3175499999999998</v>
      </c>
      <c r="H472" t="s">
        <v>1274</v>
      </c>
      <c r="I472" s="26">
        <v>50289</v>
      </c>
      <c r="J472">
        <v>300</v>
      </c>
      <c r="K472">
        <v>1</v>
      </c>
      <c r="L472">
        <v>7.3165430000000002</v>
      </c>
      <c r="M472" t="s">
        <v>1489</v>
      </c>
      <c r="N472" t="s">
        <v>1273</v>
      </c>
      <c r="O472" t="s">
        <v>146</v>
      </c>
      <c r="P472">
        <v>8.7875656880000008</v>
      </c>
      <c r="Q472">
        <v>294.59144834</v>
      </c>
      <c r="R472">
        <v>2024</v>
      </c>
      <c r="S472"/>
      <c r="T472" t="s">
        <v>27</v>
      </c>
      <c r="U472" t="s">
        <v>32</v>
      </c>
      <c r="V472" t="s">
        <v>37</v>
      </c>
    </row>
    <row r="473" spans="1:22" x14ac:dyDescent="0.25">
      <c r="A473" t="s">
        <v>1488</v>
      </c>
      <c r="B473" t="s">
        <v>520</v>
      </c>
      <c r="C473">
        <v>2667046</v>
      </c>
      <c r="D473">
        <v>2670331.7999999998</v>
      </c>
      <c r="E473">
        <v>2667046</v>
      </c>
      <c r="F473" t="s">
        <v>707</v>
      </c>
      <c r="G473">
        <v>6.2781380000000002</v>
      </c>
      <c r="H473" t="s">
        <v>519</v>
      </c>
      <c r="I473" s="26">
        <v>50601</v>
      </c>
      <c r="J473">
        <v>195</v>
      </c>
      <c r="K473">
        <v>1</v>
      </c>
      <c r="L473">
        <v>6.2772920000000001</v>
      </c>
      <c r="M473" t="s">
        <v>1489</v>
      </c>
      <c r="N473" t="s">
        <v>520</v>
      </c>
      <c r="O473" t="s">
        <v>146</v>
      </c>
      <c r="P473">
        <v>9.1238881680000006</v>
      </c>
      <c r="Q473">
        <v>193.19763137800001</v>
      </c>
      <c r="R473">
        <v>2025</v>
      </c>
      <c r="S473"/>
      <c r="T473" t="s">
        <v>23</v>
      </c>
      <c r="U473" t="s">
        <v>32</v>
      </c>
      <c r="V473" t="s">
        <v>33</v>
      </c>
    </row>
    <row r="474" spans="1:22" x14ac:dyDescent="0.25">
      <c r="A474" t="s">
        <v>1488</v>
      </c>
      <c r="B474" t="s">
        <v>522</v>
      </c>
      <c r="C474">
        <v>4854024</v>
      </c>
      <c r="D474">
        <v>4863615.55</v>
      </c>
      <c r="E474">
        <v>4854024</v>
      </c>
      <c r="F474" t="s">
        <v>707</v>
      </c>
      <c r="G474">
        <v>7.2781380000000002</v>
      </c>
      <c r="H474" t="s">
        <v>521</v>
      </c>
      <c r="I474" s="26">
        <v>50601</v>
      </c>
      <c r="J474">
        <v>295</v>
      </c>
      <c r="K474">
        <v>1</v>
      </c>
      <c r="L474">
        <v>7.2769979999999999</v>
      </c>
      <c r="M474" t="s">
        <v>1489</v>
      </c>
      <c r="N474" t="s">
        <v>522</v>
      </c>
      <c r="O474" t="s">
        <v>146</v>
      </c>
      <c r="P474">
        <v>9.6561344049999995</v>
      </c>
      <c r="Q474">
        <v>292.132163564</v>
      </c>
      <c r="R474">
        <v>2025</v>
      </c>
      <c r="S474"/>
      <c r="T474" t="s">
        <v>27</v>
      </c>
      <c r="U474" t="s">
        <v>32</v>
      </c>
      <c r="V474" t="s">
        <v>37</v>
      </c>
    </row>
    <row r="475" spans="1:22" x14ac:dyDescent="0.25">
      <c r="A475" t="s">
        <v>1488</v>
      </c>
      <c r="B475" t="s">
        <v>1269</v>
      </c>
      <c r="C475">
        <v>3000000</v>
      </c>
      <c r="D475">
        <v>3028674</v>
      </c>
      <c r="E475">
        <v>3000000</v>
      </c>
      <c r="F475" t="s">
        <v>707</v>
      </c>
      <c r="G475">
        <v>9.56846</v>
      </c>
      <c r="H475" t="s">
        <v>1270</v>
      </c>
      <c r="I475" s="26">
        <v>50065</v>
      </c>
      <c r="J475">
        <v>525</v>
      </c>
      <c r="K475">
        <v>1</v>
      </c>
      <c r="L475">
        <v>9.5667249999999999</v>
      </c>
      <c r="M475" t="s">
        <v>1489</v>
      </c>
      <c r="N475" t="s">
        <v>1269</v>
      </c>
      <c r="O475" t="s">
        <v>146</v>
      </c>
      <c r="P475">
        <v>8.3321508160000004</v>
      </c>
      <c r="Q475">
        <v>508.70989095499999</v>
      </c>
      <c r="R475">
        <v>2023</v>
      </c>
      <c r="S475"/>
      <c r="T475" t="s">
        <v>27</v>
      </c>
      <c r="U475" t="s">
        <v>32</v>
      </c>
      <c r="V475" t="s">
        <v>37</v>
      </c>
    </row>
    <row r="476" spans="1:22" x14ac:dyDescent="0.25">
      <c r="A476" t="s">
        <v>1488</v>
      </c>
      <c r="B476" t="s">
        <v>708</v>
      </c>
      <c r="C476">
        <v>5700000</v>
      </c>
      <c r="D476">
        <v>5713657.2000000002</v>
      </c>
      <c r="E476">
        <v>5700000</v>
      </c>
      <c r="F476" t="s">
        <v>709</v>
      </c>
      <c r="G476">
        <v>6.1184599999999998</v>
      </c>
      <c r="H476" t="s">
        <v>710</v>
      </c>
      <c r="I476" s="26">
        <v>50430</v>
      </c>
      <c r="J476">
        <v>180</v>
      </c>
      <c r="K476">
        <v>1</v>
      </c>
      <c r="L476">
        <v>6.1177510000000002</v>
      </c>
      <c r="M476" t="s">
        <v>1489</v>
      </c>
      <c r="N476" t="s">
        <v>708</v>
      </c>
      <c r="O476" t="s">
        <v>110</v>
      </c>
      <c r="P476">
        <v>8.7194999539999998</v>
      </c>
      <c r="Q476">
        <v>176.49959169100001</v>
      </c>
      <c r="R476">
        <v>2025</v>
      </c>
      <c r="S476"/>
      <c r="T476" t="s">
        <v>23</v>
      </c>
      <c r="U476" t="s">
        <v>32</v>
      </c>
      <c r="V476" t="s">
        <v>33</v>
      </c>
    </row>
    <row r="477" spans="1:22" x14ac:dyDescent="0.25">
      <c r="A477" t="s">
        <v>1488</v>
      </c>
      <c r="B477" t="s">
        <v>1285</v>
      </c>
      <c r="C477">
        <v>11500000</v>
      </c>
      <c r="D477">
        <v>11530233.5</v>
      </c>
      <c r="E477">
        <v>11500000</v>
      </c>
      <c r="F477" t="s">
        <v>709</v>
      </c>
      <c r="G477">
        <v>6.9184599999999996</v>
      </c>
      <c r="H477" t="s">
        <v>1286</v>
      </c>
      <c r="I477" s="26">
        <v>50430</v>
      </c>
      <c r="J477">
        <v>260</v>
      </c>
      <c r="K477">
        <v>1</v>
      </c>
      <c r="L477">
        <v>6.917554</v>
      </c>
      <c r="M477" t="s">
        <v>1489</v>
      </c>
      <c r="N477" t="s">
        <v>1285</v>
      </c>
      <c r="O477" t="s">
        <v>110</v>
      </c>
      <c r="P477">
        <v>9.2609863019999992</v>
      </c>
      <c r="Q477">
        <v>256.19114636900002</v>
      </c>
      <c r="R477">
        <v>2025</v>
      </c>
      <c r="S477"/>
      <c r="T477" t="s">
        <v>27</v>
      </c>
      <c r="U477" t="s">
        <v>32</v>
      </c>
      <c r="V477" t="s">
        <v>33</v>
      </c>
    </row>
    <row r="478" spans="1:22" x14ac:dyDescent="0.25">
      <c r="A478" t="s">
        <v>1488</v>
      </c>
      <c r="B478" t="s">
        <v>1282</v>
      </c>
      <c r="C478">
        <v>1890000</v>
      </c>
      <c r="D478">
        <v>1900565.1</v>
      </c>
      <c r="E478">
        <v>1896500.17</v>
      </c>
      <c r="F478" t="s">
        <v>1283</v>
      </c>
      <c r="G478">
        <v>9.5670999999999999</v>
      </c>
      <c r="H478" t="s">
        <v>1284</v>
      </c>
      <c r="I478" s="26">
        <v>49054</v>
      </c>
      <c r="J478">
        <v>524.16099999999994</v>
      </c>
      <c r="K478">
        <v>1</v>
      </c>
      <c r="L478">
        <v>9.6659659999999992</v>
      </c>
      <c r="M478" t="s">
        <v>1489</v>
      </c>
      <c r="N478" t="s">
        <v>1282</v>
      </c>
      <c r="O478" t="s">
        <v>227</v>
      </c>
      <c r="P478">
        <v>6.201122969</v>
      </c>
      <c r="Q478">
        <v>512.20018635400004</v>
      </c>
      <c r="R478">
        <v>2021</v>
      </c>
      <c r="S478"/>
      <c r="T478" t="s">
        <v>27</v>
      </c>
      <c r="U478" t="s">
        <v>28</v>
      </c>
      <c r="V478" t="s">
        <v>37</v>
      </c>
    </row>
    <row r="479" spans="1:22" x14ac:dyDescent="0.25">
      <c r="A479" t="s">
        <v>1488</v>
      </c>
      <c r="B479" t="s">
        <v>1282</v>
      </c>
      <c r="C479">
        <v>1900000</v>
      </c>
      <c r="D479">
        <v>1910621</v>
      </c>
      <c r="E479">
        <v>1900618.04</v>
      </c>
      <c r="F479" t="s">
        <v>1283</v>
      </c>
      <c r="G479">
        <v>9.5670999999999999</v>
      </c>
      <c r="H479" t="s">
        <v>1284</v>
      </c>
      <c r="I479" s="26">
        <v>49054</v>
      </c>
      <c r="J479">
        <v>524.16099999999994</v>
      </c>
      <c r="K479">
        <v>1</v>
      </c>
      <c r="L479">
        <v>9.6659659999999992</v>
      </c>
      <c r="M479" t="s">
        <v>1489</v>
      </c>
      <c r="N479" t="s">
        <v>1282</v>
      </c>
      <c r="O479" t="s">
        <v>227</v>
      </c>
      <c r="P479">
        <v>6.201122969</v>
      </c>
      <c r="Q479">
        <v>512.20018635400004</v>
      </c>
      <c r="R479">
        <v>2021</v>
      </c>
      <c r="S479"/>
      <c r="T479" t="s">
        <v>27</v>
      </c>
      <c r="U479" t="s">
        <v>28</v>
      </c>
      <c r="V479" t="s">
        <v>37</v>
      </c>
    </row>
    <row r="480" spans="1:22" x14ac:dyDescent="0.25">
      <c r="A480" t="s">
        <v>1488</v>
      </c>
      <c r="B480" t="s">
        <v>1279</v>
      </c>
      <c r="C480">
        <v>6328905</v>
      </c>
      <c r="D480">
        <v>6329221.4500000002</v>
      </c>
      <c r="E480">
        <v>6328905</v>
      </c>
      <c r="F480" t="s">
        <v>1280</v>
      </c>
      <c r="G480">
        <v>7.5370999999999997</v>
      </c>
      <c r="H480" t="s">
        <v>1281</v>
      </c>
      <c r="I480" s="26">
        <v>49054</v>
      </c>
      <c r="J480">
        <v>321.161</v>
      </c>
      <c r="K480">
        <v>1</v>
      </c>
      <c r="L480">
        <v>7.6418400000000002</v>
      </c>
      <c r="M480" t="s">
        <v>1489</v>
      </c>
      <c r="N480" t="s">
        <v>1279</v>
      </c>
      <c r="O480" t="s">
        <v>101</v>
      </c>
      <c r="P480">
        <v>5.7483962489999998</v>
      </c>
      <c r="Q480"/>
      <c r="R480">
        <v>2021</v>
      </c>
      <c r="S480"/>
      <c r="T480" t="s">
        <v>27</v>
      </c>
      <c r="U480" t="s">
        <v>24</v>
      </c>
      <c r="V480" t="s">
        <v>37</v>
      </c>
    </row>
    <row r="481" spans="1:22" x14ac:dyDescent="0.25">
      <c r="A481" t="s">
        <v>1488</v>
      </c>
      <c r="B481" t="s">
        <v>1310</v>
      </c>
      <c r="C481">
        <v>4000000</v>
      </c>
      <c r="D481">
        <v>4015332</v>
      </c>
      <c r="E481">
        <v>4000000</v>
      </c>
      <c r="F481" t="s">
        <v>1306</v>
      </c>
      <c r="G481">
        <v>7.0222100000000003</v>
      </c>
      <c r="H481" t="s">
        <v>1311</v>
      </c>
      <c r="I481" s="26">
        <v>50510</v>
      </c>
      <c r="J481">
        <v>280</v>
      </c>
      <c r="K481">
        <v>1</v>
      </c>
      <c r="L481">
        <v>7.0150920000000001</v>
      </c>
      <c r="M481" t="s">
        <v>1489</v>
      </c>
      <c r="N481" t="s">
        <v>1310</v>
      </c>
      <c r="O481" t="s">
        <v>149</v>
      </c>
      <c r="P481">
        <v>9.4252981580000004</v>
      </c>
      <c r="Q481">
        <v>274.45781907999998</v>
      </c>
      <c r="R481">
        <v>2025</v>
      </c>
      <c r="S481"/>
      <c r="T481" t="s">
        <v>27</v>
      </c>
      <c r="U481" t="s">
        <v>32</v>
      </c>
      <c r="V481" t="s">
        <v>37</v>
      </c>
    </row>
    <row r="482" spans="1:22" x14ac:dyDescent="0.25">
      <c r="A482" t="s">
        <v>1488</v>
      </c>
      <c r="B482" t="s">
        <v>525</v>
      </c>
      <c r="C482">
        <v>11000000</v>
      </c>
      <c r="D482">
        <v>11026609</v>
      </c>
      <c r="E482">
        <v>11000000</v>
      </c>
      <c r="F482" t="s">
        <v>1306</v>
      </c>
      <c r="G482">
        <v>7.3680399999999997</v>
      </c>
      <c r="H482" t="s">
        <v>524</v>
      </c>
      <c r="I482" s="26">
        <v>50601</v>
      </c>
      <c r="J482">
        <v>310</v>
      </c>
      <c r="K482">
        <v>1</v>
      </c>
      <c r="L482">
        <v>7.3596329999999996</v>
      </c>
      <c r="M482" t="s">
        <v>1489</v>
      </c>
      <c r="N482" t="s">
        <v>525</v>
      </c>
      <c r="O482" t="s">
        <v>149</v>
      </c>
      <c r="P482">
        <v>9.6619287170000003</v>
      </c>
      <c r="Q482">
        <v>305.009156706</v>
      </c>
      <c r="R482">
        <v>2025</v>
      </c>
      <c r="S482"/>
      <c r="T482" t="s">
        <v>27</v>
      </c>
      <c r="U482" t="s">
        <v>32</v>
      </c>
      <c r="V482" t="s">
        <v>37</v>
      </c>
    </row>
    <row r="483" spans="1:22" x14ac:dyDescent="0.25">
      <c r="A483" t="s">
        <v>1488</v>
      </c>
      <c r="B483" t="s">
        <v>1305</v>
      </c>
      <c r="C483">
        <v>6400000</v>
      </c>
      <c r="D483">
        <v>6425030.4000000004</v>
      </c>
      <c r="E483">
        <v>6400000</v>
      </c>
      <c r="F483" t="s">
        <v>1306</v>
      </c>
      <c r="G483">
        <v>7.2254899999999997</v>
      </c>
      <c r="H483" t="s">
        <v>1307</v>
      </c>
      <c r="I483" s="26">
        <v>50425</v>
      </c>
      <c r="J483">
        <v>290</v>
      </c>
      <c r="K483">
        <v>1</v>
      </c>
      <c r="L483">
        <v>7.2245359999999996</v>
      </c>
      <c r="M483" t="s">
        <v>1489</v>
      </c>
      <c r="N483" t="s">
        <v>1305</v>
      </c>
      <c r="O483" t="s">
        <v>228</v>
      </c>
      <c r="P483">
        <v>9.2428033060000008</v>
      </c>
      <c r="Q483">
        <v>284.29897166400002</v>
      </c>
      <c r="R483">
        <v>2025</v>
      </c>
      <c r="S483"/>
      <c r="T483" t="s">
        <v>27</v>
      </c>
      <c r="U483" t="s">
        <v>32</v>
      </c>
      <c r="V483" t="s">
        <v>37</v>
      </c>
    </row>
    <row r="484" spans="1:22" x14ac:dyDescent="0.25">
      <c r="A484" t="s">
        <v>1488</v>
      </c>
      <c r="B484" t="s">
        <v>1308</v>
      </c>
      <c r="C484">
        <v>30000000</v>
      </c>
      <c r="D484">
        <v>30160230</v>
      </c>
      <c r="E484">
        <v>30285000</v>
      </c>
      <c r="F484" t="s">
        <v>1306</v>
      </c>
      <c r="G484">
        <v>7.1675500000000003</v>
      </c>
      <c r="H484" t="s">
        <v>1309</v>
      </c>
      <c r="I484" s="26">
        <v>50420</v>
      </c>
      <c r="J484">
        <v>285</v>
      </c>
      <c r="K484">
        <v>1</v>
      </c>
      <c r="L484">
        <v>6.9971389999999998</v>
      </c>
      <c r="M484" t="s">
        <v>1489</v>
      </c>
      <c r="N484" t="s">
        <v>1308</v>
      </c>
      <c r="O484" t="s">
        <v>229</v>
      </c>
      <c r="P484">
        <v>9.2063093640000009</v>
      </c>
      <c r="Q484">
        <v>277.25626974199997</v>
      </c>
      <c r="R484">
        <v>2025</v>
      </c>
      <c r="S484"/>
      <c r="T484" t="s">
        <v>27</v>
      </c>
      <c r="U484" t="s">
        <v>32</v>
      </c>
      <c r="V484" t="s">
        <v>37</v>
      </c>
    </row>
    <row r="485" spans="1:22" x14ac:dyDescent="0.25">
      <c r="A485" t="s">
        <v>1488</v>
      </c>
      <c r="B485" t="s">
        <v>527</v>
      </c>
      <c r="C485">
        <v>1000000</v>
      </c>
      <c r="D485">
        <v>1012026</v>
      </c>
      <c r="E485">
        <v>1000000</v>
      </c>
      <c r="F485" t="s">
        <v>1306</v>
      </c>
      <c r="G485">
        <v>7.8877899999999999</v>
      </c>
      <c r="H485" t="s">
        <v>526</v>
      </c>
      <c r="I485" s="26">
        <v>50495</v>
      </c>
      <c r="J485">
        <v>360</v>
      </c>
      <c r="L485">
        <v>7.8737550000000001</v>
      </c>
      <c r="M485" t="s">
        <v>1489</v>
      </c>
      <c r="N485" t="s">
        <v>527</v>
      </c>
      <c r="O485" t="s">
        <v>149</v>
      </c>
      <c r="P485">
        <v>9.6053099940000006</v>
      </c>
      <c r="Q485">
        <v>340.87998396400002</v>
      </c>
      <c r="R485">
        <v>2025</v>
      </c>
      <c r="S485"/>
      <c r="T485" t="s">
        <v>27</v>
      </c>
      <c r="U485" t="s">
        <v>32</v>
      </c>
      <c r="V485" t="s">
        <v>37</v>
      </c>
    </row>
    <row r="486" spans="1:22" x14ac:dyDescent="0.25">
      <c r="A486" t="s">
        <v>1488</v>
      </c>
      <c r="B486" t="s">
        <v>1292</v>
      </c>
      <c r="C486">
        <v>2000000</v>
      </c>
      <c r="D486">
        <v>2010974</v>
      </c>
      <c r="E486">
        <v>2000000</v>
      </c>
      <c r="F486" t="s">
        <v>1288</v>
      </c>
      <c r="G486">
        <v>8.5189900000000005</v>
      </c>
      <c r="H486" t="s">
        <v>1293</v>
      </c>
      <c r="I486" s="26">
        <v>49971</v>
      </c>
      <c r="J486">
        <v>420</v>
      </c>
      <c r="K486">
        <v>1</v>
      </c>
      <c r="L486">
        <v>8.5176169999999995</v>
      </c>
      <c r="M486" t="s">
        <v>1489</v>
      </c>
      <c r="N486" t="s">
        <v>1292</v>
      </c>
      <c r="O486" t="s">
        <v>150</v>
      </c>
      <c r="P486">
        <v>7.9786931470000004</v>
      </c>
      <c r="Q486">
        <v>410.638007265</v>
      </c>
      <c r="R486">
        <v>2023</v>
      </c>
      <c r="S486"/>
      <c r="T486" t="s">
        <v>27</v>
      </c>
      <c r="U486" t="s">
        <v>28</v>
      </c>
      <c r="V486" t="s">
        <v>37</v>
      </c>
    </row>
    <row r="487" spans="1:22" x14ac:dyDescent="0.25">
      <c r="A487" t="s">
        <v>1488</v>
      </c>
      <c r="B487" t="s">
        <v>1294</v>
      </c>
      <c r="C487">
        <v>1200000</v>
      </c>
      <c r="D487">
        <v>1209873.6000000001</v>
      </c>
      <c r="E487">
        <v>1200000</v>
      </c>
      <c r="F487" t="s">
        <v>1288</v>
      </c>
      <c r="G487">
        <v>7.91899</v>
      </c>
      <c r="H487" t="s">
        <v>1295</v>
      </c>
      <c r="I487" s="26">
        <v>50153</v>
      </c>
      <c r="J487">
        <v>360</v>
      </c>
      <c r="K487">
        <v>1</v>
      </c>
      <c r="L487">
        <v>7.9178050000000004</v>
      </c>
      <c r="M487" t="s">
        <v>1489</v>
      </c>
      <c r="N487" t="s">
        <v>1294</v>
      </c>
      <c r="O487" t="s">
        <v>150</v>
      </c>
      <c r="P487">
        <v>8.6278665070000002</v>
      </c>
      <c r="Q487">
        <v>347.179974894</v>
      </c>
      <c r="R487">
        <v>2024</v>
      </c>
      <c r="S487"/>
      <c r="T487" t="s">
        <v>27</v>
      </c>
      <c r="U487" t="s">
        <v>32</v>
      </c>
      <c r="V487" t="s">
        <v>37</v>
      </c>
    </row>
    <row r="488" spans="1:22" x14ac:dyDescent="0.25">
      <c r="A488" t="s">
        <v>1488</v>
      </c>
      <c r="B488" t="s">
        <v>1290</v>
      </c>
      <c r="C488">
        <v>5850000</v>
      </c>
      <c r="D488">
        <v>5867614.3499999996</v>
      </c>
      <c r="E488">
        <v>5850000</v>
      </c>
      <c r="F488" t="s">
        <v>1288</v>
      </c>
      <c r="G488">
        <v>7.0224000000000002</v>
      </c>
      <c r="H488" t="s">
        <v>1291</v>
      </c>
      <c r="I488" s="26">
        <v>50512</v>
      </c>
      <c r="J488">
        <v>270</v>
      </c>
      <c r="K488">
        <v>1</v>
      </c>
      <c r="L488">
        <v>7.0214530000000002</v>
      </c>
      <c r="M488" t="s">
        <v>1489</v>
      </c>
      <c r="N488" t="s">
        <v>1290</v>
      </c>
      <c r="O488" t="s">
        <v>150</v>
      </c>
      <c r="P488">
        <v>9.2610579160000004</v>
      </c>
      <c r="Q488">
        <v>265.63563365599998</v>
      </c>
      <c r="R488">
        <v>2025</v>
      </c>
      <c r="S488"/>
      <c r="T488" t="s">
        <v>27</v>
      </c>
      <c r="U488" t="s">
        <v>32</v>
      </c>
      <c r="V488" t="s">
        <v>37</v>
      </c>
    </row>
    <row r="489" spans="1:22" x14ac:dyDescent="0.25">
      <c r="A489" t="s">
        <v>1488</v>
      </c>
      <c r="B489" t="s">
        <v>1296</v>
      </c>
      <c r="C489">
        <v>10500000</v>
      </c>
      <c r="D489">
        <v>10526302.5</v>
      </c>
      <c r="E489">
        <v>10500000</v>
      </c>
      <c r="F489" t="s">
        <v>1288</v>
      </c>
      <c r="G489">
        <v>7.1223999999999998</v>
      </c>
      <c r="H489" t="s">
        <v>1297</v>
      </c>
      <c r="I489" s="26">
        <v>50422</v>
      </c>
      <c r="J489">
        <v>280</v>
      </c>
      <c r="K489">
        <v>1</v>
      </c>
      <c r="L489">
        <v>7.1214250000000003</v>
      </c>
      <c r="M489" t="s">
        <v>1489</v>
      </c>
      <c r="N489" t="s">
        <v>1296</v>
      </c>
      <c r="O489" t="s">
        <v>150</v>
      </c>
      <c r="P489">
        <v>9.2407462220000003</v>
      </c>
      <c r="Q489">
        <v>276.32313910400001</v>
      </c>
      <c r="R489">
        <v>2024</v>
      </c>
      <c r="S489"/>
      <c r="T489" t="s">
        <v>27</v>
      </c>
      <c r="U489" t="s">
        <v>32</v>
      </c>
      <c r="V489" t="s">
        <v>37</v>
      </c>
    </row>
    <row r="490" spans="1:22" x14ac:dyDescent="0.25">
      <c r="A490" t="s">
        <v>1488</v>
      </c>
      <c r="B490" t="s">
        <v>530</v>
      </c>
      <c r="C490">
        <v>7800000</v>
      </c>
      <c r="D490">
        <v>7830326.4000000004</v>
      </c>
      <c r="E490">
        <v>7800000</v>
      </c>
      <c r="F490" t="s">
        <v>1288</v>
      </c>
      <c r="G490">
        <v>7.1894900000000002</v>
      </c>
      <c r="H490" t="s">
        <v>529</v>
      </c>
      <c r="I490" s="26">
        <v>50603</v>
      </c>
      <c r="J490">
        <v>290</v>
      </c>
      <c r="L490">
        <v>0</v>
      </c>
      <c r="M490" t="s">
        <v>1489</v>
      </c>
      <c r="N490" t="s">
        <v>530</v>
      </c>
      <c r="O490" t="s">
        <v>150</v>
      </c>
      <c r="P490">
        <v>9.6180592160000007</v>
      </c>
      <c r="Q490">
        <v>283.24785945399998</v>
      </c>
      <c r="R490">
        <v>2025</v>
      </c>
      <c r="S490"/>
      <c r="T490" t="s">
        <v>27</v>
      </c>
      <c r="U490" t="s">
        <v>32</v>
      </c>
      <c r="V490" t="s">
        <v>37</v>
      </c>
    </row>
    <row r="491" spans="1:22" x14ac:dyDescent="0.25">
      <c r="A491" t="s">
        <v>1488</v>
      </c>
      <c r="B491" t="s">
        <v>1287</v>
      </c>
      <c r="C491">
        <v>15000000</v>
      </c>
      <c r="D491">
        <v>15046590</v>
      </c>
      <c r="E491">
        <v>15000000</v>
      </c>
      <c r="F491" t="s">
        <v>1288</v>
      </c>
      <c r="G491">
        <v>6.8754900000000001</v>
      </c>
      <c r="H491" t="s">
        <v>1289</v>
      </c>
      <c r="I491" s="26">
        <v>50425</v>
      </c>
      <c r="J491">
        <v>255</v>
      </c>
      <c r="K491">
        <v>1</v>
      </c>
      <c r="L491">
        <v>6.8746260000000001</v>
      </c>
      <c r="M491" t="s">
        <v>1489</v>
      </c>
      <c r="N491" t="s">
        <v>1287</v>
      </c>
      <c r="O491" t="s">
        <v>150</v>
      </c>
      <c r="P491">
        <v>9.2858591449999999</v>
      </c>
      <c r="Q491">
        <v>250.54096867600001</v>
      </c>
      <c r="R491">
        <v>2025</v>
      </c>
      <c r="S491"/>
      <c r="T491" t="s">
        <v>27</v>
      </c>
      <c r="U491" t="s">
        <v>32</v>
      </c>
      <c r="V491" t="s">
        <v>33</v>
      </c>
    </row>
    <row r="492" spans="1:22" x14ac:dyDescent="0.25">
      <c r="A492" t="s">
        <v>1488</v>
      </c>
      <c r="B492" t="s">
        <v>1301</v>
      </c>
      <c r="C492">
        <v>3500000</v>
      </c>
      <c r="D492">
        <v>3511301.5</v>
      </c>
      <c r="E492">
        <v>3500000</v>
      </c>
      <c r="F492" t="s">
        <v>1299</v>
      </c>
      <c r="G492">
        <v>7.3138100000000001</v>
      </c>
      <c r="H492" t="s">
        <v>1302</v>
      </c>
      <c r="I492" s="26">
        <v>50521</v>
      </c>
      <c r="J492">
        <v>300</v>
      </c>
      <c r="K492">
        <v>1</v>
      </c>
      <c r="L492">
        <v>7.3128700000000002</v>
      </c>
      <c r="M492" t="s">
        <v>1489</v>
      </c>
      <c r="N492" t="s">
        <v>1301</v>
      </c>
      <c r="O492" t="s">
        <v>230</v>
      </c>
      <c r="P492">
        <v>9.4787647320000001</v>
      </c>
      <c r="Q492">
        <v>295.34545241299998</v>
      </c>
      <c r="R492">
        <v>2025</v>
      </c>
      <c r="S492"/>
      <c r="T492" t="s">
        <v>27</v>
      </c>
      <c r="U492" t="s">
        <v>32</v>
      </c>
      <c r="V492" t="s">
        <v>37</v>
      </c>
    </row>
    <row r="493" spans="1:22" x14ac:dyDescent="0.25">
      <c r="A493" t="s">
        <v>1488</v>
      </c>
      <c r="B493" t="s">
        <v>1298</v>
      </c>
      <c r="C493">
        <v>5120852</v>
      </c>
      <c r="D493">
        <v>5073212.71</v>
      </c>
      <c r="E493">
        <v>5120852</v>
      </c>
      <c r="F493" t="s">
        <v>1299</v>
      </c>
      <c r="G493">
        <v>7.8300700000000001</v>
      </c>
      <c r="H493" t="s">
        <v>1300</v>
      </c>
      <c r="I493" s="26">
        <v>49242</v>
      </c>
      <c r="J493">
        <v>351.161</v>
      </c>
      <c r="K493">
        <v>1</v>
      </c>
      <c r="L493">
        <v>8.0042550000000006</v>
      </c>
      <c r="M493" t="s">
        <v>1489</v>
      </c>
      <c r="N493" t="s">
        <v>1298</v>
      </c>
      <c r="O493" t="s">
        <v>177</v>
      </c>
      <c r="P493">
        <v>6.2150524450000004</v>
      </c>
      <c r="Q493">
        <v>369.24269986000002</v>
      </c>
      <c r="R493">
        <v>2021</v>
      </c>
      <c r="S493"/>
      <c r="T493" t="s">
        <v>27</v>
      </c>
      <c r="U493" t="s">
        <v>28</v>
      </c>
      <c r="V493" t="s">
        <v>37</v>
      </c>
    </row>
    <row r="494" spans="1:22" x14ac:dyDescent="0.25">
      <c r="A494" t="s">
        <v>1488</v>
      </c>
      <c r="B494" t="s">
        <v>1298</v>
      </c>
      <c r="C494">
        <v>270000</v>
      </c>
      <c r="D494">
        <v>267488.19</v>
      </c>
      <c r="E494">
        <v>270131.76</v>
      </c>
      <c r="F494" t="s">
        <v>1299</v>
      </c>
      <c r="G494">
        <v>7.8300700000000001</v>
      </c>
      <c r="H494" t="s">
        <v>1300</v>
      </c>
      <c r="I494" s="26">
        <v>49242</v>
      </c>
      <c r="J494">
        <v>351.161</v>
      </c>
      <c r="K494">
        <v>1</v>
      </c>
      <c r="L494">
        <v>8.0042550000000006</v>
      </c>
      <c r="M494" t="s">
        <v>1489</v>
      </c>
      <c r="N494" t="s">
        <v>1298</v>
      </c>
      <c r="O494" t="s">
        <v>177</v>
      </c>
      <c r="P494">
        <v>6.2150524450000004</v>
      </c>
      <c r="Q494">
        <v>369.24269986000002</v>
      </c>
      <c r="R494">
        <v>2021</v>
      </c>
      <c r="S494"/>
      <c r="T494" t="s">
        <v>27</v>
      </c>
      <c r="U494" t="s">
        <v>28</v>
      </c>
      <c r="V494" t="s">
        <v>37</v>
      </c>
    </row>
    <row r="495" spans="1:22" x14ac:dyDescent="0.25">
      <c r="A495" t="s">
        <v>1488</v>
      </c>
      <c r="B495" t="s">
        <v>1298</v>
      </c>
      <c r="C495">
        <v>300000</v>
      </c>
      <c r="D495">
        <v>297209.09999999998</v>
      </c>
      <c r="E495">
        <v>295983</v>
      </c>
      <c r="F495" t="s">
        <v>1299</v>
      </c>
      <c r="G495">
        <v>7.8300700000000001</v>
      </c>
      <c r="H495" t="s">
        <v>1300</v>
      </c>
      <c r="I495" s="26">
        <v>49242</v>
      </c>
      <c r="J495">
        <v>351.161</v>
      </c>
      <c r="K495">
        <v>1</v>
      </c>
      <c r="L495">
        <v>8.0042550000000006</v>
      </c>
      <c r="M495" t="s">
        <v>1489</v>
      </c>
      <c r="N495" t="s">
        <v>1298</v>
      </c>
      <c r="O495" t="s">
        <v>177</v>
      </c>
      <c r="P495">
        <v>6.2150524450000004</v>
      </c>
      <c r="Q495">
        <v>369.24269986000002</v>
      </c>
      <c r="R495">
        <v>2021</v>
      </c>
      <c r="S495"/>
      <c r="T495" t="s">
        <v>27</v>
      </c>
      <c r="U495" t="s">
        <v>28</v>
      </c>
      <c r="V495" t="s">
        <v>37</v>
      </c>
    </row>
    <row r="496" spans="1:22" x14ac:dyDescent="0.25">
      <c r="A496" t="s">
        <v>1488</v>
      </c>
      <c r="B496" t="s">
        <v>1298</v>
      </c>
      <c r="C496">
        <v>500000</v>
      </c>
      <c r="D496">
        <v>495348.5</v>
      </c>
      <c r="E496">
        <v>486651.94</v>
      </c>
      <c r="F496" t="s">
        <v>1299</v>
      </c>
      <c r="G496">
        <v>7.8300700000000001</v>
      </c>
      <c r="H496" t="s">
        <v>1300</v>
      </c>
      <c r="I496" s="26">
        <v>49242</v>
      </c>
      <c r="J496">
        <v>351.161</v>
      </c>
      <c r="K496">
        <v>1</v>
      </c>
      <c r="L496">
        <v>8.0042550000000006</v>
      </c>
      <c r="M496" t="s">
        <v>1489</v>
      </c>
      <c r="N496" t="s">
        <v>1298</v>
      </c>
      <c r="O496" t="s">
        <v>177</v>
      </c>
      <c r="P496">
        <v>6.2150524450000004</v>
      </c>
      <c r="Q496">
        <v>369.24269986000002</v>
      </c>
      <c r="R496">
        <v>2021</v>
      </c>
      <c r="S496"/>
      <c r="T496" t="s">
        <v>27</v>
      </c>
      <c r="U496" t="s">
        <v>28</v>
      </c>
      <c r="V496" t="s">
        <v>37</v>
      </c>
    </row>
    <row r="497" spans="1:22" x14ac:dyDescent="0.25">
      <c r="A497" t="s">
        <v>1488</v>
      </c>
      <c r="B497" t="s">
        <v>1298</v>
      </c>
      <c r="C497">
        <v>500000</v>
      </c>
      <c r="D497">
        <v>495348.5</v>
      </c>
      <c r="E497">
        <v>491784.7</v>
      </c>
      <c r="F497" t="s">
        <v>1299</v>
      </c>
      <c r="G497">
        <v>7.8300700000000001</v>
      </c>
      <c r="H497" t="s">
        <v>1300</v>
      </c>
      <c r="I497" s="26">
        <v>49242</v>
      </c>
      <c r="J497">
        <v>351.161</v>
      </c>
      <c r="K497">
        <v>1</v>
      </c>
      <c r="L497">
        <v>8.0042550000000006</v>
      </c>
      <c r="M497" t="s">
        <v>1489</v>
      </c>
      <c r="N497" t="s">
        <v>1298</v>
      </c>
      <c r="O497" t="s">
        <v>177</v>
      </c>
      <c r="P497">
        <v>6.2150524450000004</v>
      </c>
      <c r="Q497">
        <v>369.24269986000002</v>
      </c>
      <c r="R497">
        <v>2021</v>
      </c>
      <c r="S497"/>
      <c r="T497" t="s">
        <v>27</v>
      </c>
      <c r="U497" t="s">
        <v>28</v>
      </c>
      <c r="V497" t="s">
        <v>37</v>
      </c>
    </row>
    <row r="498" spans="1:22" x14ac:dyDescent="0.25">
      <c r="A498" t="s">
        <v>1488</v>
      </c>
      <c r="B498" t="s">
        <v>1303</v>
      </c>
      <c r="C498">
        <v>2484000</v>
      </c>
      <c r="D498">
        <v>2504557.58</v>
      </c>
      <c r="E498">
        <v>2484000</v>
      </c>
      <c r="F498" t="s">
        <v>1299</v>
      </c>
      <c r="G498">
        <v>8.6038899999999998</v>
      </c>
      <c r="H498" t="s">
        <v>1304</v>
      </c>
      <c r="I498" s="26">
        <v>50510</v>
      </c>
      <c r="J498">
        <v>430</v>
      </c>
      <c r="K498">
        <v>1</v>
      </c>
      <c r="L498">
        <v>8.5949290000000005</v>
      </c>
      <c r="M498" t="s">
        <v>1489</v>
      </c>
      <c r="N498" t="s">
        <v>1303</v>
      </c>
      <c r="O498" t="s">
        <v>230</v>
      </c>
      <c r="P498">
        <v>9.4540665209999997</v>
      </c>
      <c r="Q498">
        <v>417.24953291600002</v>
      </c>
      <c r="R498">
        <v>2025</v>
      </c>
      <c r="S498"/>
      <c r="T498" t="s">
        <v>27</v>
      </c>
      <c r="U498" t="s">
        <v>32</v>
      </c>
      <c r="V498" t="s">
        <v>37</v>
      </c>
    </row>
    <row r="499" spans="1:22" x14ac:dyDescent="0.25">
      <c r="A499" t="s">
        <v>1488</v>
      </c>
      <c r="B499" t="s">
        <v>1312</v>
      </c>
      <c r="C499">
        <v>6500000</v>
      </c>
      <c r="D499">
        <v>6546299.5</v>
      </c>
      <c r="E499">
        <v>6500000</v>
      </c>
      <c r="F499" t="s">
        <v>1313</v>
      </c>
      <c r="G499">
        <v>7.4675500000000001</v>
      </c>
      <c r="H499" t="s">
        <v>1314</v>
      </c>
      <c r="I499" s="26">
        <v>50328</v>
      </c>
      <c r="J499">
        <v>315</v>
      </c>
      <c r="K499">
        <v>1</v>
      </c>
      <c r="L499">
        <v>7.4664910000000004</v>
      </c>
      <c r="M499" t="s">
        <v>1489</v>
      </c>
      <c r="N499" t="s">
        <v>1312</v>
      </c>
      <c r="O499" t="s">
        <v>101</v>
      </c>
      <c r="P499">
        <v>9.1235238509999999</v>
      </c>
      <c r="Q499">
        <v>304.53682101599998</v>
      </c>
      <c r="R499">
        <v>2024</v>
      </c>
      <c r="S499"/>
      <c r="T499" t="s">
        <v>27</v>
      </c>
      <c r="U499" t="s">
        <v>32</v>
      </c>
      <c r="V499" t="s">
        <v>37</v>
      </c>
    </row>
    <row r="500" spans="1:22" x14ac:dyDescent="0.25">
      <c r="A500" t="s">
        <v>1492</v>
      </c>
      <c r="B500" t="s">
        <v>1367</v>
      </c>
      <c r="C500">
        <v>500000</v>
      </c>
      <c r="D500">
        <v>504238.5</v>
      </c>
      <c r="E500">
        <v>492500</v>
      </c>
      <c r="F500" t="s">
        <v>154</v>
      </c>
      <c r="G500">
        <v>10.93549</v>
      </c>
      <c r="H500" t="s">
        <v>178</v>
      </c>
      <c r="I500" s="26">
        <v>50515</v>
      </c>
      <c r="J500">
        <v>661</v>
      </c>
      <c r="K500">
        <v>1</v>
      </c>
      <c r="L500">
        <v>11.228949999999999</v>
      </c>
      <c r="M500" t="s">
        <v>1493</v>
      </c>
      <c r="N500" t="s">
        <v>1367</v>
      </c>
      <c r="O500" t="s">
        <v>64</v>
      </c>
      <c r="P500">
        <v>10.114242512000001</v>
      </c>
      <c r="Q500">
        <v>647.40376874000003</v>
      </c>
      <c r="R500">
        <v>2025</v>
      </c>
      <c r="S500"/>
      <c r="T500" t="s">
        <v>31</v>
      </c>
      <c r="U500" t="s">
        <v>36</v>
      </c>
      <c r="V500" t="s">
        <v>37</v>
      </c>
    </row>
    <row r="501" spans="1:22" x14ac:dyDescent="0.25">
      <c r="A501" t="s">
        <v>1492</v>
      </c>
      <c r="B501" t="s">
        <v>1370</v>
      </c>
      <c r="C501">
        <v>500000</v>
      </c>
      <c r="D501">
        <v>514595</v>
      </c>
      <c r="E501">
        <v>480000</v>
      </c>
      <c r="F501" t="s">
        <v>571</v>
      </c>
      <c r="G501">
        <v>11.63869</v>
      </c>
      <c r="H501" t="s">
        <v>1371</v>
      </c>
      <c r="I501" s="26">
        <v>50519</v>
      </c>
      <c r="J501">
        <v>732</v>
      </c>
      <c r="K501">
        <v>1</v>
      </c>
      <c r="L501">
        <v>12.463722000000001</v>
      </c>
      <c r="M501" t="s">
        <v>1493</v>
      </c>
      <c r="N501" t="s">
        <v>1370</v>
      </c>
      <c r="O501" t="s">
        <v>67</v>
      </c>
      <c r="P501">
        <v>10.124557447999999</v>
      </c>
      <c r="Q501">
        <v>685.13402383200003</v>
      </c>
      <c r="R501">
        <v>2025</v>
      </c>
      <c r="S501"/>
      <c r="T501" t="s">
        <v>31</v>
      </c>
      <c r="U501" t="s">
        <v>36</v>
      </c>
      <c r="V501" t="s">
        <v>37</v>
      </c>
    </row>
    <row r="502" spans="1:22" x14ac:dyDescent="0.25">
      <c r="A502" t="s">
        <v>1492</v>
      </c>
      <c r="B502" t="s">
        <v>1374</v>
      </c>
      <c r="C502">
        <v>230000</v>
      </c>
      <c r="D502">
        <v>231079.16</v>
      </c>
      <c r="E502">
        <v>230125.58</v>
      </c>
      <c r="F502" t="s">
        <v>571</v>
      </c>
      <c r="G502">
        <v>9.9370999999999992</v>
      </c>
      <c r="H502" t="s">
        <v>1375</v>
      </c>
      <c r="I502" s="26">
        <v>48965</v>
      </c>
      <c r="J502">
        <v>561.16099999999994</v>
      </c>
      <c r="K502">
        <v>1</v>
      </c>
      <c r="L502">
        <v>10.074949999999999</v>
      </c>
      <c r="M502" t="s">
        <v>1493</v>
      </c>
      <c r="N502" t="s">
        <v>1374</v>
      </c>
      <c r="O502" t="s">
        <v>67</v>
      </c>
      <c r="P502">
        <v>6.6069367569999997</v>
      </c>
      <c r="Q502">
        <v>551.50006638000002</v>
      </c>
      <c r="R502">
        <v>2021</v>
      </c>
      <c r="S502"/>
      <c r="T502" t="s">
        <v>31</v>
      </c>
      <c r="U502" t="s">
        <v>28</v>
      </c>
      <c r="V502" t="s">
        <v>37</v>
      </c>
    </row>
    <row r="503" spans="1:22" x14ac:dyDescent="0.25">
      <c r="A503" t="s">
        <v>1492</v>
      </c>
      <c r="B503" t="s">
        <v>1374</v>
      </c>
      <c r="C503">
        <v>310000</v>
      </c>
      <c r="D503">
        <v>311454.52</v>
      </c>
      <c r="E503">
        <v>310444.81</v>
      </c>
      <c r="F503" t="s">
        <v>571</v>
      </c>
      <c r="G503">
        <v>9.9370999999999992</v>
      </c>
      <c r="H503" t="s">
        <v>1375</v>
      </c>
      <c r="I503" s="26">
        <v>48965</v>
      </c>
      <c r="J503">
        <v>561.16099999999994</v>
      </c>
      <c r="K503">
        <v>1</v>
      </c>
      <c r="L503">
        <v>10.074949999999999</v>
      </c>
      <c r="M503" t="s">
        <v>1493</v>
      </c>
      <c r="N503" t="s">
        <v>1374</v>
      </c>
      <c r="O503" t="s">
        <v>67</v>
      </c>
      <c r="P503">
        <v>6.6069367569999997</v>
      </c>
      <c r="Q503">
        <v>551.50006638000002</v>
      </c>
      <c r="R503">
        <v>2021</v>
      </c>
      <c r="S503"/>
      <c r="T503" t="s">
        <v>31</v>
      </c>
      <c r="U503" t="s">
        <v>28</v>
      </c>
      <c r="V503" t="s">
        <v>37</v>
      </c>
    </row>
    <row r="504" spans="1:22" x14ac:dyDescent="0.25">
      <c r="A504" t="s">
        <v>1492</v>
      </c>
      <c r="B504" t="s">
        <v>1374</v>
      </c>
      <c r="C504">
        <v>710000</v>
      </c>
      <c r="D504">
        <v>713331.32</v>
      </c>
      <c r="E504">
        <v>710435.06</v>
      </c>
      <c r="F504" t="s">
        <v>571</v>
      </c>
      <c r="G504">
        <v>9.9370999999999992</v>
      </c>
      <c r="H504" t="s">
        <v>1375</v>
      </c>
      <c r="I504" s="26">
        <v>48965</v>
      </c>
      <c r="J504">
        <v>561.16099999999994</v>
      </c>
      <c r="K504">
        <v>1</v>
      </c>
      <c r="L504">
        <v>10.074949999999999</v>
      </c>
      <c r="M504" t="s">
        <v>1493</v>
      </c>
      <c r="N504" t="s">
        <v>1374</v>
      </c>
      <c r="O504" t="s">
        <v>67</v>
      </c>
      <c r="P504">
        <v>6.6069367569999997</v>
      </c>
      <c r="Q504">
        <v>551.50006638000002</v>
      </c>
      <c r="R504">
        <v>2021</v>
      </c>
      <c r="S504"/>
      <c r="T504" t="s">
        <v>31</v>
      </c>
      <c r="U504" t="s">
        <v>28</v>
      </c>
      <c r="V504" t="s">
        <v>37</v>
      </c>
    </row>
    <row r="505" spans="1:22" x14ac:dyDescent="0.25">
      <c r="A505" t="s">
        <v>1492</v>
      </c>
      <c r="B505" t="s">
        <v>1372</v>
      </c>
      <c r="C505">
        <v>250000</v>
      </c>
      <c r="D505">
        <v>252470</v>
      </c>
      <c r="E505">
        <v>230625</v>
      </c>
      <c r="F505" t="s">
        <v>571</v>
      </c>
      <c r="G505">
        <v>10.893599999999999</v>
      </c>
      <c r="H505" t="s">
        <v>1373</v>
      </c>
      <c r="I505" s="26">
        <v>49239</v>
      </c>
      <c r="J505">
        <v>656.16099999999994</v>
      </c>
      <c r="K505">
        <v>1</v>
      </c>
      <c r="L505">
        <v>11.058149999999999</v>
      </c>
      <c r="M505" t="s">
        <v>1493</v>
      </c>
      <c r="N505" t="s">
        <v>1372</v>
      </c>
      <c r="O505" t="s">
        <v>67</v>
      </c>
      <c r="P505">
        <v>6.4837141789999997</v>
      </c>
      <c r="Q505">
        <v>635.28588314800004</v>
      </c>
      <c r="R505">
        <v>2021</v>
      </c>
      <c r="S505"/>
      <c r="T505" t="s">
        <v>31</v>
      </c>
      <c r="U505" t="s">
        <v>28</v>
      </c>
      <c r="V505" t="s">
        <v>37</v>
      </c>
    </row>
    <row r="506" spans="1:22" x14ac:dyDescent="0.25">
      <c r="A506" t="s">
        <v>1492</v>
      </c>
      <c r="B506" t="s">
        <v>418</v>
      </c>
      <c r="C506">
        <v>300000</v>
      </c>
      <c r="D506">
        <v>303608.40000000002</v>
      </c>
      <c r="E506">
        <v>300000</v>
      </c>
      <c r="F506" t="s">
        <v>571</v>
      </c>
      <c r="G506">
        <v>9.6644699999999997</v>
      </c>
      <c r="H506" t="s">
        <v>417</v>
      </c>
      <c r="I506" s="26">
        <v>50611</v>
      </c>
      <c r="J506">
        <v>535</v>
      </c>
      <c r="K506">
        <v>1</v>
      </c>
      <c r="L506">
        <v>9.6587949999999996</v>
      </c>
      <c r="M506" t="s">
        <v>1493</v>
      </c>
      <c r="N506" t="s">
        <v>418</v>
      </c>
      <c r="O506" t="s">
        <v>67</v>
      </c>
      <c r="P506">
        <v>10.359941642000001</v>
      </c>
      <c r="Q506">
        <v>516.99473036899997</v>
      </c>
      <c r="R506">
        <v>2025</v>
      </c>
      <c r="S506"/>
      <c r="T506" t="s">
        <v>31</v>
      </c>
      <c r="U506" t="s">
        <v>36</v>
      </c>
      <c r="V506" t="s">
        <v>37</v>
      </c>
    </row>
    <row r="507" spans="1:22" x14ac:dyDescent="0.25">
      <c r="A507" t="s">
        <v>1492</v>
      </c>
      <c r="B507" t="s">
        <v>1377</v>
      </c>
      <c r="C507">
        <v>450000</v>
      </c>
      <c r="D507">
        <v>455639.4</v>
      </c>
      <c r="E507">
        <v>464832.9</v>
      </c>
      <c r="F507" t="s">
        <v>577</v>
      </c>
      <c r="G507">
        <v>11.66846</v>
      </c>
      <c r="H507" t="s">
        <v>1378</v>
      </c>
      <c r="I507" s="26">
        <v>49607</v>
      </c>
      <c r="J507">
        <v>735</v>
      </c>
      <c r="K507">
        <v>1</v>
      </c>
      <c r="L507">
        <v>10.931602</v>
      </c>
      <c r="M507" t="s">
        <v>1493</v>
      </c>
      <c r="N507" t="s">
        <v>1377</v>
      </c>
      <c r="O507" t="s">
        <v>170</v>
      </c>
      <c r="P507">
        <v>8.5317047200000005</v>
      </c>
      <c r="Q507">
        <v>712.29047227599995</v>
      </c>
      <c r="R507">
        <v>2023</v>
      </c>
      <c r="S507"/>
      <c r="T507" t="s">
        <v>31</v>
      </c>
      <c r="U507" t="s">
        <v>32</v>
      </c>
      <c r="V507" t="s">
        <v>37</v>
      </c>
    </row>
    <row r="508" spans="1:22" x14ac:dyDescent="0.25">
      <c r="A508" t="s">
        <v>1492</v>
      </c>
      <c r="B508" t="s">
        <v>1379</v>
      </c>
      <c r="C508">
        <v>110000</v>
      </c>
      <c r="D508">
        <v>110569.91</v>
      </c>
      <c r="E508">
        <v>110081.07</v>
      </c>
      <c r="F508" t="s">
        <v>592</v>
      </c>
      <c r="G508">
        <v>11.439159999999999</v>
      </c>
      <c r="H508" t="s">
        <v>1380</v>
      </c>
      <c r="I508" s="26">
        <v>49414</v>
      </c>
      <c r="J508">
        <v>712.16099999999994</v>
      </c>
      <c r="K508">
        <v>1</v>
      </c>
      <c r="L508">
        <v>2.5364640000000001</v>
      </c>
      <c r="M508" t="s">
        <v>1493</v>
      </c>
      <c r="N508" t="s">
        <v>1379</v>
      </c>
      <c r="O508" t="s">
        <v>173</v>
      </c>
      <c r="P508">
        <v>6.2865005329999999</v>
      </c>
      <c r="Q508">
        <v>700.44203772100002</v>
      </c>
      <c r="R508">
        <v>2021</v>
      </c>
      <c r="S508"/>
      <c r="T508" t="s">
        <v>31</v>
      </c>
      <c r="U508" t="s">
        <v>28</v>
      </c>
      <c r="V508" t="s">
        <v>37</v>
      </c>
    </row>
    <row r="509" spans="1:22" x14ac:dyDescent="0.25">
      <c r="A509" t="s">
        <v>1492</v>
      </c>
      <c r="B509" t="s">
        <v>1379</v>
      </c>
      <c r="C509">
        <v>465000</v>
      </c>
      <c r="D509">
        <v>467409.17</v>
      </c>
      <c r="E509">
        <v>465937.44</v>
      </c>
      <c r="F509" t="s">
        <v>592</v>
      </c>
      <c r="G509">
        <v>11.439159999999999</v>
      </c>
      <c r="H509" t="s">
        <v>1380</v>
      </c>
      <c r="I509" s="26">
        <v>49414</v>
      </c>
      <c r="J509">
        <v>712.16099999999994</v>
      </c>
      <c r="K509">
        <v>1</v>
      </c>
      <c r="L509">
        <v>2.5364640000000001</v>
      </c>
      <c r="M509" t="s">
        <v>1493</v>
      </c>
      <c r="N509" t="s">
        <v>1379</v>
      </c>
      <c r="O509" t="s">
        <v>173</v>
      </c>
      <c r="P509">
        <v>6.2865005329999999</v>
      </c>
      <c r="Q509">
        <v>700.44203772100002</v>
      </c>
      <c r="R509">
        <v>2021</v>
      </c>
      <c r="S509"/>
      <c r="T509" t="s">
        <v>31</v>
      </c>
      <c r="U509" t="s">
        <v>28</v>
      </c>
      <c r="V509" t="s">
        <v>37</v>
      </c>
    </row>
    <row r="510" spans="1:22" x14ac:dyDescent="0.25">
      <c r="A510" t="s">
        <v>1492</v>
      </c>
      <c r="B510" t="s">
        <v>1385</v>
      </c>
      <c r="C510">
        <v>250000</v>
      </c>
      <c r="D510">
        <v>252020.5</v>
      </c>
      <c r="E510">
        <v>252052.25</v>
      </c>
      <c r="F510" t="s">
        <v>605</v>
      </c>
      <c r="G510">
        <v>11.32916</v>
      </c>
      <c r="H510" t="s">
        <v>1386</v>
      </c>
      <c r="I510" s="26">
        <v>49232</v>
      </c>
      <c r="J510">
        <v>701.16099999999994</v>
      </c>
      <c r="K510">
        <v>1</v>
      </c>
      <c r="L510">
        <v>11.123729000000001</v>
      </c>
      <c r="M510" t="s">
        <v>1493</v>
      </c>
      <c r="N510" t="s">
        <v>1385</v>
      </c>
      <c r="O510" t="s">
        <v>176</v>
      </c>
      <c r="P510">
        <v>6.5700724900000003</v>
      </c>
      <c r="Q510">
        <v>683.79364960999999</v>
      </c>
      <c r="R510">
        <v>2021</v>
      </c>
      <c r="S510"/>
      <c r="T510" t="s">
        <v>31</v>
      </c>
      <c r="U510" t="s">
        <v>28</v>
      </c>
      <c r="V510" t="s">
        <v>37</v>
      </c>
    </row>
    <row r="511" spans="1:22" x14ac:dyDescent="0.25">
      <c r="A511" t="s">
        <v>1492</v>
      </c>
      <c r="B511" t="s">
        <v>1390</v>
      </c>
      <c r="C511">
        <v>4800000</v>
      </c>
      <c r="D511">
        <v>4748841.5999999996</v>
      </c>
      <c r="E511">
        <v>4752000</v>
      </c>
      <c r="F511" t="s">
        <v>193</v>
      </c>
      <c r="G511">
        <v>11.69401</v>
      </c>
      <c r="H511" t="s">
        <v>1391</v>
      </c>
      <c r="I511" s="26">
        <v>49142</v>
      </c>
      <c r="J511">
        <v>737.16099999999994</v>
      </c>
      <c r="K511">
        <v>1</v>
      </c>
      <c r="L511">
        <v>11.86791</v>
      </c>
      <c r="M511" t="s">
        <v>1493</v>
      </c>
      <c r="N511" t="s">
        <v>1390</v>
      </c>
      <c r="O511" t="s">
        <v>82</v>
      </c>
      <c r="P511">
        <v>6.5513109030000001</v>
      </c>
      <c r="Q511">
        <v>759.36583175299995</v>
      </c>
      <c r="R511">
        <v>2021</v>
      </c>
      <c r="S511"/>
      <c r="T511" t="s">
        <v>31</v>
      </c>
      <c r="U511" t="s">
        <v>28</v>
      </c>
      <c r="V511" t="s">
        <v>37</v>
      </c>
    </row>
    <row r="512" spans="1:22" x14ac:dyDescent="0.25">
      <c r="A512" t="s">
        <v>1492</v>
      </c>
      <c r="B512" t="s">
        <v>1387</v>
      </c>
      <c r="C512">
        <v>5050000</v>
      </c>
      <c r="D512">
        <v>5013791.5</v>
      </c>
      <c r="E512">
        <v>4999500</v>
      </c>
      <c r="F512" t="s">
        <v>193</v>
      </c>
      <c r="G512">
        <v>11.684010000000001</v>
      </c>
      <c r="H512" t="s">
        <v>1388</v>
      </c>
      <c r="I512" s="26">
        <v>49142</v>
      </c>
      <c r="J512">
        <v>736.16099999999994</v>
      </c>
      <c r="K512">
        <v>1</v>
      </c>
      <c r="L512">
        <v>11.857758</v>
      </c>
      <c r="M512" t="s">
        <v>1493</v>
      </c>
      <c r="N512" t="s">
        <v>1387</v>
      </c>
      <c r="O512" t="s">
        <v>82</v>
      </c>
      <c r="P512">
        <v>6.3180231850000004</v>
      </c>
      <c r="Q512">
        <v>751.29930590499998</v>
      </c>
      <c r="R512">
        <v>2021</v>
      </c>
      <c r="S512"/>
      <c r="T512" t="s">
        <v>31</v>
      </c>
      <c r="U512" t="s">
        <v>28</v>
      </c>
      <c r="V512" t="s">
        <v>37</v>
      </c>
    </row>
    <row r="513" spans="1:22" x14ac:dyDescent="0.25">
      <c r="A513" t="s">
        <v>1492</v>
      </c>
      <c r="B513" t="s">
        <v>1400</v>
      </c>
      <c r="C513">
        <v>4275000</v>
      </c>
      <c r="D513">
        <v>4242860.55</v>
      </c>
      <c r="E513">
        <v>4275000</v>
      </c>
      <c r="F513" t="s">
        <v>275</v>
      </c>
      <c r="G513">
        <v>9.7340099999999996</v>
      </c>
      <c r="H513" t="s">
        <v>1401</v>
      </c>
      <c r="I513" s="26">
        <v>47955</v>
      </c>
      <c r="J513">
        <v>541.16099999999994</v>
      </c>
      <c r="K513">
        <v>1</v>
      </c>
      <c r="L513">
        <v>9.8778360000000003</v>
      </c>
      <c r="M513" t="s">
        <v>1493</v>
      </c>
      <c r="N513" t="s">
        <v>1400</v>
      </c>
      <c r="O513" t="s">
        <v>82</v>
      </c>
      <c r="P513">
        <v>3.3795795910000002</v>
      </c>
      <c r="Q513">
        <v>566.888789632</v>
      </c>
      <c r="R513">
        <v>2018</v>
      </c>
      <c r="S513"/>
      <c r="T513" t="s">
        <v>31</v>
      </c>
      <c r="U513" t="s">
        <v>20</v>
      </c>
      <c r="V513" t="s">
        <v>37</v>
      </c>
    </row>
    <row r="514" spans="1:22" x14ac:dyDescent="0.25">
      <c r="A514" t="s">
        <v>1492</v>
      </c>
      <c r="B514" t="s">
        <v>1477</v>
      </c>
      <c r="C514">
        <v>2790000</v>
      </c>
      <c r="D514">
        <v>2774018.88</v>
      </c>
      <c r="E514">
        <v>2790000</v>
      </c>
      <c r="F514" t="s">
        <v>193</v>
      </c>
      <c r="G514">
        <v>10.0871</v>
      </c>
      <c r="H514" t="s">
        <v>194</v>
      </c>
      <c r="I514" s="26">
        <v>48049</v>
      </c>
      <c r="J514">
        <v>576.16099999999994</v>
      </c>
      <c r="K514">
        <v>1</v>
      </c>
      <c r="L514">
        <v>10.371719000000001</v>
      </c>
      <c r="M514" t="s">
        <v>1493</v>
      </c>
      <c r="N514" t="s">
        <v>1477</v>
      </c>
      <c r="O514" t="s">
        <v>82</v>
      </c>
      <c r="P514">
        <v>3.7449948989999999</v>
      </c>
      <c r="Q514">
        <v>594.17199313399999</v>
      </c>
      <c r="R514">
        <v>2018</v>
      </c>
      <c r="S514"/>
      <c r="T514" t="s">
        <v>35</v>
      </c>
      <c r="U514" t="s">
        <v>20</v>
      </c>
      <c r="V514" t="s">
        <v>37</v>
      </c>
    </row>
    <row r="515" spans="1:22" x14ac:dyDescent="0.25">
      <c r="A515" t="s">
        <v>1492</v>
      </c>
      <c r="B515" t="s">
        <v>1477</v>
      </c>
      <c r="C515">
        <v>960000</v>
      </c>
      <c r="D515">
        <v>954501.12</v>
      </c>
      <c r="E515">
        <v>935343.36</v>
      </c>
      <c r="F515" t="s">
        <v>193</v>
      </c>
      <c r="G515">
        <v>10.0871</v>
      </c>
      <c r="H515" t="s">
        <v>194</v>
      </c>
      <c r="I515" s="26">
        <v>48049</v>
      </c>
      <c r="J515">
        <v>576.16099999999994</v>
      </c>
      <c r="K515">
        <v>1</v>
      </c>
      <c r="L515">
        <v>10.371719000000001</v>
      </c>
      <c r="M515" t="s">
        <v>1493</v>
      </c>
      <c r="N515" t="s">
        <v>1477</v>
      </c>
      <c r="O515" t="s">
        <v>82</v>
      </c>
      <c r="P515">
        <v>3.7449948989999999</v>
      </c>
      <c r="Q515">
        <v>594.17199313399999</v>
      </c>
      <c r="R515">
        <v>2018</v>
      </c>
      <c r="S515"/>
      <c r="T515" t="s">
        <v>35</v>
      </c>
      <c r="U515" t="s">
        <v>20</v>
      </c>
      <c r="V515" t="s">
        <v>37</v>
      </c>
    </row>
    <row r="516" spans="1:22" x14ac:dyDescent="0.25">
      <c r="A516" t="s">
        <v>1492</v>
      </c>
      <c r="B516" t="s">
        <v>1402</v>
      </c>
      <c r="C516">
        <v>2200000</v>
      </c>
      <c r="D516">
        <v>2275781.2000000002</v>
      </c>
      <c r="E516">
        <v>2112000</v>
      </c>
      <c r="F516" t="s">
        <v>275</v>
      </c>
      <c r="G516">
        <v>11.859970000000001</v>
      </c>
      <c r="H516" t="s">
        <v>1403</v>
      </c>
      <c r="I516" s="26">
        <v>50495</v>
      </c>
      <c r="J516">
        <v>757</v>
      </c>
      <c r="K516">
        <v>1</v>
      </c>
      <c r="L516">
        <v>12.662053</v>
      </c>
      <c r="M516" t="s">
        <v>1493</v>
      </c>
      <c r="N516" t="s">
        <v>1402</v>
      </c>
      <c r="O516" t="s">
        <v>82</v>
      </c>
      <c r="P516">
        <v>9.8476469130000002</v>
      </c>
      <c r="Q516">
        <v>699.97590458699995</v>
      </c>
      <c r="R516">
        <v>2025</v>
      </c>
      <c r="S516"/>
      <c r="T516" t="s">
        <v>31</v>
      </c>
      <c r="U516" t="s">
        <v>32</v>
      </c>
      <c r="V516" t="s">
        <v>37</v>
      </c>
    </row>
    <row r="517" spans="1:22" x14ac:dyDescent="0.25">
      <c r="A517" t="s">
        <v>1492</v>
      </c>
      <c r="B517" t="s">
        <v>449</v>
      </c>
      <c r="C517">
        <v>1500000</v>
      </c>
      <c r="D517">
        <v>1517589</v>
      </c>
      <c r="E517">
        <v>1500000</v>
      </c>
      <c r="F517" t="s">
        <v>275</v>
      </c>
      <c r="G517">
        <v>10.281090000000001</v>
      </c>
      <c r="H517" t="s">
        <v>448</v>
      </c>
      <c r="I517" s="26">
        <v>50495</v>
      </c>
      <c r="J517">
        <v>600</v>
      </c>
      <c r="L517">
        <v>10.262297</v>
      </c>
      <c r="M517" t="s">
        <v>1493</v>
      </c>
      <c r="N517" t="s">
        <v>449</v>
      </c>
      <c r="O517" t="s">
        <v>82</v>
      </c>
      <c r="P517">
        <v>10.153623946</v>
      </c>
      <c r="Q517">
        <v>579.82288345400002</v>
      </c>
      <c r="R517">
        <v>2025</v>
      </c>
      <c r="S517"/>
      <c r="T517" t="s">
        <v>31</v>
      </c>
      <c r="U517" t="s">
        <v>36</v>
      </c>
      <c r="V517" t="s">
        <v>37</v>
      </c>
    </row>
    <row r="518" spans="1:22" x14ac:dyDescent="0.25">
      <c r="A518" t="s">
        <v>1492</v>
      </c>
      <c r="B518" t="s">
        <v>1410</v>
      </c>
      <c r="C518">
        <v>250000</v>
      </c>
      <c r="D518">
        <v>253595.5</v>
      </c>
      <c r="E518">
        <v>252045.25</v>
      </c>
      <c r="F518" t="s">
        <v>949</v>
      </c>
      <c r="G518">
        <v>11.174010000000001</v>
      </c>
      <c r="H518" t="s">
        <v>1411</v>
      </c>
      <c r="I518" s="26">
        <v>49051</v>
      </c>
      <c r="J518">
        <v>685.16099999999994</v>
      </c>
      <c r="K518">
        <v>1</v>
      </c>
      <c r="L518">
        <v>10.960993</v>
      </c>
      <c r="M518" t="s">
        <v>1493</v>
      </c>
      <c r="N518" t="s">
        <v>1410</v>
      </c>
      <c r="O518" t="s">
        <v>181</v>
      </c>
      <c r="P518">
        <v>6.3107235199999998</v>
      </c>
      <c r="Q518">
        <v>654.07917627999996</v>
      </c>
      <c r="R518">
        <v>2021</v>
      </c>
      <c r="S518"/>
      <c r="T518" t="s">
        <v>31</v>
      </c>
      <c r="U518" t="s">
        <v>28</v>
      </c>
      <c r="V518" t="s">
        <v>37</v>
      </c>
    </row>
    <row r="519" spans="1:22" x14ac:dyDescent="0.25">
      <c r="A519" t="s">
        <v>1492</v>
      </c>
      <c r="B519" t="s">
        <v>1408</v>
      </c>
      <c r="C519">
        <v>50000</v>
      </c>
      <c r="D519">
        <v>50313.9</v>
      </c>
      <c r="E519">
        <v>50382.3</v>
      </c>
      <c r="F519" t="s">
        <v>612</v>
      </c>
      <c r="G519">
        <v>11.07916</v>
      </c>
      <c r="H519" t="s">
        <v>1409</v>
      </c>
      <c r="I519" s="26">
        <v>49232</v>
      </c>
      <c r="J519">
        <v>676.16099999999994</v>
      </c>
      <c r="K519">
        <v>1</v>
      </c>
      <c r="L519">
        <v>11.164567999999999</v>
      </c>
      <c r="M519" t="s">
        <v>1493</v>
      </c>
      <c r="N519" t="s">
        <v>1408</v>
      </c>
      <c r="O519" t="s">
        <v>82</v>
      </c>
      <c r="P519">
        <v>6.57372114</v>
      </c>
      <c r="Q519">
        <v>662.73309319400005</v>
      </c>
      <c r="R519">
        <v>2021</v>
      </c>
      <c r="S519"/>
      <c r="T519" t="s">
        <v>31</v>
      </c>
      <c r="U519" t="s">
        <v>28</v>
      </c>
      <c r="V519" t="s">
        <v>37</v>
      </c>
    </row>
    <row r="520" spans="1:22" x14ac:dyDescent="0.25">
      <c r="A520" t="s">
        <v>1492</v>
      </c>
      <c r="B520" t="s">
        <v>1408</v>
      </c>
      <c r="C520">
        <v>380000</v>
      </c>
      <c r="D520">
        <v>382385.64</v>
      </c>
      <c r="E520">
        <v>382453.58</v>
      </c>
      <c r="F520" t="s">
        <v>612</v>
      </c>
      <c r="G520">
        <v>11.07916</v>
      </c>
      <c r="H520" t="s">
        <v>1409</v>
      </c>
      <c r="I520" s="26">
        <v>49232</v>
      </c>
      <c r="J520">
        <v>676.16099999999994</v>
      </c>
      <c r="K520">
        <v>1</v>
      </c>
      <c r="L520">
        <v>11.164567999999999</v>
      </c>
      <c r="M520" t="s">
        <v>1493</v>
      </c>
      <c r="N520" t="s">
        <v>1408</v>
      </c>
      <c r="O520" t="s">
        <v>82</v>
      </c>
      <c r="P520">
        <v>6.57372114</v>
      </c>
      <c r="Q520">
        <v>662.73309319400005</v>
      </c>
      <c r="R520">
        <v>2021</v>
      </c>
      <c r="S520"/>
      <c r="T520" t="s">
        <v>31</v>
      </c>
      <c r="U520" t="s">
        <v>28</v>
      </c>
      <c r="V520" t="s">
        <v>37</v>
      </c>
    </row>
    <row r="521" spans="1:22" x14ac:dyDescent="0.25">
      <c r="A521" t="s">
        <v>1492</v>
      </c>
      <c r="B521" t="s">
        <v>1408</v>
      </c>
      <c r="C521">
        <v>570000</v>
      </c>
      <c r="D521">
        <v>573578.46</v>
      </c>
      <c r="E521">
        <v>571873.81000000006</v>
      </c>
      <c r="F521" t="s">
        <v>612</v>
      </c>
      <c r="G521">
        <v>11.07916</v>
      </c>
      <c r="H521" t="s">
        <v>1409</v>
      </c>
      <c r="I521" s="26">
        <v>49232</v>
      </c>
      <c r="J521">
        <v>676.16099999999994</v>
      </c>
      <c r="K521">
        <v>1</v>
      </c>
      <c r="L521">
        <v>11.164567999999999</v>
      </c>
      <c r="M521" t="s">
        <v>1493</v>
      </c>
      <c r="N521" t="s">
        <v>1408</v>
      </c>
      <c r="O521" t="s">
        <v>82</v>
      </c>
      <c r="P521">
        <v>6.57372114</v>
      </c>
      <c r="Q521">
        <v>662.73309319400005</v>
      </c>
      <c r="R521">
        <v>2021</v>
      </c>
      <c r="S521"/>
      <c r="T521" t="s">
        <v>31</v>
      </c>
      <c r="U521" t="s">
        <v>28</v>
      </c>
      <c r="V521" t="s">
        <v>37</v>
      </c>
    </row>
    <row r="522" spans="1:22" x14ac:dyDescent="0.25">
      <c r="A522" t="s">
        <v>1488</v>
      </c>
      <c r="B522" t="s">
        <v>1315</v>
      </c>
      <c r="C522">
        <v>6837500</v>
      </c>
      <c r="D522">
        <v>6801131.3399999999</v>
      </c>
      <c r="E522">
        <v>6837500</v>
      </c>
      <c r="F522" t="s">
        <v>404</v>
      </c>
      <c r="G522">
        <v>8.1870999999999992</v>
      </c>
      <c r="H522" t="s">
        <v>1316</v>
      </c>
      <c r="I522" s="26">
        <v>49053</v>
      </c>
      <c r="J522">
        <v>386.161</v>
      </c>
      <c r="K522">
        <v>1</v>
      </c>
      <c r="L522">
        <v>8.2964719999999996</v>
      </c>
      <c r="M522" t="s">
        <v>1489</v>
      </c>
      <c r="N522" t="s">
        <v>1315</v>
      </c>
      <c r="O522" t="s">
        <v>231</v>
      </c>
      <c r="P522">
        <v>6.0821998519999996</v>
      </c>
      <c r="Q522">
        <v>396.82827338800001</v>
      </c>
      <c r="R522">
        <v>2021</v>
      </c>
      <c r="S522"/>
      <c r="T522" t="s">
        <v>27</v>
      </c>
      <c r="U522" t="s">
        <v>28</v>
      </c>
      <c r="V522" t="s">
        <v>37</v>
      </c>
    </row>
    <row r="523" spans="1:22" x14ac:dyDescent="0.25">
      <c r="A523" t="s">
        <v>1488</v>
      </c>
      <c r="B523" t="s">
        <v>1315</v>
      </c>
      <c r="C523">
        <v>530000</v>
      </c>
      <c r="D523">
        <v>527180.93000000005</v>
      </c>
      <c r="E523">
        <v>530329.66</v>
      </c>
      <c r="F523" t="s">
        <v>404</v>
      </c>
      <c r="G523">
        <v>8.1870999999999992</v>
      </c>
      <c r="H523" t="s">
        <v>1316</v>
      </c>
      <c r="I523" s="26">
        <v>49053</v>
      </c>
      <c r="J523">
        <v>386.161</v>
      </c>
      <c r="K523">
        <v>1</v>
      </c>
      <c r="L523">
        <v>8.2964719999999996</v>
      </c>
      <c r="M523" t="s">
        <v>1489</v>
      </c>
      <c r="N523" t="s">
        <v>1315</v>
      </c>
      <c r="O523" t="s">
        <v>231</v>
      </c>
      <c r="P523">
        <v>6.0821998519999996</v>
      </c>
      <c r="Q523">
        <v>396.82827338800001</v>
      </c>
      <c r="R523">
        <v>2021</v>
      </c>
      <c r="S523"/>
      <c r="T523" t="s">
        <v>27</v>
      </c>
      <c r="U523" t="s">
        <v>28</v>
      </c>
      <c r="V523" t="s">
        <v>37</v>
      </c>
    </row>
    <row r="524" spans="1:22" x14ac:dyDescent="0.25">
      <c r="A524" t="s">
        <v>1488</v>
      </c>
      <c r="B524" t="s">
        <v>1317</v>
      </c>
      <c r="C524">
        <v>5000000</v>
      </c>
      <c r="D524">
        <v>5021750</v>
      </c>
      <c r="E524">
        <v>5000000</v>
      </c>
      <c r="F524" t="s">
        <v>404</v>
      </c>
      <c r="G524">
        <v>7.5751799999999996</v>
      </c>
      <c r="H524" t="s">
        <v>1318</v>
      </c>
      <c r="I524" s="26">
        <v>50337</v>
      </c>
      <c r="J524">
        <v>330</v>
      </c>
      <c r="K524">
        <v>1</v>
      </c>
      <c r="L524">
        <v>7.5740910000000001</v>
      </c>
      <c r="M524" t="s">
        <v>1489</v>
      </c>
      <c r="N524" t="s">
        <v>1317</v>
      </c>
      <c r="O524" t="s">
        <v>231</v>
      </c>
      <c r="P524">
        <v>9.0163567839999992</v>
      </c>
      <c r="Q524">
        <v>323.45029781800002</v>
      </c>
      <c r="R524">
        <v>2024</v>
      </c>
      <c r="S524"/>
      <c r="T524" t="s">
        <v>27</v>
      </c>
      <c r="U524" t="s">
        <v>32</v>
      </c>
      <c r="V524" t="s">
        <v>37</v>
      </c>
    </row>
    <row r="525" spans="1:22" x14ac:dyDescent="0.25">
      <c r="A525" t="s">
        <v>1488</v>
      </c>
      <c r="B525" t="s">
        <v>713</v>
      </c>
      <c r="C525">
        <v>7000000</v>
      </c>
      <c r="D525">
        <v>7045493</v>
      </c>
      <c r="E525">
        <v>7000000</v>
      </c>
      <c r="F525" t="s">
        <v>404</v>
      </c>
      <c r="G525">
        <v>6.8254900000000003</v>
      </c>
      <c r="H525" t="s">
        <v>714</v>
      </c>
      <c r="I525" s="26">
        <v>50333</v>
      </c>
      <c r="J525">
        <v>250</v>
      </c>
      <c r="K525">
        <v>1</v>
      </c>
      <c r="L525">
        <v>6.8246390000000003</v>
      </c>
      <c r="M525" t="s">
        <v>1489</v>
      </c>
      <c r="N525" t="s">
        <v>713</v>
      </c>
      <c r="O525" t="s">
        <v>231</v>
      </c>
      <c r="P525">
        <v>8.1104868200000002</v>
      </c>
      <c r="Q525">
        <v>239.83637902000001</v>
      </c>
      <c r="R525">
        <v>2024</v>
      </c>
      <c r="S525"/>
      <c r="T525" t="s">
        <v>23</v>
      </c>
      <c r="U525" t="s">
        <v>32</v>
      </c>
      <c r="V525" t="s">
        <v>33</v>
      </c>
    </row>
    <row r="526" spans="1:22" x14ac:dyDescent="0.25">
      <c r="A526" t="s">
        <v>1488</v>
      </c>
      <c r="B526" t="s">
        <v>1321</v>
      </c>
      <c r="C526">
        <v>800000</v>
      </c>
      <c r="D526">
        <v>806286.4</v>
      </c>
      <c r="E526">
        <v>800000</v>
      </c>
      <c r="F526" t="s">
        <v>404</v>
      </c>
      <c r="G526">
        <v>7.52027</v>
      </c>
      <c r="H526" t="s">
        <v>1322</v>
      </c>
      <c r="I526" s="26">
        <v>50235</v>
      </c>
      <c r="J526">
        <v>320</v>
      </c>
      <c r="K526">
        <v>1</v>
      </c>
      <c r="L526">
        <v>7.5192009999999998</v>
      </c>
      <c r="M526" t="s">
        <v>1489</v>
      </c>
      <c r="N526" t="s">
        <v>1321</v>
      </c>
      <c r="O526" t="s">
        <v>231</v>
      </c>
      <c r="P526">
        <v>8.8212232860000004</v>
      </c>
      <c r="Q526">
        <v>308.14038556000003</v>
      </c>
      <c r="R526">
        <v>2024</v>
      </c>
      <c r="S526"/>
      <c r="T526" t="s">
        <v>27</v>
      </c>
      <c r="U526" t="s">
        <v>32</v>
      </c>
      <c r="V526" t="s">
        <v>37</v>
      </c>
    </row>
    <row r="527" spans="1:22" x14ac:dyDescent="0.25">
      <c r="A527" t="s">
        <v>1488</v>
      </c>
      <c r="B527" t="s">
        <v>715</v>
      </c>
      <c r="C527">
        <v>500000</v>
      </c>
      <c r="D527">
        <v>502476.5</v>
      </c>
      <c r="E527">
        <v>500000</v>
      </c>
      <c r="F527" t="s">
        <v>404</v>
      </c>
      <c r="G527">
        <v>6.7224000000000004</v>
      </c>
      <c r="H527" t="s">
        <v>716</v>
      </c>
      <c r="I527" s="26">
        <v>50147</v>
      </c>
      <c r="J527">
        <v>240</v>
      </c>
      <c r="K527">
        <v>1</v>
      </c>
      <c r="L527">
        <v>6.7215309999999997</v>
      </c>
      <c r="M527" t="s">
        <v>1489</v>
      </c>
      <c r="N527" t="s">
        <v>715</v>
      </c>
      <c r="O527" t="s">
        <v>231</v>
      </c>
      <c r="P527">
        <v>8.0876730139999999</v>
      </c>
      <c r="Q527">
        <v>232.20705271099999</v>
      </c>
      <c r="R527">
        <v>2024</v>
      </c>
      <c r="S527"/>
      <c r="T527" t="s">
        <v>23</v>
      </c>
      <c r="U527" t="s">
        <v>32</v>
      </c>
      <c r="V527" t="s">
        <v>33</v>
      </c>
    </row>
    <row r="528" spans="1:22" x14ac:dyDescent="0.25">
      <c r="A528" t="s">
        <v>1488</v>
      </c>
      <c r="B528" t="s">
        <v>1319</v>
      </c>
      <c r="C528">
        <v>500000</v>
      </c>
      <c r="D528">
        <v>501764</v>
      </c>
      <c r="E528">
        <v>500000</v>
      </c>
      <c r="F528" t="s">
        <v>404</v>
      </c>
      <c r="G528">
        <v>7.8224</v>
      </c>
      <c r="H528" t="s">
        <v>1320</v>
      </c>
      <c r="I528" s="26">
        <v>50147</v>
      </c>
      <c r="J528">
        <v>350</v>
      </c>
      <c r="K528">
        <v>1</v>
      </c>
      <c r="L528">
        <v>7.8212229999999998</v>
      </c>
      <c r="M528" t="s">
        <v>1489</v>
      </c>
      <c r="N528" t="s">
        <v>1319</v>
      </c>
      <c r="O528" t="s">
        <v>231</v>
      </c>
      <c r="P528">
        <v>8.6752204509999995</v>
      </c>
      <c r="Q528">
        <v>344.44009039000002</v>
      </c>
      <c r="R528">
        <v>2024</v>
      </c>
      <c r="S528"/>
      <c r="T528" t="s">
        <v>27</v>
      </c>
      <c r="U528" t="s">
        <v>32</v>
      </c>
      <c r="V528" t="s">
        <v>37</v>
      </c>
    </row>
    <row r="529" spans="1:22" x14ac:dyDescent="0.25">
      <c r="A529" t="s">
        <v>1488</v>
      </c>
      <c r="B529" t="s">
        <v>533</v>
      </c>
      <c r="C529">
        <v>3200000</v>
      </c>
      <c r="D529">
        <v>3212441.6000000001</v>
      </c>
      <c r="E529">
        <v>3197916.8</v>
      </c>
      <c r="F529" t="s">
        <v>1328</v>
      </c>
      <c r="G529">
        <v>0</v>
      </c>
      <c r="H529" t="s">
        <v>532</v>
      </c>
      <c r="I529" s="26">
        <v>50601</v>
      </c>
      <c r="J529">
        <v>335</v>
      </c>
      <c r="K529">
        <v>1</v>
      </c>
      <c r="L529">
        <v>9.4339999999999997E-3</v>
      </c>
      <c r="M529" t="s">
        <v>1489</v>
      </c>
      <c r="N529" t="s">
        <v>533</v>
      </c>
      <c r="O529" t="s">
        <v>152</v>
      </c>
      <c r="P529">
        <v>9.4874154780000008</v>
      </c>
      <c r="Q529">
        <v>327.71665896799999</v>
      </c>
      <c r="R529">
        <v>2025</v>
      </c>
      <c r="S529"/>
      <c r="T529" t="s">
        <v>27</v>
      </c>
      <c r="U529" t="s">
        <v>32</v>
      </c>
      <c r="V529" t="s">
        <v>17</v>
      </c>
    </row>
    <row r="530" spans="1:22" x14ac:dyDescent="0.25">
      <c r="A530" t="s">
        <v>1488</v>
      </c>
      <c r="B530" t="s">
        <v>536</v>
      </c>
      <c r="C530">
        <v>11525000</v>
      </c>
      <c r="D530">
        <v>11547727.300000001</v>
      </c>
      <c r="E530">
        <v>11525000</v>
      </c>
      <c r="F530" t="s">
        <v>1323</v>
      </c>
      <c r="G530">
        <v>7.2254899999999997</v>
      </c>
      <c r="H530" t="s">
        <v>535</v>
      </c>
      <c r="I530" s="26">
        <v>50606</v>
      </c>
      <c r="J530">
        <v>290</v>
      </c>
      <c r="L530">
        <v>7.224405</v>
      </c>
      <c r="M530" t="s">
        <v>1489</v>
      </c>
      <c r="N530" t="s">
        <v>536</v>
      </c>
      <c r="O530" t="s">
        <v>101</v>
      </c>
      <c r="P530">
        <v>9.683052021</v>
      </c>
      <c r="Q530">
        <v>287.153396413</v>
      </c>
      <c r="R530">
        <v>2025</v>
      </c>
      <c r="S530"/>
      <c r="T530" t="s">
        <v>27</v>
      </c>
      <c r="U530" t="s">
        <v>32</v>
      </c>
      <c r="V530" t="s">
        <v>37</v>
      </c>
    </row>
    <row r="531" spans="1:22" x14ac:dyDescent="0.25">
      <c r="A531" t="s">
        <v>1488</v>
      </c>
      <c r="B531" t="s">
        <v>717</v>
      </c>
      <c r="C531">
        <v>7177000</v>
      </c>
      <c r="D531">
        <v>7209648.1699999999</v>
      </c>
      <c r="E531">
        <v>7177000</v>
      </c>
      <c r="F531" t="s">
        <v>718</v>
      </c>
      <c r="G531">
        <v>6.2754899999999996</v>
      </c>
      <c r="H531" t="s">
        <v>719</v>
      </c>
      <c r="I531" s="26">
        <v>50334</v>
      </c>
      <c r="J531">
        <v>195</v>
      </c>
      <c r="K531">
        <v>1</v>
      </c>
      <c r="L531">
        <v>6.2747479999999998</v>
      </c>
      <c r="M531" t="s">
        <v>1489</v>
      </c>
      <c r="N531" t="s">
        <v>717</v>
      </c>
      <c r="O531" t="s">
        <v>181</v>
      </c>
      <c r="P531">
        <v>8.4284171350000001</v>
      </c>
      <c r="Q531">
        <v>188.20571069600001</v>
      </c>
      <c r="R531">
        <v>2024</v>
      </c>
      <c r="S531"/>
      <c r="T531" t="s">
        <v>23</v>
      </c>
      <c r="U531" t="s">
        <v>32</v>
      </c>
      <c r="V531" t="s">
        <v>33</v>
      </c>
    </row>
    <row r="532" spans="1:22" x14ac:dyDescent="0.25">
      <c r="A532" t="s">
        <v>1488</v>
      </c>
      <c r="B532" t="s">
        <v>1324</v>
      </c>
      <c r="C532">
        <v>6460000</v>
      </c>
      <c r="D532">
        <v>6481111.2800000003</v>
      </c>
      <c r="E532">
        <v>6460000</v>
      </c>
      <c r="F532" t="s">
        <v>718</v>
      </c>
      <c r="G532">
        <v>7.2754899999999996</v>
      </c>
      <c r="H532" t="s">
        <v>1325</v>
      </c>
      <c r="I532" s="26">
        <v>50334</v>
      </c>
      <c r="J532">
        <v>295</v>
      </c>
      <c r="K532">
        <v>1</v>
      </c>
      <c r="L532">
        <v>7.2744929999999997</v>
      </c>
      <c r="M532" t="s">
        <v>1489</v>
      </c>
      <c r="N532" t="s">
        <v>1324</v>
      </c>
      <c r="O532" t="s">
        <v>181</v>
      </c>
      <c r="P532">
        <v>8.9716997030000005</v>
      </c>
      <c r="Q532">
        <v>290.09456317899998</v>
      </c>
      <c r="R532">
        <v>2024</v>
      </c>
      <c r="S532"/>
      <c r="T532" t="s">
        <v>27</v>
      </c>
      <c r="U532" t="s">
        <v>32</v>
      </c>
      <c r="V532" t="s">
        <v>37</v>
      </c>
    </row>
    <row r="533" spans="1:22" x14ac:dyDescent="0.25">
      <c r="A533" t="s">
        <v>1488</v>
      </c>
      <c r="B533" t="s">
        <v>556</v>
      </c>
      <c r="C533">
        <v>14745000</v>
      </c>
      <c r="D533">
        <v>14771010.18</v>
      </c>
      <c r="E533">
        <v>14745000</v>
      </c>
      <c r="F533" t="s">
        <v>207</v>
      </c>
      <c r="G533">
        <v>6.7370999999999999</v>
      </c>
      <c r="H533" t="s">
        <v>557</v>
      </c>
      <c r="I533" s="26">
        <v>47776</v>
      </c>
      <c r="J533">
        <v>241.161</v>
      </c>
      <c r="K533">
        <v>1</v>
      </c>
      <c r="L533">
        <v>6.8322019999999997</v>
      </c>
      <c r="M533" t="s">
        <v>1489</v>
      </c>
      <c r="N533" t="s">
        <v>556</v>
      </c>
      <c r="O533" t="s">
        <v>164</v>
      </c>
      <c r="P533">
        <v>2.608461208</v>
      </c>
      <c r="Q533">
        <v>233.152102281</v>
      </c>
      <c r="R533">
        <v>2018</v>
      </c>
      <c r="S533"/>
      <c r="T533" t="s">
        <v>19</v>
      </c>
      <c r="U533" t="s">
        <v>20</v>
      </c>
      <c r="V533" t="s">
        <v>33</v>
      </c>
    </row>
    <row r="534" spans="1:22" x14ac:dyDescent="0.25">
      <c r="A534" t="s">
        <v>1497</v>
      </c>
      <c r="B534" t="s">
        <v>730</v>
      </c>
      <c r="C534">
        <v>4705000</v>
      </c>
      <c r="D534">
        <v>4693689.18</v>
      </c>
      <c r="E534">
        <v>4705000</v>
      </c>
      <c r="F534" t="s">
        <v>207</v>
      </c>
      <c r="G534">
        <v>7.5871000000000004</v>
      </c>
      <c r="H534" t="s">
        <v>731</v>
      </c>
      <c r="I534" s="26">
        <v>47776</v>
      </c>
      <c r="J534">
        <v>326.161</v>
      </c>
      <c r="K534">
        <v>1</v>
      </c>
      <c r="L534">
        <v>7.8314649999999997</v>
      </c>
      <c r="M534" t="s">
        <v>1489</v>
      </c>
      <c r="N534" t="s">
        <v>730</v>
      </c>
      <c r="O534" t="s">
        <v>164</v>
      </c>
      <c r="P534">
        <v>3.0372591280000001</v>
      </c>
      <c r="Q534">
        <v>334.86797752899997</v>
      </c>
      <c r="R534">
        <v>2018</v>
      </c>
      <c r="S534"/>
      <c r="T534" t="s">
        <v>23</v>
      </c>
      <c r="U534" t="s">
        <v>20</v>
      </c>
      <c r="V534" t="s">
        <v>37</v>
      </c>
    </row>
    <row r="535" spans="1:22" x14ac:dyDescent="0.25">
      <c r="A535" t="s">
        <v>1488</v>
      </c>
      <c r="B535" t="s">
        <v>730</v>
      </c>
      <c r="C535">
        <v>4510000</v>
      </c>
      <c r="D535">
        <v>4499157.96</v>
      </c>
      <c r="E535">
        <v>4451848.0599999996</v>
      </c>
      <c r="F535" t="s">
        <v>207</v>
      </c>
      <c r="G535">
        <v>7.5871000000000004</v>
      </c>
      <c r="H535" t="s">
        <v>731</v>
      </c>
      <c r="I535" s="26">
        <v>47776</v>
      </c>
      <c r="J535">
        <v>326.161</v>
      </c>
      <c r="K535">
        <v>1</v>
      </c>
      <c r="L535">
        <v>7.8314649999999997</v>
      </c>
      <c r="M535" t="s">
        <v>1489</v>
      </c>
      <c r="N535" t="s">
        <v>730</v>
      </c>
      <c r="O535" t="s">
        <v>164</v>
      </c>
      <c r="P535">
        <v>3.0372591280000001</v>
      </c>
      <c r="Q535">
        <v>334.86797752899997</v>
      </c>
      <c r="R535">
        <v>2018</v>
      </c>
      <c r="S535"/>
      <c r="T535" t="s">
        <v>23</v>
      </c>
      <c r="U535" t="s">
        <v>20</v>
      </c>
      <c r="V535" t="s">
        <v>37</v>
      </c>
    </row>
    <row r="536" spans="1:22" x14ac:dyDescent="0.25">
      <c r="A536" t="s">
        <v>1488</v>
      </c>
      <c r="B536" t="s">
        <v>1339</v>
      </c>
      <c r="C536">
        <v>3000000</v>
      </c>
      <c r="D536">
        <v>3011235</v>
      </c>
      <c r="E536">
        <v>3000000</v>
      </c>
      <c r="F536" t="s">
        <v>724</v>
      </c>
      <c r="G536">
        <v>6.9684600000000003</v>
      </c>
      <c r="H536" t="s">
        <v>1340</v>
      </c>
      <c r="I536" s="26">
        <v>50520</v>
      </c>
      <c r="J536">
        <v>265</v>
      </c>
      <c r="K536">
        <v>1</v>
      </c>
      <c r="L536">
        <v>6.9675409999999998</v>
      </c>
      <c r="M536" t="s">
        <v>1489</v>
      </c>
      <c r="N536" t="s">
        <v>1339</v>
      </c>
      <c r="O536" t="s">
        <v>153</v>
      </c>
      <c r="P536">
        <v>9.4915971619999997</v>
      </c>
      <c r="Q536">
        <v>259.71022649899999</v>
      </c>
      <c r="R536">
        <v>2025</v>
      </c>
      <c r="S536"/>
      <c r="T536" t="s">
        <v>27</v>
      </c>
      <c r="U536" t="s">
        <v>32</v>
      </c>
      <c r="V536" t="s">
        <v>33</v>
      </c>
    </row>
    <row r="537" spans="1:22" x14ac:dyDescent="0.25">
      <c r="A537" t="s">
        <v>1488</v>
      </c>
      <c r="B537" t="s">
        <v>1329</v>
      </c>
      <c r="C537">
        <v>5625000</v>
      </c>
      <c r="D537">
        <v>5658750</v>
      </c>
      <c r="E537">
        <v>5625000</v>
      </c>
      <c r="F537" t="s">
        <v>724</v>
      </c>
      <c r="G537">
        <v>7.4684600000000003</v>
      </c>
      <c r="H537" t="s">
        <v>1330</v>
      </c>
      <c r="I537" s="26">
        <v>50246</v>
      </c>
      <c r="J537">
        <v>315</v>
      </c>
      <c r="K537">
        <v>1</v>
      </c>
      <c r="L537">
        <v>7.467403</v>
      </c>
      <c r="M537" t="s">
        <v>1489</v>
      </c>
      <c r="N537" t="s">
        <v>1329</v>
      </c>
      <c r="O537" t="s">
        <v>232</v>
      </c>
      <c r="P537">
        <v>8.8980780819999996</v>
      </c>
      <c r="Q537">
        <v>305.97899989000001</v>
      </c>
      <c r="R537">
        <v>2024</v>
      </c>
      <c r="S537"/>
      <c r="T537" t="s">
        <v>27</v>
      </c>
      <c r="U537" t="s">
        <v>32</v>
      </c>
      <c r="V537" t="s">
        <v>37</v>
      </c>
    </row>
    <row r="538" spans="1:22" x14ac:dyDescent="0.25">
      <c r="A538" t="s">
        <v>1488</v>
      </c>
      <c r="B538" t="s">
        <v>1331</v>
      </c>
      <c r="C538">
        <v>11000000</v>
      </c>
      <c r="D538">
        <v>11040887</v>
      </c>
      <c r="E538">
        <v>11000000</v>
      </c>
      <c r="F538" t="s">
        <v>724</v>
      </c>
      <c r="G538">
        <v>7.81846</v>
      </c>
      <c r="H538" t="s">
        <v>1332</v>
      </c>
      <c r="I538" s="26">
        <v>50246</v>
      </c>
      <c r="J538">
        <v>350</v>
      </c>
      <c r="K538">
        <v>1</v>
      </c>
      <c r="L538">
        <v>7.8173019999999998</v>
      </c>
      <c r="M538" t="s">
        <v>1489</v>
      </c>
      <c r="N538" t="s">
        <v>1331</v>
      </c>
      <c r="O538" t="s">
        <v>232</v>
      </c>
      <c r="P538">
        <v>8.1162619249999999</v>
      </c>
      <c r="Q538">
        <v>343.86358799800001</v>
      </c>
      <c r="R538">
        <v>2024</v>
      </c>
      <c r="S538"/>
      <c r="T538" t="s">
        <v>27</v>
      </c>
      <c r="U538" t="s">
        <v>32</v>
      </c>
      <c r="V538" t="s">
        <v>37</v>
      </c>
    </row>
    <row r="539" spans="1:22" x14ac:dyDescent="0.25">
      <c r="A539" t="s">
        <v>1488</v>
      </c>
      <c r="B539" t="s">
        <v>723</v>
      </c>
      <c r="C539">
        <v>4250000</v>
      </c>
      <c r="D539">
        <v>4273090.25</v>
      </c>
      <c r="E539">
        <v>4250000</v>
      </c>
      <c r="F539" t="s">
        <v>724</v>
      </c>
      <c r="G539">
        <v>6.3254900000000003</v>
      </c>
      <c r="H539" t="s">
        <v>725</v>
      </c>
      <c r="I539" s="26">
        <v>50333</v>
      </c>
      <c r="J539">
        <v>200</v>
      </c>
      <c r="K539">
        <v>1</v>
      </c>
      <c r="L539">
        <v>6.3247590000000002</v>
      </c>
      <c r="M539" t="s">
        <v>1489</v>
      </c>
      <c r="N539" t="s">
        <v>723</v>
      </c>
      <c r="O539" t="s">
        <v>233</v>
      </c>
      <c r="P539">
        <v>8.5544359290000003</v>
      </c>
      <c r="Q539">
        <v>191.980853849</v>
      </c>
      <c r="R539">
        <v>2024</v>
      </c>
      <c r="S539"/>
      <c r="T539" t="s">
        <v>23</v>
      </c>
      <c r="U539" t="s">
        <v>32</v>
      </c>
      <c r="V539" t="s">
        <v>33</v>
      </c>
    </row>
    <row r="540" spans="1:22" x14ac:dyDescent="0.25">
      <c r="A540" t="s">
        <v>1492</v>
      </c>
      <c r="B540" t="s">
        <v>1406</v>
      </c>
      <c r="C540">
        <v>587500</v>
      </c>
      <c r="D540">
        <v>587529.38</v>
      </c>
      <c r="E540">
        <v>587500</v>
      </c>
      <c r="F540" t="s">
        <v>612</v>
      </c>
      <c r="G540">
        <v>10.8371</v>
      </c>
      <c r="H540" t="s">
        <v>1407</v>
      </c>
      <c r="I540" s="26">
        <v>49145</v>
      </c>
      <c r="J540">
        <v>651.16099999999994</v>
      </c>
      <c r="K540">
        <v>1</v>
      </c>
      <c r="L540">
        <v>10.986708</v>
      </c>
      <c r="M540" t="s">
        <v>1493</v>
      </c>
      <c r="N540" t="s">
        <v>1406</v>
      </c>
      <c r="O540" t="s">
        <v>82</v>
      </c>
      <c r="P540">
        <v>6.3979172569999996</v>
      </c>
      <c r="Q540"/>
      <c r="R540">
        <v>2021</v>
      </c>
      <c r="S540"/>
      <c r="T540" t="s">
        <v>31</v>
      </c>
      <c r="U540" t="s">
        <v>28</v>
      </c>
      <c r="V540" t="s">
        <v>37</v>
      </c>
    </row>
    <row r="541" spans="1:22" x14ac:dyDescent="0.25">
      <c r="A541" t="s">
        <v>1492</v>
      </c>
      <c r="B541" t="s">
        <v>1414</v>
      </c>
      <c r="C541">
        <v>100000</v>
      </c>
      <c r="D541">
        <v>100684.8</v>
      </c>
      <c r="E541">
        <v>100949.1</v>
      </c>
      <c r="F541" t="s">
        <v>636</v>
      </c>
      <c r="G541">
        <v>10.67549</v>
      </c>
      <c r="H541" t="s">
        <v>1415</v>
      </c>
      <c r="I541" s="26">
        <v>49419</v>
      </c>
      <c r="J541">
        <v>635</v>
      </c>
      <c r="K541">
        <v>1</v>
      </c>
      <c r="L541">
        <v>10.455863000000001</v>
      </c>
      <c r="M541" t="s">
        <v>1493</v>
      </c>
      <c r="N541" t="s">
        <v>1414</v>
      </c>
      <c r="O541" t="s">
        <v>86</v>
      </c>
      <c r="P541">
        <v>6.9013661749999997</v>
      </c>
      <c r="Q541"/>
      <c r="R541">
        <v>2022</v>
      </c>
      <c r="S541"/>
      <c r="T541" t="s">
        <v>31</v>
      </c>
      <c r="U541" t="s">
        <v>28</v>
      </c>
      <c r="V541" t="s">
        <v>37</v>
      </c>
    </row>
    <row r="542" spans="1:22" x14ac:dyDescent="0.25">
      <c r="A542" t="s">
        <v>1492</v>
      </c>
      <c r="B542" t="s">
        <v>1416</v>
      </c>
      <c r="C542">
        <v>600000</v>
      </c>
      <c r="D542">
        <v>591509.4</v>
      </c>
      <c r="E542">
        <v>600000</v>
      </c>
      <c r="F542" t="s">
        <v>306</v>
      </c>
      <c r="G542">
        <v>8.8254900000000003</v>
      </c>
      <c r="H542" t="s">
        <v>1417</v>
      </c>
      <c r="I542" s="26">
        <v>49054</v>
      </c>
      <c r="J542">
        <v>450</v>
      </c>
      <c r="K542">
        <v>1</v>
      </c>
      <c r="L542">
        <v>8.8240750000000006</v>
      </c>
      <c r="M542" t="s">
        <v>1493</v>
      </c>
      <c r="N542" t="s">
        <v>1416</v>
      </c>
      <c r="O542" t="s">
        <v>234</v>
      </c>
      <c r="P542">
        <v>6.1085949670000002</v>
      </c>
      <c r="Q542">
        <v>479.29328309599998</v>
      </c>
      <c r="R542">
        <v>2025</v>
      </c>
      <c r="S542"/>
      <c r="T542" t="s">
        <v>31</v>
      </c>
      <c r="U542" t="s">
        <v>28</v>
      </c>
      <c r="V542" t="s">
        <v>37</v>
      </c>
    </row>
    <row r="543" spans="1:22" x14ac:dyDescent="0.25">
      <c r="A543" t="s">
        <v>1492</v>
      </c>
      <c r="B543" t="s">
        <v>1418</v>
      </c>
      <c r="C543">
        <v>450000</v>
      </c>
      <c r="D543">
        <v>453331.35</v>
      </c>
      <c r="E543">
        <v>455862.6</v>
      </c>
      <c r="F543" t="s">
        <v>655</v>
      </c>
      <c r="G543">
        <v>10.82549</v>
      </c>
      <c r="H543" t="s">
        <v>1419</v>
      </c>
      <c r="I543" s="26">
        <v>49968</v>
      </c>
      <c r="J543">
        <v>650</v>
      </c>
      <c r="K543">
        <v>1</v>
      </c>
      <c r="L543">
        <v>10.553661999999999</v>
      </c>
      <c r="M543" t="s">
        <v>1493</v>
      </c>
      <c r="N543" t="s">
        <v>1418</v>
      </c>
      <c r="O543" t="s">
        <v>94</v>
      </c>
      <c r="P543">
        <v>8.5456958170000004</v>
      </c>
      <c r="Q543">
        <v>636.83926997200001</v>
      </c>
      <c r="R543">
        <v>2023</v>
      </c>
      <c r="S543"/>
      <c r="T543" t="s">
        <v>31</v>
      </c>
      <c r="U543" t="s">
        <v>32</v>
      </c>
      <c r="V543" t="s">
        <v>37</v>
      </c>
    </row>
    <row r="544" spans="1:22" x14ac:dyDescent="0.25">
      <c r="A544" t="s">
        <v>1492</v>
      </c>
      <c r="B544" t="s">
        <v>1422</v>
      </c>
      <c r="C544">
        <v>250000</v>
      </c>
      <c r="D544">
        <v>250012.5</v>
      </c>
      <c r="E544">
        <v>249821</v>
      </c>
      <c r="F544" t="s">
        <v>660</v>
      </c>
      <c r="G544">
        <v>11.0806</v>
      </c>
      <c r="H544" t="s">
        <v>1423</v>
      </c>
      <c r="I544" s="26">
        <v>49332</v>
      </c>
      <c r="J544">
        <v>676.16099999999994</v>
      </c>
      <c r="K544">
        <v>1</v>
      </c>
      <c r="L544">
        <v>11.088471</v>
      </c>
      <c r="M544" t="s">
        <v>1493</v>
      </c>
      <c r="N544" t="s">
        <v>1422</v>
      </c>
      <c r="O544" t="s">
        <v>102</v>
      </c>
      <c r="P544">
        <v>6.8361607070000003</v>
      </c>
      <c r="Q544"/>
      <c r="R544">
        <v>2021</v>
      </c>
      <c r="S544"/>
      <c r="T544" t="s">
        <v>31</v>
      </c>
      <c r="U544" t="s">
        <v>28</v>
      </c>
      <c r="V544" t="s">
        <v>37</v>
      </c>
    </row>
    <row r="545" spans="1:22" x14ac:dyDescent="0.25">
      <c r="A545" t="s">
        <v>1492</v>
      </c>
      <c r="B545" t="s">
        <v>488</v>
      </c>
      <c r="C545">
        <v>300000</v>
      </c>
      <c r="D545">
        <v>300786</v>
      </c>
      <c r="E545">
        <v>300000</v>
      </c>
      <c r="F545" t="s">
        <v>660</v>
      </c>
      <c r="G545">
        <v>10.32549</v>
      </c>
      <c r="H545" t="s">
        <v>487</v>
      </c>
      <c r="I545" s="26">
        <v>50971</v>
      </c>
      <c r="J545">
        <v>600</v>
      </c>
      <c r="K545">
        <v>1</v>
      </c>
      <c r="L545">
        <v>10.323551999999999</v>
      </c>
      <c r="M545" t="s">
        <v>1493</v>
      </c>
      <c r="N545" t="s">
        <v>488</v>
      </c>
      <c r="O545" t="s">
        <v>102</v>
      </c>
      <c r="P545">
        <v>10.331832274</v>
      </c>
      <c r="Q545">
        <v>595.77876941299996</v>
      </c>
      <c r="R545">
        <v>2025</v>
      </c>
      <c r="S545"/>
      <c r="T545" t="s">
        <v>31</v>
      </c>
      <c r="U545" t="s">
        <v>36</v>
      </c>
      <c r="V545" t="s">
        <v>37</v>
      </c>
    </row>
    <row r="546" spans="1:22" x14ac:dyDescent="0.25">
      <c r="A546" t="s">
        <v>1492</v>
      </c>
      <c r="B546" t="s">
        <v>1424</v>
      </c>
      <c r="C546">
        <v>400000</v>
      </c>
      <c r="D546">
        <v>395554.4</v>
      </c>
      <c r="E546">
        <v>394000</v>
      </c>
      <c r="F546" t="s">
        <v>1057</v>
      </c>
      <c r="G546">
        <v>12.0571</v>
      </c>
      <c r="H546" t="s">
        <v>1425</v>
      </c>
      <c r="I546" s="26">
        <v>49237</v>
      </c>
      <c r="J546">
        <v>773.16099999999994</v>
      </c>
      <c r="K546">
        <v>1</v>
      </c>
      <c r="L546">
        <v>12.224871</v>
      </c>
      <c r="M546" t="s">
        <v>1493</v>
      </c>
      <c r="N546" t="s">
        <v>1424</v>
      </c>
      <c r="O546" t="s">
        <v>104</v>
      </c>
      <c r="P546">
        <v>6.6054041970000004</v>
      </c>
      <c r="Q546">
        <v>796.68831746900003</v>
      </c>
      <c r="R546">
        <v>2021</v>
      </c>
      <c r="S546"/>
      <c r="T546" t="s">
        <v>31</v>
      </c>
      <c r="U546" t="s">
        <v>28</v>
      </c>
      <c r="V546" t="s">
        <v>37</v>
      </c>
    </row>
    <row r="547" spans="1:22" x14ac:dyDescent="0.25">
      <c r="A547" t="s">
        <v>1492</v>
      </c>
      <c r="B547" t="s">
        <v>1056</v>
      </c>
      <c r="C547">
        <v>7500000</v>
      </c>
      <c r="D547">
        <v>7521487.5</v>
      </c>
      <c r="E547">
        <v>7500000</v>
      </c>
      <c r="F547" t="s">
        <v>1057</v>
      </c>
      <c r="G547">
        <v>8.2258899999999997</v>
      </c>
      <c r="H547" t="s">
        <v>1058</v>
      </c>
      <c r="I547" s="26">
        <v>49063</v>
      </c>
      <c r="J547">
        <v>391.161</v>
      </c>
      <c r="K547">
        <v>1</v>
      </c>
      <c r="L547">
        <v>8.3511849999999992</v>
      </c>
      <c r="M547" t="s">
        <v>1493</v>
      </c>
      <c r="N547" t="s">
        <v>1056</v>
      </c>
      <c r="O547" t="s">
        <v>104</v>
      </c>
      <c r="P547">
        <v>5.258315981</v>
      </c>
      <c r="Q547">
        <v>384.33989878400001</v>
      </c>
      <c r="R547">
        <v>2021</v>
      </c>
      <c r="S547"/>
      <c r="T547" t="s">
        <v>27</v>
      </c>
      <c r="U547" t="s">
        <v>24</v>
      </c>
      <c r="V547" t="s">
        <v>37</v>
      </c>
    </row>
    <row r="548" spans="1:22" x14ac:dyDescent="0.25">
      <c r="A548" t="s">
        <v>1492</v>
      </c>
      <c r="B548" t="s">
        <v>1428</v>
      </c>
      <c r="C548">
        <v>100000</v>
      </c>
      <c r="D548">
        <v>98867.199999999997</v>
      </c>
      <c r="E548">
        <v>100382.1</v>
      </c>
      <c r="F548" t="s">
        <v>554</v>
      </c>
      <c r="G548">
        <v>11.197100000000001</v>
      </c>
      <c r="H548" t="s">
        <v>1429</v>
      </c>
      <c r="I548" s="26">
        <v>49145</v>
      </c>
      <c r="J548">
        <v>687.16099999999994</v>
      </c>
      <c r="K548">
        <v>1</v>
      </c>
      <c r="L548">
        <v>11.292573000000001</v>
      </c>
      <c r="M548" t="s">
        <v>1493</v>
      </c>
      <c r="N548" t="s">
        <v>1428</v>
      </c>
      <c r="O548" t="s">
        <v>109</v>
      </c>
      <c r="P548">
        <v>6.4809548530000001</v>
      </c>
      <c r="Q548">
        <v>710.97768060099997</v>
      </c>
      <c r="R548">
        <v>2021</v>
      </c>
      <c r="S548"/>
      <c r="T548" t="s">
        <v>31</v>
      </c>
      <c r="U548" t="s">
        <v>28</v>
      </c>
      <c r="V548" t="s">
        <v>37</v>
      </c>
    </row>
    <row r="549" spans="1:22" x14ac:dyDescent="0.25">
      <c r="A549" t="s">
        <v>1492</v>
      </c>
      <c r="B549" t="s">
        <v>1428</v>
      </c>
      <c r="C549">
        <v>225000</v>
      </c>
      <c r="D549">
        <v>222451.20000000001</v>
      </c>
      <c r="E549">
        <v>225206.55</v>
      </c>
      <c r="F549" t="s">
        <v>554</v>
      </c>
      <c r="G549">
        <v>11.197100000000001</v>
      </c>
      <c r="H549" t="s">
        <v>1429</v>
      </c>
      <c r="I549" s="26">
        <v>49145</v>
      </c>
      <c r="J549">
        <v>687.16099999999994</v>
      </c>
      <c r="K549">
        <v>1</v>
      </c>
      <c r="L549">
        <v>11.292573000000001</v>
      </c>
      <c r="M549" t="s">
        <v>1493</v>
      </c>
      <c r="N549" t="s">
        <v>1428</v>
      </c>
      <c r="O549" t="s">
        <v>109</v>
      </c>
      <c r="P549">
        <v>6.4809548530000001</v>
      </c>
      <c r="Q549">
        <v>710.97768060099997</v>
      </c>
      <c r="R549">
        <v>2021</v>
      </c>
      <c r="S549"/>
      <c r="T549" t="s">
        <v>31</v>
      </c>
      <c r="U549" t="s">
        <v>28</v>
      </c>
      <c r="V549" t="s">
        <v>37</v>
      </c>
    </row>
    <row r="550" spans="1:22" x14ac:dyDescent="0.25">
      <c r="A550" t="s">
        <v>1492</v>
      </c>
      <c r="B550" t="s">
        <v>1428</v>
      </c>
      <c r="C550">
        <v>500000</v>
      </c>
      <c r="D550">
        <v>494336</v>
      </c>
      <c r="E550">
        <v>502394.5</v>
      </c>
      <c r="F550" t="s">
        <v>554</v>
      </c>
      <c r="G550">
        <v>11.197100000000001</v>
      </c>
      <c r="H550" t="s">
        <v>1429</v>
      </c>
      <c r="I550" s="26">
        <v>49145</v>
      </c>
      <c r="J550">
        <v>687.16099999999994</v>
      </c>
      <c r="K550">
        <v>1</v>
      </c>
      <c r="L550">
        <v>11.292573000000001</v>
      </c>
      <c r="M550" t="s">
        <v>1493</v>
      </c>
      <c r="N550" t="s">
        <v>1428</v>
      </c>
      <c r="O550" t="s">
        <v>109</v>
      </c>
      <c r="P550">
        <v>6.4809548530000001</v>
      </c>
      <c r="Q550">
        <v>710.97768060099997</v>
      </c>
      <c r="R550">
        <v>2021</v>
      </c>
      <c r="S550"/>
      <c r="T550" t="s">
        <v>31</v>
      </c>
      <c r="U550" t="s">
        <v>28</v>
      </c>
      <c r="V550" t="s">
        <v>37</v>
      </c>
    </row>
    <row r="551" spans="1:22" x14ac:dyDescent="0.25">
      <c r="A551" t="s">
        <v>1492</v>
      </c>
      <c r="B551" t="s">
        <v>1430</v>
      </c>
      <c r="C551">
        <v>400000</v>
      </c>
      <c r="D551">
        <v>391874</v>
      </c>
      <c r="E551">
        <v>401076</v>
      </c>
      <c r="F551" t="s">
        <v>554</v>
      </c>
      <c r="G551">
        <v>11.859159999999999</v>
      </c>
      <c r="H551" t="s">
        <v>1431</v>
      </c>
      <c r="I551" s="26">
        <v>49232</v>
      </c>
      <c r="J551">
        <v>754.16099999999994</v>
      </c>
      <c r="K551">
        <v>1</v>
      </c>
      <c r="L551">
        <v>11.809476</v>
      </c>
      <c r="M551" t="s">
        <v>1493</v>
      </c>
      <c r="N551" t="s">
        <v>1430</v>
      </c>
      <c r="O551" t="s">
        <v>109</v>
      </c>
      <c r="P551">
        <v>6.6193589729999998</v>
      </c>
      <c r="Q551">
        <v>797.56040654100002</v>
      </c>
      <c r="R551">
        <v>2021</v>
      </c>
      <c r="S551"/>
      <c r="T551" t="s">
        <v>31</v>
      </c>
      <c r="U551" t="s">
        <v>28</v>
      </c>
      <c r="V551" t="s">
        <v>37</v>
      </c>
    </row>
    <row r="552" spans="1:22" x14ac:dyDescent="0.25">
      <c r="A552" t="s">
        <v>1492</v>
      </c>
      <c r="B552" t="s">
        <v>1426</v>
      </c>
      <c r="C552">
        <v>500000</v>
      </c>
      <c r="D552">
        <v>480371.5</v>
      </c>
      <c r="E552">
        <v>495000</v>
      </c>
      <c r="F552" t="s">
        <v>554</v>
      </c>
      <c r="G552">
        <v>11.01755</v>
      </c>
      <c r="H552" t="s">
        <v>1427</v>
      </c>
      <c r="I552" s="26">
        <v>49414</v>
      </c>
      <c r="J552">
        <v>670</v>
      </c>
      <c r="K552">
        <v>1</v>
      </c>
      <c r="L552">
        <v>11.182693</v>
      </c>
      <c r="M552" t="s">
        <v>1493</v>
      </c>
      <c r="N552" t="s">
        <v>1426</v>
      </c>
      <c r="O552" t="s">
        <v>109</v>
      </c>
      <c r="P552">
        <v>7.0719032500000001</v>
      </c>
      <c r="Q552">
        <v>749.59787362500003</v>
      </c>
      <c r="R552">
        <v>2022</v>
      </c>
      <c r="S552"/>
      <c r="T552" t="s">
        <v>31</v>
      </c>
      <c r="U552" t="s">
        <v>28</v>
      </c>
      <c r="V552" t="s">
        <v>37</v>
      </c>
    </row>
    <row r="553" spans="1:22" x14ac:dyDescent="0.25">
      <c r="A553" t="s">
        <v>1492</v>
      </c>
      <c r="B553" t="s">
        <v>1478</v>
      </c>
      <c r="C553">
        <v>145000</v>
      </c>
      <c r="D553">
        <v>148082.41</v>
      </c>
      <c r="E553">
        <v>140287.5</v>
      </c>
      <c r="F553" t="s">
        <v>197</v>
      </c>
      <c r="G553">
        <v>13.549160000000001</v>
      </c>
      <c r="H553" t="s">
        <v>198</v>
      </c>
      <c r="I553" s="26">
        <v>48684</v>
      </c>
      <c r="J553">
        <v>923.16099999999994</v>
      </c>
      <c r="K553">
        <v>1</v>
      </c>
      <c r="L553">
        <v>13.751746000000001</v>
      </c>
      <c r="M553" t="s">
        <v>1493</v>
      </c>
      <c r="N553" t="s">
        <v>1478</v>
      </c>
      <c r="O553" t="s">
        <v>164</v>
      </c>
      <c r="P553">
        <v>4.218523362</v>
      </c>
      <c r="Q553">
        <v>949.88684991100001</v>
      </c>
      <c r="R553">
        <v>2021</v>
      </c>
      <c r="S553"/>
      <c r="T553" t="s">
        <v>35</v>
      </c>
      <c r="U553" t="s">
        <v>24</v>
      </c>
      <c r="V553" t="s">
        <v>37</v>
      </c>
    </row>
    <row r="554" spans="1:22" x14ac:dyDescent="0.25">
      <c r="A554" t="s">
        <v>1492</v>
      </c>
      <c r="B554" t="s">
        <v>338</v>
      </c>
      <c r="C554">
        <v>428571.42855000001</v>
      </c>
      <c r="D554">
        <v>432287.57</v>
      </c>
      <c r="E554">
        <v>428571.43</v>
      </c>
      <c r="F554" t="s">
        <v>586</v>
      </c>
      <c r="G554">
        <v>10.584009999999999</v>
      </c>
      <c r="H554" t="s">
        <v>337</v>
      </c>
      <c r="I554" s="26">
        <v>49142</v>
      </c>
      <c r="J554">
        <v>626.16099999999994</v>
      </c>
      <c r="K554">
        <v>0.85714299999999999</v>
      </c>
      <c r="L554">
        <v>10.741040999999999</v>
      </c>
      <c r="M554" t="s">
        <v>1493</v>
      </c>
      <c r="N554" t="s">
        <v>338</v>
      </c>
      <c r="O554" t="s">
        <v>112</v>
      </c>
      <c r="P554">
        <v>6.4471528229999997</v>
      </c>
      <c r="Q554">
        <v>607.81424426499996</v>
      </c>
      <c r="R554">
        <v>2021</v>
      </c>
      <c r="S554"/>
      <c r="T554" t="s">
        <v>31</v>
      </c>
      <c r="U554" t="s">
        <v>28</v>
      </c>
      <c r="V554" t="s">
        <v>37</v>
      </c>
    </row>
    <row r="555" spans="1:22" x14ac:dyDescent="0.25">
      <c r="A555" t="s">
        <v>1492</v>
      </c>
      <c r="B555" t="s">
        <v>1432</v>
      </c>
      <c r="C555">
        <v>340000</v>
      </c>
      <c r="D555">
        <v>336487.46</v>
      </c>
      <c r="E555">
        <v>339717.58</v>
      </c>
      <c r="F555" t="s">
        <v>586</v>
      </c>
      <c r="G555">
        <v>10.8436</v>
      </c>
      <c r="H555" t="s">
        <v>1433</v>
      </c>
      <c r="I555" s="26">
        <v>49239</v>
      </c>
      <c r="J555">
        <v>651.16099999999994</v>
      </c>
      <c r="K555">
        <v>1</v>
      </c>
      <c r="L555">
        <v>11.053879999999999</v>
      </c>
      <c r="M555" t="s">
        <v>1493</v>
      </c>
      <c r="N555" t="s">
        <v>1432</v>
      </c>
      <c r="O555" t="s">
        <v>111</v>
      </c>
      <c r="P555">
        <v>6.6210127060000001</v>
      </c>
      <c r="Q555">
        <v>672.29982230099995</v>
      </c>
      <c r="R555">
        <v>2021</v>
      </c>
      <c r="S555"/>
      <c r="T555" t="s">
        <v>31</v>
      </c>
      <c r="U555" t="s">
        <v>28</v>
      </c>
      <c r="V555" t="s">
        <v>37</v>
      </c>
    </row>
    <row r="556" spans="1:22" x14ac:dyDescent="0.25">
      <c r="A556" t="s">
        <v>1492</v>
      </c>
      <c r="B556" t="s">
        <v>1432</v>
      </c>
      <c r="C556">
        <v>460000</v>
      </c>
      <c r="D556">
        <v>455247.74</v>
      </c>
      <c r="E556">
        <v>457464.01</v>
      </c>
      <c r="F556" t="s">
        <v>586</v>
      </c>
      <c r="G556">
        <v>10.8436</v>
      </c>
      <c r="H556" t="s">
        <v>1433</v>
      </c>
      <c r="I556" s="26">
        <v>49239</v>
      </c>
      <c r="J556">
        <v>651.16099999999994</v>
      </c>
      <c r="K556">
        <v>1</v>
      </c>
      <c r="L556">
        <v>11.053879999999999</v>
      </c>
      <c r="M556" t="s">
        <v>1493</v>
      </c>
      <c r="N556" t="s">
        <v>1432</v>
      </c>
      <c r="O556" t="s">
        <v>111</v>
      </c>
      <c r="P556">
        <v>6.6210127060000001</v>
      </c>
      <c r="Q556">
        <v>672.29982230099995</v>
      </c>
      <c r="R556">
        <v>2021</v>
      </c>
      <c r="S556"/>
      <c r="T556" t="s">
        <v>31</v>
      </c>
      <c r="U556" t="s">
        <v>28</v>
      </c>
      <c r="V556" t="s">
        <v>37</v>
      </c>
    </row>
    <row r="557" spans="1:22" x14ac:dyDescent="0.25">
      <c r="A557" t="s">
        <v>1492</v>
      </c>
      <c r="B557" t="s">
        <v>353</v>
      </c>
      <c r="C557">
        <v>250000</v>
      </c>
      <c r="D557">
        <v>252696.25</v>
      </c>
      <c r="E557">
        <v>251791</v>
      </c>
      <c r="F557" t="s">
        <v>351</v>
      </c>
      <c r="G557">
        <v>11.625489999999999</v>
      </c>
      <c r="H557" t="s">
        <v>352</v>
      </c>
      <c r="I557" s="26">
        <v>48689</v>
      </c>
      <c r="J557">
        <v>730</v>
      </c>
      <c r="K557">
        <v>1</v>
      </c>
      <c r="L557">
        <v>11.424415</v>
      </c>
      <c r="M557" t="s">
        <v>1493</v>
      </c>
      <c r="N557" t="s">
        <v>353</v>
      </c>
      <c r="O557" t="s">
        <v>126</v>
      </c>
      <c r="P557">
        <v>5.4661879100000004</v>
      </c>
      <c r="Q557">
        <v>703.40569772699996</v>
      </c>
      <c r="R557">
        <v>2024</v>
      </c>
      <c r="S557"/>
      <c r="T557" t="s">
        <v>31</v>
      </c>
      <c r="U557" t="s">
        <v>24</v>
      </c>
      <c r="V557" t="s">
        <v>37</v>
      </c>
    </row>
    <row r="558" spans="1:22" x14ac:dyDescent="0.25">
      <c r="A558" t="s">
        <v>1492</v>
      </c>
      <c r="B558" t="s">
        <v>1475</v>
      </c>
      <c r="C558">
        <v>430000</v>
      </c>
      <c r="D558">
        <v>413030.05</v>
      </c>
      <c r="E558">
        <v>404465.8</v>
      </c>
      <c r="F558" t="s">
        <v>733</v>
      </c>
      <c r="G558">
        <v>11.62401</v>
      </c>
      <c r="H558" t="s">
        <v>1476</v>
      </c>
      <c r="I558" s="26">
        <v>49234</v>
      </c>
      <c r="J558">
        <v>730.16099999999994</v>
      </c>
      <c r="K558">
        <v>1</v>
      </c>
      <c r="L558">
        <v>12.895732000000001</v>
      </c>
      <c r="M558" t="s">
        <v>1493</v>
      </c>
      <c r="N558" t="s">
        <v>1475</v>
      </c>
      <c r="O558" t="s">
        <v>152</v>
      </c>
      <c r="P558">
        <v>6.6539392880000001</v>
      </c>
      <c r="Q558">
        <v>815.03287198199996</v>
      </c>
      <c r="R558">
        <v>2021</v>
      </c>
      <c r="S558"/>
      <c r="T558" t="s">
        <v>31</v>
      </c>
      <c r="U558" t="s">
        <v>28</v>
      </c>
      <c r="V558" t="s">
        <v>37</v>
      </c>
    </row>
    <row r="559" spans="1:22" x14ac:dyDescent="0.25">
      <c r="A559" t="s">
        <v>1492</v>
      </c>
      <c r="B559" t="s">
        <v>1475</v>
      </c>
      <c r="C559">
        <v>570000</v>
      </c>
      <c r="D559">
        <v>547504.94999999995</v>
      </c>
      <c r="E559">
        <v>533855.84</v>
      </c>
      <c r="F559" t="s">
        <v>733</v>
      </c>
      <c r="G559">
        <v>11.62401</v>
      </c>
      <c r="H559" t="s">
        <v>1476</v>
      </c>
      <c r="I559" s="26">
        <v>49234</v>
      </c>
      <c r="J559">
        <v>730.16099999999994</v>
      </c>
      <c r="K559">
        <v>1</v>
      </c>
      <c r="L559">
        <v>12.895732000000001</v>
      </c>
      <c r="M559" t="s">
        <v>1493</v>
      </c>
      <c r="N559" t="s">
        <v>1475</v>
      </c>
      <c r="O559" t="s">
        <v>152</v>
      </c>
      <c r="P559">
        <v>6.6539392880000001</v>
      </c>
      <c r="Q559">
        <v>815.03287198199996</v>
      </c>
      <c r="R559">
        <v>2021</v>
      </c>
      <c r="S559"/>
      <c r="T559" t="s">
        <v>31</v>
      </c>
      <c r="U559" t="s">
        <v>28</v>
      </c>
      <c r="V559" t="s">
        <v>37</v>
      </c>
    </row>
    <row r="560" spans="1:22" x14ac:dyDescent="0.25">
      <c r="A560" t="s">
        <v>1492</v>
      </c>
      <c r="B560" t="s">
        <v>1442</v>
      </c>
      <c r="C560">
        <v>720000</v>
      </c>
      <c r="D560">
        <v>754636.32</v>
      </c>
      <c r="E560">
        <v>698400</v>
      </c>
      <c r="F560" t="s">
        <v>1215</v>
      </c>
      <c r="G560">
        <v>12.215490000000001</v>
      </c>
      <c r="H560" t="s">
        <v>1443</v>
      </c>
      <c r="I560" s="26">
        <v>50515</v>
      </c>
      <c r="J560">
        <v>789</v>
      </c>
      <c r="K560">
        <v>1</v>
      </c>
      <c r="L560">
        <v>12.839351000000001</v>
      </c>
      <c r="M560" t="s">
        <v>1493</v>
      </c>
      <c r="N560" t="s">
        <v>1442</v>
      </c>
      <c r="O560" t="s">
        <v>130</v>
      </c>
      <c r="P560">
        <v>10.012150377999999</v>
      </c>
      <c r="Q560">
        <v>710.59567516100003</v>
      </c>
      <c r="R560">
        <v>2025</v>
      </c>
      <c r="S560"/>
      <c r="T560" t="s">
        <v>31</v>
      </c>
      <c r="U560" t="s">
        <v>36</v>
      </c>
      <c r="V560" t="s">
        <v>37</v>
      </c>
    </row>
    <row r="561" spans="1:22" x14ac:dyDescent="0.25">
      <c r="A561" t="s">
        <v>1492</v>
      </c>
      <c r="B561" t="s">
        <v>1444</v>
      </c>
      <c r="C561">
        <v>500000</v>
      </c>
      <c r="D561">
        <v>505970</v>
      </c>
      <c r="E561">
        <v>516292</v>
      </c>
      <c r="F561" t="s">
        <v>1232</v>
      </c>
      <c r="G561">
        <v>11.56549</v>
      </c>
      <c r="H561" t="s">
        <v>1445</v>
      </c>
      <c r="I561" s="26">
        <v>49968</v>
      </c>
      <c r="J561">
        <v>724</v>
      </c>
      <c r="K561">
        <v>1</v>
      </c>
      <c r="L561">
        <v>10.888456</v>
      </c>
      <c r="M561" t="s">
        <v>1493</v>
      </c>
      <c r="N561" t="s">
        <v>1444</v>
      </c>
      <c r="O561" t="s">
        <v>130</v>
      </c>
      <c r="P561">
        <v>8.5149907979999995</v>
      </c>
      <c r="Q561">
        <v>702.34774762899997</v>
      </c>
      <c r="R561">
        <v>2023</v>
      </c>
      <c r="S561"/>
      <c r="T561" t="s">
        <v>31</v>
      </c>
      <c r="U561" t="s">
        <v>32</v>
      </c>
      <c r="V561" t="s">
        <v>37</v>
      </c>
    </row>
    <row r="562" spans="1:22" x14ac:dyDescent="0.25">
      <c r="A562" t="s">
        <v>1492</v>
      </c>
      <c r="B562" t="s">
        <v>1368</v>
      </c>
      <c r="C562">
        <v>600000</v>
      </c>
      <c r="D562">
        <v>605295</v>
      </c>
      <c r="E562">
        <v>602613.6</v>
      </c>
      <c r="F562" t="s">
        <v>765</v>
      </c>
      <c r="G562">
        <v>10.618460000000001</v>
      </c>
      <c r="H562" t="s">
        <v>1369</v>
      </c>
      <c r="I562" s="26">
        <v>50246</v>
      </c>
      <c r="J562">
        <v>630</v>
      </c>
      <c r="K562">
        <v>1</v>
      </c>
      <c r="L562">
        <v>10.528382000000001</v>
      </c>
      <c r="M562" t="s">
        <v>1493</v>
      </c>
      <c r="N562" t="s">
        <v>1368</v>
      </c>
      <c r="O562" t="s">
        <v>222</v>
      </c>
      <c r="P562">
        <v>9.3036256569999995</v>
      </c>
      <c r="Q562">
        <v>615.33179301400003</v>
      </c>
      <c r="R562">
        <v>2024</v>
      </c>
      <c r="S562"/>
      <c r="T562" t="s">
        <v>31</v>
      </c>
      <c r="U562" t="s">
        <v>32</v>
      </c>
      <c r="V562" t="s">
        <v>37</v>
      </c>
    </row>
    <row r="563" spans="1:22" x14ac:dyDescent="0.25">
      <c r="A563" t="s">
        <v>1492</v>
      </c>
      <c r="B563" t="s">
        <v>1446</v>
      </c>
      <c r="C563">
        <v>259000</v>
      </c>
      <c r="D563">
        <v>261696.19</v>
      </c>
      <c r="E563">
        <v>266770</v>
      </c>
      <c r="F563" t="s">
        <v>374</v>
      </c>
      <c r="G563">
        <v>11.57633</v>
      </c>
      <c r="H563" t="s">
        <v>1447</v>
      </c>
      <c r="I563" s="26">
        <v>49994</v>
      </c>
      <c r="J563">
        <v>725</v>
      </c>
      <c r="K563">
        <v>1</v>
      </c>
      <c r="L563">
        <v>10.946936000000001</v>
      </c>
      <c r="M563" t="s">
        <v>1493</v>
      </c>
      <c r="N563" t="s">
        <v>1446</v>
      </c>
      <c r="O563" t="s">
        <v>235</v>
      </c>
      <c r="P563">
        <v>8.7018886179999999</v>
      </c>
      <c r="Q563">
        <v>706.51012463999996</v>
      </c>
      <c r="R563">
        <v>2023</v>
      </c>
      <c r="S563"/>
      <c r="T563" t="s">
        <v>31</v>
      </c>
      <c r="U563" t="s">
        <v>32</v>
      </c>
      <c r="V563" t="s">
        <v>37</v>
      </c>
    </row>
    <row r="564" spans="1:22" x14ac:dyDescent="0.25">
      <c r="A564" t="s">
        <v>1492</v>
      </c>
      <c r="B564" t="s">
        <v>1454</v>
      </c>
      <c r="C564">
        <v>250000</v>
      </c>
      <c r="D564">
        <v>249605</v>
      </c>
      <c r="E564">
        <v>250000</v>
      </c>
      <c r="F564" t="s">
        <v>1455</v>
      </c>
      <c r="G564">
        <v>10.779159999999999</v>
      </c>
      <c r="H564" t="s">
        <v>1456</v>
      </c>
      <c r="I564" s="26">
        <v>49780</v>
      </c>
      <c r="J564">
        <v>646.16099999999994</v>
      </c>
      <c r="K564">
        <v>1</v>
      </c>
      <c r="L564">
        <v>10.940053000000001</v>
      </c>
      <c r="M564" t="s">
        <v>1493</v>
      </c>
      <c r="N564" t="s">
        <v>1454</v>
      </c>
      <c r="O564" t="s">
        <v>140</v>
      </c>
      <c r="P564">
        <v>6.2760731610000002</v>
      </c>
      <c r="Q564">
        <v>649.14171620499997</v>
      </c>
      <c r="R564">
        <v>2021</v>
      </c>
      <c r="S564"/>
      <c r="T564" t="s">
        <v>31</v>
      </c>
      <c r="U564" t="s">
        <v>28</v>
      </c>
      <c r="V564" t="s">
        <v>37</v>
      </c>
    </row>
    <row r="565" spans="1:22" x14ac:dyDescent="0.25">
      <c r="A565" t="s">
        <v>1492</v>
      </c>
      <c r="B565" t="s">
        <v>518</v>
      </c>
      <c r="C565">
        <v>675000</v>
      </c>
      <c r="D565">
        <v>678177.23</v>
      </c>
      <c r="E565">
        <v>675000</v>
      </c>
      <c r="F565" t="s">
        <v>707</v>
      </c>
      <c r="G565">
        <v>10.037660000000001</v>
      </c>
      <c r="H565" t="s">
        <v>517</v>
      </c>
      <c r="I565" s="26">
        <v>50611</v>
      </c>
      <c r="J565">
        <v>575</v>
      </c>
      <c r="K565">
        <v>1</v>
      </c>
      <c r="L565">
        <v>10.017232</v>
      </c>
      <c r="M565" t="s">
        <v>1493</v>
      </c>
      <c r="N565" t="s">
        <v>518</v>
      </c>
      <c r="O565" t="s">
        <v>146</v>
      </c>
      <c r="P565">
        <v>10.356529603</v>
      </c>
      <c r="Q565">
        <v>566.91232575200002</v>
      </c>
      <c r="R565">
        <v>2025</v>
      </c>
      <c r="S565"/>
      <c r="T565" t="s">
        <v>31</v>
      </c>
      <c r="U565" t="s">
        <v>36</v>
      </c>
      <c r="V565" t="s">
        <v>37</v>
      </c>
    </row>
    <row r="566" spans="1:22" x14ac:dyDescent="0.25">
      <c r="A566" t="s">
        <v>1492</v>
      </c>
      <c r="B566" t="s">
        <v>1450</v>
      </c>
      <c r="C566">
        <v>1000000</v>
      </c>
      <c r="D566">
        <v>1003216</v>
      </c>
      <c r="E566">
        <v>1000000</v>
      </c>
      <c r="F566" t="s">
        <v>707</v>
      </c>
      <c r="G566">
        <v>11.3371</v>
      </c>
      <c r="H566" t="s">
        <v>1451</v>
      </c>
      <c r="I566" s="26">
        <v>49054</v>
      </c>
      <c r="J566">
        <v>701.16099999999994</v>
      </c>
      <c r="K566">
        <v>1</v>
      </c>
      <c r="L566">
        <v>11.494038</v>
      </c>
      <c r="M566" t="s">
        <v>1493</v>
      </c>
      <c r="N566" t="s">
        <v>1450</v>
      </c>
      <c r="O566" t="s">
        <v>226</v>
      </c>
      <c r="P566">
        <v>6.127331216</v>
      </c>
      <c r="Q566">
        <v>693.59441216899995</v>
      </c>
      <c r="R566">
        <v>2021</v>
      </c>
      <c r="S566"/>
      <c r="T566" t="s">
        <v>31</v>
      </c>
      <c r="U566" t="s">
        <v>28</v>
      </c>
      <c r="V566" t="s">
        <v>37</v>
      </c>
    </row>
    <row r="567" spans="1:22" x14ac:dyDescent="0.25">
      <c r="A567" t="s">
        <v>1492</v>
      </c>
      <c r="B567" t="s">
        <v>1448</v>
      </c>
      <c r="C567">
        <v>500000</v>
      </c>
      <c r="D567">
        <v>505073.5</v>
      </c>
      <c r="E567">
        <v>506043.5</v>
      </c>
      <c r="F567" t="s">
        <v>707</v>
      </c>
      <c r="G567">
        <v>11.205489999999999</v>
      </c>
      <c r="H567" t="s">
        <v>1449</v>
      </c>
      <c r="I567" s="26">
        <v>49419</v>
      </c>
      <c r="J567">
        <v>688</v>
      </c>
      <c r="K567">
        <v>1</v>
      </c>
      <c r="L567">
        <v>10.923662999999999</v>
      </c>
      <c r="M567" t="s">
        <v>1493</v>
      </c>
      <c r="N567" t="s">
        <v>1448</v>
      </c>
      <c r="O567" t="s">
        <v>225</v>
      </c>
      <c r="P567">
        <v>6.8997015230000001</v>
      </c>
      <c r="Q567">
        <v>667.11196739599995</v>
      </c>
      <c r="R567">
        <v>2022</v>
      </c>
      <c r="S567"/>
      <c r="T567" t="s">
        <v>31</v>
      </c>
      <c r="U567" t="s">
        <v>28</v>
      </c>
      <c r="V567" t="s">
        <v>37</v>
      </c>
    </row>
    <row r="568" spans="1:22" x14ac:dyDescent="0.25">
      <c r="A568" t="s">
        <v>1492</v>
      </c>
      <c r="B568" t="s">
        <v>1452</v>
      </c>
      <c r="C568">
        <v>252000</v>
      </c>
      <c r="D568">
        <v>247018.46</v>
      </c>
      <c r="E568">
        <v>249177.60000000001</v>
      </c>
      <c r="F568" t="s">
        <v>1283</v>
      </c>
      <c r="G568">
        <v>10.947100000000001</v>
      </c>
      <c r="H568" t="s">
        <v>1453</v>
      </c>
      <c r="I568" s="26">
        <v>49145</v>
      </c>
      <c r="J568">
        <v>662.16099999999994</v>
      </c>
      <c r="K568">
        <v>1</v>
      </c>
      <c r="L568">
        <v>11.098210999999999</v>
      </c>
      <c r="M568" t="s">
        <v>1493</v>
      </c>
      <c r="N568" t="s">
        <v>1452</v>
      </c>
      <c r="O568" t="s">
        <v>227</v>
      </c>
      <c r="P568">
        <v>6.390432916</v>
      </c>
      <c r="Q568">
        <v>704.16926622699998</v>
      </c>
      <c r="R568">
        <v>2021</v>
      </c>
      <c r="S568"/>
      <c r="T568" t="s">
        <v>31</v>
      </c>
      <c r="U568" t="s">
        <v>28</v>
      </c>
      <c r="V568" t="s">
        <v>37</v>
      </c>
    </row>
    <row r="569" spans="1:22" x14ac:dyDescent="0.25">
      <c r="A569" t="s">
        <v>1492</v>
      </c>
      <c r="B569" t="s">
        <v>1457</v>
      </c>
      <c r="C569">
        <v>600000</v>
      </c>
      <c r="D569">
        <v>555750</v>
      </c>
      <c r="E569">
        <v>594000</v>
      </c>
      <c r="F569" t="s">
        <v>1299</v>
      </c>
      <c r="G569">
        <v>11.018459999999999</v>
      </c>
      <c r="H569" t="s">
        <v>1458</v>
      </c>
      <c r="I569" s="26">
        <v>49424</v>
      </c>
      <c r="J569">
        <v>670</v>
      </c>
      <c r="K569">
        <v>1</v>
      </c>
      <c r="L569">
        <v>11.016204999999999</v>
      </c>
      <c r="M569" t="s">
        <v>1493</v>
      </c>
      <c r="N569" t="s">
        <v>1457</v>
      </c>
      <c r="O569" t="s">
        <v>177</v>
      </c>
      <c r="P569">
        <v>6.8167817929999996</v>
      </c>
      <c r="Q569">
        <v>826.48721801600004</v>
      </c>
      <c r="R569">
        <v>2022</v>
      </c>
      <c r="S569"/>
      <c r="T569" t="s">
        <v>31</v>
      </c>
      <c r="U569" t="s">
        <v>28</v>
      </c>
      <c r="V569" t="s">
        <v>37</v>
      </c>
    </row>
    <row r="570" spans="1:22" x14ac:dyDescent="0.25">
      <c r="A570" t="s">
        <v>1492</v>
      </c>
      <c r="B570" t="s">
        <v>1459</v>
      </c>
      <c r="C570">
        <v>325000</v>
      </c>
      <c r="D570">
        <v>317183.43</v>
      </c>
      <c r="E570">
        <v>324410.78000000003</v>
      </c>
      <c r="F570" t="s">
        <v>404</v>
      </c>
      <c r="G570">
        <v>11.0871</v>
      </c>
      <c r="H570" t="s">
        <v>1460</v>
      </c>
      <c r="I570" s="26">
        <v>49053</v>
      </c>
      <c r="J570">
        <v>676.16099999999994</v>
      </c>
      <c r="K570">
        <v>1</v>
      </c>
      <c r="L570">
        <v>11.11525</v>
      </c>
      <c r="M570" t="s">
        <v>1493</v>
      </c>
      <c r="N570" t="s">
        <v>1459</v>
      </c>
      <c r="O570" t="s">
        <v>231</v>
      </c>
      <c r="P570">
        <v>6.3561493750000002</v>
      </c>
      <c r="Q570">
        <v>727.81257737500005</v>
      </c>
      <c r="R570">
        <v>2021</v>
      </c>
      <c r="S570"/>
      <c r="T570" t="s">
        <v>31</v>
      </c>
      <c r="U570" t="s">
        <v>28</v>
      </c>
      <c r="V570" t="s">
        <v>37</v>
      </c>
    </row>
    <row r="571" spans="1:22" x14ac:dyDescent="0.25">
      <c r="A571" t="s">
        <v>1492</v>
      </c>
      <c r="B571" t="s">
        <v>1461</v>
      </c>
      <c r="C571">
        <v>150000</v>
      </c>
      <c r="D571">
        <v>148204.20000000001</v>
      </c>
      <c r="E571">
        <v>150454.35</v>
      </c>
      <c r="F571" t="s">
        <v>1462</v>
      </c>
      <c r="G571">
        <v>12.743600000000001</v>
      </c>
      <c r="H571" t="s">
        <v>1463</v>
      </c>
      <c r="I571" s="26">
        <v>48811</v>
      </c>
      <c r="J571">
        <v>842.16099999999994</v>
      </c>
      <c r="K571">
        <v>1</v>
      </c>
      <c r="L571">
        <v>12.868460000000001</v>
      </c>
      <c r="M571" t="s">
        <v>1493</v>
      </c>
      <c r="N571" t="s">
        <v>1461</v>
      </c>
      <c r="O571" t="s">
        <v>160</v>
      </c>
      <c r="P571">
        <v>4.9032831850000003</v>
      </c>
      <c r="Q571">
        <v>875.33804093599997</v>
      </c>
      <c r="R571">
        <v>2021</v>
      </c>
      <c r="S571"/>
      <c r="T571" t="s">
        <v>31</v>
      </c>
      <c r="U571" t="s">
        <v>24</v>
      </c>
      <c r="V571" t="s">
        <v>37</v>
      </c>
    </row>
    <row r="572" spans="1:22" x14ac:dyDescent="0.25">
      <c r="A572" t="s">
        <v>1488</v>
      </c>
      <c r="B572" t="s">
        <v>1333</v>
      </c>
      <c r="C572">
        <v>5750000</v>
      </c>
      <c r="D572">
        <v>5764472.75</v>
      </c>
      <c r="E572">
        <v>5750000</v>
      </c>
      <c r="F572" t="s">
        <v>724</v>
      </c>
      <c r="G572">
        <v>7.4754899999999997</v>
      </c>
      <c r="H572" t="s">
        <v>1334</v>
      </c>
      <c r="I572" s="26">
        <v>50333</v>
      </c>
      <c r="J572">
        <v>315</v>
      </c>
      <c r="K572">
        <v>1</v>
      </c>
      <c r="L572">
        <v>7.4744700000000002</v>
      </c>
      <c r="M572" t="s">
        <v>1489</v>
      </c>
      <c r="N572" t="s">
        <v>1333</v>
      </c>
      <c r="O572" t="s">
        <v>233</v>
      </c>
      <c r="P572">
        <v>9.1002632279999993</v>
      </c>
      <c r="Q572">
        <v>311.192783271</v>
      </c>
      <c r="R572">
        <v>2024</v>
      </c>
      <c r="S572"/>
      <c r="T572" t="s">
        <v>27</v>
      </c>
      <c r="U572" t="s">
        <v>32</v>
      </c>
      <c r="V572" t="s">
        <v>37</v>
      </c>
    </row>
    <row r="573" spans="1:22" x14ac:dyDescent="0.25">
      <c r="A573" t="s">
        <v>1497</v>
      </c>
      <c r="B573" t="s">
        <v>1337</v>
      </c>
      <c r="C573">
        <v>5675000</v>
      </c>
      <c r="D573">
        <v>5685896</v>
      </c>
      <c r="E573">
        <v>5675000</v>
      </c>
      <c r="F573" t="s">
        <v>724</v>
      </c>
      <c r="G573">
        <v>7.6871</v>
      </c>
      <c r="H573" t="s">
        <v>1338</v>
      </c>
      <c r="I573" s="26">
        <v>49237</v>
      </c>
      <c r="J573">
        <v>336.161</v>
      </c>
      <c r="K573">
        <v>1</v>
      </c>
      <c r="L573">
        <v>7.7922370000000001</v>
      </c>
      <c r="M573" t="s">
        <v>1489</v>
      </c>
      <c r="N573" t="s">
        <v>1337</v>
      </c>
      <c r="O573" t="s">
        <v>232</v>
      </c>
      <c r="P573">
        <v>6.3238329870000003</v>
      </c>
      <c r="Q573">
        <v>332.25653014900001</v>
      </c>
      <c r="R573">
        <v>2021</v>
      </c>
      <c r="S573"/>
      <c r="T573" t="s">
        <v>27</v>
      </c>
      <c r="U573" t="s">
        <v>28</v>
      </c>
      <c r="V573" t="s">
        <v>37</v>
      </c>
    </row>
    <row r="574" spans="1:22" x14ac:dyDescent="0.25">
      <c r="A574" t="s">
        <v>1488</v>
      </c>
      <c r="B574" t="s">
        <v>1337</v>
      </c>
      <c r="C574">
        <v>420000</v>
      </c>
      <c r="D574">
        <v>420806.40000000002</v>
      </c>
      <c r="E574">
        <v>419352.36</v>
      </c>
      <c r="F574" t="s">
        <v>724</v>
      </c>
      <c r="G574">
        <v>7.6871</v>
      </c>
      <c r="H574" t="s">
        <v>1338</v>
      </c>
      <c r="I574" s="26">
        <v>49237</v>
      </c>
      <c r="J574">
        <v>336.161</v>
      </c>
      <c r="K574">
        <v>1</v>
      </c>
      <c r="L574">
        <v>7.7922370000000001</v>
      </c>
      <c r="M574" t="s">
        <v>1489</v>
      </c>
      <c r="N574" t="s">
        <v>1337</v>
      </c>
      <c r="O574" t="s">
        <v>232</v>
      </c>
      <c r="P574">
        <v>6.3238329870000003</v>
      </c>
      <c r="Q574">
        <v>332.25653014900001</v>
      </c>
      <c r="R574">
        <v>2021</v>
      </c>
      <c r="S574"/>
      <c r="T574" t="s">
        <v>27</v>
      </c>
      <c r="U574" t="s">
        <v>28</v>
      </c>
      <c r="V574" t="s">
        <v>37</v>
      </c>
    </row>
    <row r="575" spans="1:22" x14ac:dyDescent="0.25">
      <c r="A575" t="s">
        <v>1488</v>
      </c>
      <c r="B575" t="s">
        <v>1337</v>
      </c>
      <c r="C575">
        <v>950000</v>
      </c>
      <c r="D575">
        <v>951824</v>
      </c>
      <c r="E575">
        <v>952208.67</v>
      </c>
      <c r="F575" t="s">
        <v>724</v>
      </c>
      <c r="G575">
        <v>7.6871</v>
      </c>
      <c r="H575" t="s">
        <v>1338</v>
      </c>
      <c r="I575" s="26">
        <v>49237</v>
      </c>
      <c r="J575">
        <v>336.161</v>
      </c>
      <c r="K575">
        <v>1</v>
      </c>
      <c r="L575">
        <v>7.7922370000000001</v>
      </c>
      <c r="M575" t="s">
        <v>1489</v>
      </c>
      <c r="N575" t="s">
        <v>1337</v>
      </c>
      <c r="O575" t="s">
        <v>232</v>
      </c>
      <c r="P575">
        <v>6.3238329870000003</v>
      </c>
      <c r="Q575">
        <v>332.25653014900001</v>
      </c>
      <c r="R575">
        <v>2021</v>
      </c>
      <c r="S575"/>
      <c r="T575" t="s">
        <v>27</v>
      </c>
      <c r="U575" t="s">
        <v>28</v>
      </c>
      <c r="V575" t="s">
        <v>37</v>
      </c>
    </row>
    <row r="576" spans="1:22" x14ac:dyDescent="0.25">
      <c r="A576" t="s">
        <v>1488</v>
      </c>
      <c r="B576" t="s">
        <v>1337</v>
      </c>
      <c r="C576">
        <v>1410000</v>
      </c>
      <c r="D576">
        <v>1412707.2</v>
      </c>
      <c r="E576">
        <v>1409581.92</v>
      </c>
      <c r="F576" t="s">
        <v>724</v>
      </c>
      <c r="G576">
        <v>7.6871</v>
      </c>
      <c r="H576" t="s">
        <v>1338</v>
      </c>
      <c r="I576" s="26">
        <v>49237</v>
      </c>
      <c r="J576">
        <v>336.161</v>
      </c>
      <c r="K576">
        <v>1</v>
      </c>
      <c r="L576">
        <v>7.7922370000000001</v>
      </c>
      <c r="M576" t="s">
        <v>1489</v>
      </c>
      <c r="N576" t="s">
        <v>1337</v>
      </c>
      <c r="O576" t="s">
        <v>232</v>
      </c>
      <c r="P576">
        <v>6.3238329870000003</v>
      </c>
      <c r="Q576">
        <v>332.25653014900001</v>
      </c>
      <c r="R576">
        <v>2021</v>
      </c>
      <c r="S576"/>
      <c r="T576" t="s">
        <v>27</v>
      </c>
      <c r="U576" t="s">
        <v>28</v>
      </c>
      <c r="V576" t="s">
        <v>37</v>
      </c>
    </row>
    <row r="577" spans="1:22" x14ac:dyDescent="0.25">
      <c r="A577" t="s">
        <v>1488</v>
      </c>
      <c r="B577" t="s">
        <v>1335</v>
      </c>
      <c r="C577">
        <v>5750000</v>
      </c>
      <c r="D577">
        <v>5767503</v>
      </c>
      <c r="E577">
        <v>5750000</v>
      </c>
      <c r="F577" t="s">
        <v>724</v>
      </c>
      <c r="G577">
        <v>7.7870999999999997</v>
      </c>
      <c r="H577" t="s">
        <v>1336</v>
      </c>
      <c r="I577" s="26">
        <v>49146</v>
      </c>
      <c r="J577">
        <v>346.161</v>
      </c>
      <c r="K577">
        <v>1</v>
      </c>
      <c r="L577">
        <v>7.8972689999999997</v>
      </c>
      <c r="M577" t="s">
        <v>1489</v>
      </c>
      <c r="N577" t="s">
        <v>1335</v>
      </c>
      <c r="O577" t="s">
        <v>233</v>
      </c>
      <c r="P577">
        <v>6.1146404959999998</v>
      </c>
      <c r="Q577">
        <v>339.89787684999999</v>
      </c>
      <c r="R577">
        <v>2021</v>
      </c>
      <c r="S577"/>
      <c r="T577" t="s">
        <v>27</v>
      </c>
      <c r="U577" t="s">
        <v>28</v>
      </c>
      <c r="V577" t="s">
        <v>37</v>
      </c>
    </row>
    <row r="578" spans="1:22" x14ac:dyDescent="0.25">
      <c r="A578" t="s">
        <v>1488</v>
      </c>
      <c r="B578" t="s">
        <v>1335</v>
      </c>
      <c r="C578">
        <v>1150000</v>
      </c>
      <c r="D578">
        <v>1153500.6000000001</v>
      </c>
      <c r="E578">
        <v>1150195.5</v>
      </c>
      <c r="F578" t="s">
        <v>724</v>
      </c>
      <c r="G578">
        <v>7.7870999999999997</v>
      </c>
      <c r="H578" t="s">
        <v>1336</v>
      </c>
      <c r="I578" s="26">
        <v>49146</v>
      </c>
      <c r="J578">
        <v>346.161</v>
      </c>
      <c r="K578">
        <v>1</v>
      </c>
      <c r="L578">
        <v>7.8972689999999997</v>
      </c>
      <c r="M578" t="s">
        <v>1489</v>
      </c>
      <c r="N578" t="s">
        <v>1335</v>
      </c>
      <c r="O578" t="s">
        <v>233</v>
      </c>
      <c r="P578">
        <v>6.1146404959999998</v>
      </c>
      <c r="Q578">
        <v>339.89787684999999</v>
      </c>
      <c r="R578">
        <v>2021</v>
      </c>
      <c r="S578"/>
      <c r="T578" t="s">
        <v>27</v>
      </c>
      <c r="U578" t="s">
        <v>28</v>
      </c>
      <c r="V578" t="s">
        <v>37</v>
      </c>
    </row>
    <row r="579" spans="1:22" x14ac:dyDescent="0.25">
      <c r="A579" t="s">
        <v>1488</v>
      </c>
      <c r="B579" t="s">
        <v>1335</v>
      </c>
      <c r="C579">
        <v>2280000</v>
      </c>
      <c r="D579">
        <v>2286940.3199999998</v>
      </c>
      <c r="E579">
        <v>2282380.3199999998</v>
      </c>
      <c r="F579" t="s">
        <v>724</v>
      </c>
      <c r="G579">
        <v>7.7870999999999997</v>
      </c>
      <c r="H579" t="s">
        <v>1336</v>
      </c>
      <c r="I579" s="26">
        <v>49146</v>
      </c>
      <c r="J579">
        <v>346.161</v>
      </c>
      <c r="K579">
        <v>1</v>
      </c>
      <c r="L579">
        <v>7.8972689999999997</v>
      </c>
      <c r="M579" t="s">
        <v>1489</v>
      </c>
      <c r="N579" t="s">
        <v>1335</v>
      </c>
      <c r="O579" t="s">
        <v>233</v>
      </c>
      <c r="P579">
        <v>6.1146404959999998</v>
      </c>
      <c r="Q579">
        <v>339.89787684999999</v>
      </c>
      <c r="R579">
        <v>2021</v>
      </c>
      <c r="S579"/>
      <c r="T579" t="s">
        <v>27</v>
      </c>
      <c r="U579" t="s">
        <v>28</v>
      </c>
      <c r="V579" t="s">
        <v>37</v>
      </c>
    </row>
    <row r="580" spans="1:22" x14ac:dyDescent="0.25">
      <c r="A580" t="s">
        <v>1488</v>
      </c>
      <c r="B580" t="s">
        <v>1341</v>
      </c>
      <c r="C580">
        <v>4300000</v>
      </c>
      <c r="D580">
        <v>4314220.0999999996</v>
      </c>
      <c r="E580">
        <v>4300000</v>
      </c>
      <c r="F580" t="s">
        <v>724</v>
      </c>
      <c r="G580">
        <v>7.4184599999999996</v>
      </c>
      <c r="H580" t="s">
        <v>1342</v>
      </c>
      <c r="I580" s="26">
        <v>50338</v>
      </c>
      <c r="J580">
        <v>310</v>
      </c>
      <c r="K580">
        <v>1</v>
      </c>
      <c r="L580">
        <v>7.4174179999999996</v>
      </c>
      <c r="M580" t="s">
        <v>1489</v>
      </c>
      <c r="N580" t="s">
        <v>1341</v>
      </c>
      <c r="O580" t="s">
        <v>153</v>
      </c>
      <c r="P580">
        <v>9.0454779930000004</v>
      </c>
      <c r="Q580">
        <v>305.03926431500003</v>
      </c>
      <c r="R580">
        <v>2024</v>
      </c>
      <c r="S580"/>
      <c r="T580" t="s">
        <v>27</v>
      </c>
      <c r="U580" t="s">
        <v>32</v>
      </c>
      <c r="V580" t="s">
        <v>37</v>
      </c>
    </row>
    <row r="581" spans="1:22" x14ac:dyDescent="0.25">
      <c r="A581" t="s">
        <v>1488</v>
      </c>
      <c r="B581" t="s">
        <v>539</v>
      </c>
      <c r="C581">
        <v>2750000</v>
      </c>
      <c r="D581">
        <v>2755871.25</v>
      </c>
      <c r="E581">
        <v>2750000</v>
      </c>
      <c r="F581" t="s">
        <v>724</v>
      </c>
      <c r="G581">
        <v>7.2966699999999998</v>
      </c>
      <c r="H581" t="s">
        <v>538</v>
      </c>
      <c r="I581" s="26">
        <v>49471</v>
      </c>
      <c r="J581">
        <v>300</v>
      </c>
      <c r="K581">
        <v>1</v>
      </c>
      <c r="L581">
        <v>7.2826440000000003</v>
      </c>
      <c r="M581" t="s">
        <v>1489</v>
      </c>
      <c r="N581" t="s">
        <v>539</v>
      </c>
      <c r="O581" t="s">
        <v>153</v>
      </c>
      <c r="P581">
        <v>6.6238496140000001</v>
      </c>
      <c r="Q581">
        <v>293.61929138300002</v>
      </c>
      <c r="R581">
        <v>2025</v>
      </c>
      <c r="S581"/>
      <c r="T581" t="s">
        <v>27</v>
      </c>
      <c r="U581" t="s">
        <v>28</v>
      </c>
      <c r="V581" t="s">
        <v>37</v>
      </c>
    </row>
    <row r="582" spans="1:22" x14ac:dyDescent="0.25">
      <c r="A582" t="s">
        <v>1488</v>
      </c>
      <c r="B582" t="s">
        <v>1348</v>
      </c>
      <c r="C582">
        <v>8125000</v>
      </c>
      <c r="D582">
        <v>8147904.3799999999</v>
      </c>
      <c r="E582">
        <v>8084375</v>
      </c>
      <c r="F582" t="s">
        <v>1349</v>
      </c>
      <c r="G582">
        <v>7.9140100000000002</v>
      </c>
      <c r="H582" t="s">
        <v>1350</v>
      </c>
      <c r="I582" s="26">
        <v>47590</v>
      </c>
      <c r="J582">
        <v>359.161</v>
      </c>
      <c r="K582">
        <v>1</v>
      </c>
      <c r="L582">
        <v>8.0315069999999995</v>
      </c>
      <c r="M582" t="s">
        <v>1489</v>
      </c>
      <c r="N582" t="s">
        <v>1348</v>
      </c>
      <c r="O582" t="s">
        <v>236</v>
      </c>
      <c r="P582">
        <v>3.0082976860000001</v>
      </c>
      <c r="Q582">
        <v>348.209925564</v>
      </c>
      <c r="R582">
        <v>2017</v>
      </c>
      <c r="S582"/>
      <c r="T582" t="s">
        <v>27</v>
      </c>
      <c r="U582" t="s">
        <v>20</v>
      </c>
      <c r="V582" t="s">
        <v>37</v>
      </c>
    </row>
    <row r="583" spans="1:22" x14ac:dyDescent="0.25">
      <c r="A583" t="s">
        <v>1488</v>
      </c>
      <c r="B583" t="s">
        <v>1351</v>
      </c>
      <c r="C583">
        <v>3875000</v>
      </c>
      <c r="D583">
        <v>3881897.5</v>
      </c>
      <c r="E583">
        <v>3875000</v>
      </c>
      <c r="F583" t="s">
        <v>1349</v>
      </c>
      <c r="G583">
        <v>7.6793800000000001</v>
      </c>
      <c r="H583" t="s">
        <v>1352</v>
      </c>
      <c r="I583" s="26">
        <v>49141</v>
      </c>
      <c r="J583">
        <v>336.161</v>
      </c>
      <c r="K583">
        <v>1</v>
      </c>
      <c r="L583">
        <v>7.7940709999999997</v>
      </c>
      <c r="M583" t="s">
        <v>1489</v>
      </c>
      <c r="N583" t="s">
        <v>1351</v>
      </c>
      <c r="O583" t="s">
        <v>236</v>
      </c>
      <c r="P583">
        <v>6.143793413</v>
      </c>
      <c r="Q583">
        <v>332.422419483</v>
      </c>
      <c r="R583">
        <v>2021</v>
      </c>
      <c r="S583"/>
      <c r="T583" t="s">
        <v>27</v>
      </c>
      <c r="U583" t="s">
        <v>28</v>
      </c>
      <c r="V583" t="s">
        <v>37</v>
      </c>
    </row>
    <row r="584" spans="1:22" x14ac:dyDescent="0.25">
      <c r="A584" t="s">
        <v>1488</v>
      </c>
      <c r="B584" t="s">
        <v>542</v>
      </c>
      <c r="C584">
        <v>1300000</v>
      </c>
      <c r="D584">
        <v>1301840.8</v>
      </c>
      <c r="E584">
        <v>1300000</v>
      </c>
      <c r="F584" t="s">
        <v>540</v>
      </c>
      <c r="G584">
        <v>7.32456</v>
      </c>
      <c r="H584" t="s">
        <v>541</v>
      </c>
      <c r="I584" s="26">
        <v>50606</v>
      </c>
      <c r="J584">
        <v>305</v>
      </c>
      <c r="K584">
        <v>1</v>
      </c>
      <c r="L584">
        <v>7.3151760000000001</v>
      </c>
      <c r="M584" t="s">
        <v>1489</v>
      </c>
      <c r="N584" t="s">
        <v>542</v>
      </c>
      <c r="O584" t="s">
        <v>161</v>
      </c>
      <c r="P584">
        <v>9.6650668999999994</v>
      </c>
      <c r="Q584">
        <v>301.35143908100002</v>
      </c>
      <c r="R584">
        <v>2025</v>
      </c>
      <c r="S584"/>
      <c r="T584" t="s">
        <v>27</v>
      </c>
      <c r="U584" t="s">
        <v>32</v>
      </c>
      <c r="V584" t="s">
        <v>37</v>
      </c>
    </row>
    <row r="585" spans="1:22" x14ac:dyDescent="0.25">
      <c r="A585" t="s">
        <v>1488</v>
      </c>
      <c r="B585" t="s">
        <v>1353</v>
      </c>
      <c r="C585">
        <v>7590000</v>
      </c>
      <c r="D585">
        <v>7599016.9199999999</v>
      </c>
      <c r="E585">
        <v>7559025.21</v>
      </c>
      <c r="F585" t="s">
        <v>392</v>
      </c>
      <c r="G585">
        <v>8.2791599999999992</v>
      </c>
      <c r="H585" t="s">
        <v>1354</v>
      </c>
      <c r="I585" s="26">
        <v>48684</v>
      </c>
      <c r="J585">
        <v>396.161</v>
      </c>
      <c r="K585">
        <v>1</v>
      </c>
      <c r="L585">
        <v>8.4666029999999992</v>
      </c>
      <c r="M585" t="s">
        <v>1489</v>
      </c>
      <c r="N585" t="s">
        <v>1353</v>
      </c>
      <c r="O585" t="s">
        <v>162</v>
      </c>
      <c r="P585">
        <v>4.7464309619999998</v>
      </c>
      <c r="Q585">
        <v>392.895899364</v>
      </c>
      <c r="R585">
        <v>2020</v>
      </c>
      <c r="S585"/>
      <c r="T585" t="s">
        <v>27</v>
      </c>
      <c r="U585" t="s">
        <v>24</v>
      </c>
      <c r="V585" t="s">
        <v>37</v>
      </c>
    </row>
    <row r="586" spans="1:22" x14ac:dyDescent="0.25">
      <c r="A586" t="s">
        <v>1497</v>
      </c>
      <c r="B586" t="s">
        <v>1355</v>
      </c>
      <c r="C586">
        <v>5450000</v>
      </c>
      <c r="D586">
        <v>5416231.7999999998</v>
      </c>
      <c r="E586">
        <v>4602988.25</v>
      </c>
      <c r="F586" t="s">
        <v>392</v>
      </c>
      <c r="G586">
        <v>8.0870999999999995</v>
      </c>
      <c r="H586" t="s">
        <v>1356</v>
      </c>
      <c r="I586" s="26">
        <v>49054</v>
      </c>
      <c r="J586">
        <v>376.161</v>
      </c>
      <c r="K586">
        <v>1</v>
      </c>
      <c r="L586">
        <v>9.4192459999999993</v>
      </c>
      <c r="M586" t="s">
        <v>1489</v>
      </c>
      <c r="N586" t="s">
        <v>1355</v>
      </c>
      <c r="O586" t="s">
        <v>162</v>
      </c>
      <c r="P586">
        <v>6.0135903199999996</v>
      </c>
      <c r="Q586">
        <v>388.74652513699999</v>
      </c>
      <c r="R586">
        <v>2021</v>
      </c>
      <c r="S586"/>
      <c r="T586" t="s">
        <v>27</v>
      </c>
      <c r="U586" t="s">
        <v>28</v>
      </c>
      <c r="V586" t="s">
        <v>37</v>
      </c>
    </row>
    <row r="587" spans="1:22" x14ac:dyDescent="0.25">
      <c r="A587" t="s">
        <v>1488</v>
      </c>
      <c r="B587" t="s">
        <v>1355</v>
      </c>
      <c r="C587">
        <v>840000</v>
      </c>
      <c r="D587">
        <v>834795.36</v>
      </c>
      <c r="E587">
        <v>822840.48</v>
      </c>
      <c r="F587" t="s">
        <v>392</v>
      </c>
      <c r="G587">
        <v>8.0870999999999995</v>
      </c>
      <c r="H587" t="s">
        <v>1356</v>
      </c>
      <c r="I587" s="26">
        <v>49054</v>
      </c>
      <c r="J587">
        <v>376.161</v>
      </c>
      <c r="K587">
        <v>1</v>
      </c>
      <c r="L587">
        <v>9.4192459999999993</v>
      </c>
      <c r="M587" t="s">
        <v>1489</v>
      </c>
      <c r="N587" t="s">
        <v>1355</v>
      </c>
      <c r="O587" t="s">
        <v>162</v>
      </c>
      <c r="P587">
        <v>6.0135903199999996</v>
      </c>
      <c r="Q587">
        <v>388.74652513699999</v>
      </c>
      <c r="R587">
        <v>2021</v>
      </c>
      <c r="S587"/>
      <c r="T587" t="s">
        <v>27</v>
      </c>
      <c r="U587" t="s">
        <v>28</v>
      </c>
      <c r="V587" t="s">
        <v>37</v>
      </c>
    </row>
    <row r="588" spans="1:22" x14ac:dyDescent="0.25">
      <c r="A588" t="s">
        <v>1492</v>
      </c>
      <c r="B588" t="s">
        <v>1461</v>
      </c>
      <c r="C588">
        <v>155000</v>
      </c>
      <c r="D588">
        <v>153144.34</v>
      </c>
      <c r="E588">
        <v>155501.12</v>
      </c>
      <c r="F588" t="s">
        <v>1462</v>
      </c>
      <c r="G588">
        <v>12.743600000000001</v>
      </c>
      <c r="H588" t="s">
        <v>1463</v>
      </c>
      <c r="I588" s="26">
        <v>48811</v>
      </c>
      <c r="J588">
        <v>842.16099999999994</v>
      </c>
      <c r="K588">
        <v>1</v>
      </c>
      <c r="L588">
        <v>12.868460000000001</v>
      </c>
      <c r="M588" t="s">
        <v>1493</v>
      </c>
      <c r="N588" t="s">
        <v>1461</v>
      </c>
      <c r="O588" t="s">
        <v>160</v>
      </c>
      <c r="P588">
        <v>4.9032831850000003</v>
      </c>
      <c r="Q588">
        <v>875.33804093599997</v>
      </c>
      <c r="R588">
        <v>2021</v>
      </c>
      <c r="S588"/>
      <c r="T588" t="s">
        <v>31</v>
      </c>
      <c r="U588" t="s">
        <v>24</v>
      </c>
      <c r="V588" t="s">
        <v>37</v>
      </c>
    </row>
    <row r="589" spans="1:22" x14ac:dyDescent="0.25">
      <c r="A589" t="s">
        <v>1492</v>
      </c>
      <c r="B589" t="s">
        <v>1461</v>
      </c>
      <c r="C589">
        <v>220000</v>
      </c>
      <c r="D589">
        <v>217366.16</v>
      </c>
      <c r="E589">
        <v>220865.28</v>
      </c>
      <c r="F589" t="s">
        <v>1462</v>
      </c>
      <c r="G589">
        <v>12.743600000000001</v>
      </c>
      <c r="H589" t="s">
        <v>1463</v>
      </c>
      <c r="I589" s="26">
        <v>48811</v>
      </c>
      <c r="J589">
        <v>842.16099999999994</v>
      </c>
      <c r="K589">
        <v>1</v>
      </c>
      <c r="L589">
        <v>12.868460000000001</v>
      </c>
      <c r="M589" t="s">
        <v>1493</v>
      </c>
      <c r="N589" t="s">
        <v>1461</v>
      </c>
      <c r="O589" t="s">
        <v>160</v>
      </c>
      <c r="P589">
        <v>4.9032831850000003</v>
      </c>
      <c r="Q589">
        <v>875.33804093599997</v>
      </c>
      <c r="R589">
        <v>2021</v>
      </c>
      <c r="S589"/>
      <c r="T589" t="s">
        <v>31</v>
      </c>
      <c r="U589" t="s">
        <v>24</v>
      </c>
      <c r="V589" t="s">
        <v>37</v>
      </c>
    </row>
    <row r="590" spans="1:22" x14ac:dyDescent="0.25">
      <c r="A590" t="s">
        <v>1492</v>
      </c>
      <c r="B590" t="s">
        <v>1461</v>
      </c>
      <c r="C590">
        <v>280000</v>
      </c>
      <c r="D590">
        <v>276647.84000000003</v>
      </c>
      <c r="E590">
        <v>280831.43</v>
      </c>
      <c r="F590" t="s">
        <v>1462</v>
      </c>
      <c r="G590">
        <v>12.743600000000001</v>
      </c>
      <c r="H590" t="s">
        <v>1463</v>
      </c>
      <c r="I590" s="26">
        <v>48811</v>
      </c>
      <c r="J590">
        <v>842.16099999999994</v>
      </c>
      <c r="K590">
        <v>1</v>
      </c>
      <c r="L590">
        <v>12.868460000000001</v>
      </c>
      <c r="M590" t="s">
        <v>1493</v>
      </c>
      <c r="N590" t="s">
        <v>1461</v>
      </c>
      <c r="O590" t="s">
        <v>160</v>
      </c>
      <c r="P590">
        <v>4.9032831850000003</v>
      </c>
      <c r="Q590">
        <v>875.33804093599997</v>
      </c>
      <c r="R590">
        <v>2021</v>
      </c>
      <c r="S590"/>
      <c r="T590" t="s">
        <v>31</v>
      </c>
      <c r="U590" t="s">
        <v>24</v>
      </c>
      <c r="V590" t="s">
        <v>37</v>
      </c>
    </row>
    <row r="591" spans="1:22" x14ac:dyDescent="0.25">
      <c r="A591" t="s">
        <v>1492</v>
      </c>
      <c r="B591" t="s">
        <v>1479</v>
      </c>
      <c r="C591">
        <v>1203000</v>
      </c>
      <c r="D591">
        <v>802126.72</v>
      </c>
      <c r="E591">
        <v>1203000</v>
      </c>
      <c r="F591" t="s">
        <v>207</v>
      </c>
      <c r="G591">
        <v>13.0871</v>
      </c>
      <c r="H591" t="s">
        <v>208</v>
      </c>
      <c r="I591" s="26">
        <v>47776</v>
      </c>
      <c r="J591">
        <v>876.16099999999994</v>
      </c>
      <c r="K591">
        <v>1</v>
      </c>
      <c r="L591">
        <v>13.269590000000001</v>
      </c>
      <c r="M591" t="s">
        <v>1493</v>
      </c>
      <c r="N591" t="s">
        <v>1479</v>
      </c>
      <c r="O591" t="s">
        <v>164</v>
      </c>
      <c r="P591">
        <v>5.022739734</v>
      </c>
      <c r="Q591">
        <v>1506.946677116</v>
      </c>
      <c r="R591">
        <v>2018</v>
      </c>
      <c r="S591"/>
      <c r="T591" t="s">
        <v>39</v>
      </c>
      <c r="U591" t="s">
        <v>24</v>
      </c>
      <c r="V591" t="s">
        <v>37</v>
      </c>
    </row>
    <row r="592" spans="1:22" x14ac:dyDescent="0.25">
      <c r="A592" t="s">
        <v>1492</v>
      </c>
      <c r="B592" t="s">
        <v>391</v>
      </c>
      <c r="C592">
        <v>508589.40246499999</v>
      </c>
      <c r="D592">
        <v>489552.9</v>
      </c>
      <c r="E592">
        <v>508589.4</v>
      </c>
      <c r="F592" t="s">
        <v>188</v>
      </c>
      <c r="G592">
        <v>12.57916</v>
      </c>
      <c r="H592" t="s">
        <v>189</v>
      </c>
      <c r="I592" s="26">
        <v>48959</v>
      </c>
      <c r="J592">
        <v>826.16099999999994</v>
      </c>
      <c r="K592">
        <v>1.176337</v>
      </c>
      <c r="L592">
        <v>12.762776000000001</v>
      </c>
      <c r="M592" t="s">
        <v>1493</v>
      </c>
      <c r="N592" t="s">
        <v>391</v>
      </c>
      <c r="O592" t="s">
        <v>160</v>
      </c>
      <c r="P592">
        <v>5.3475149870000003</v>
      </c>
      <c r="Q592">
        <v>917.90243091599996</v>
      </c>
      <c r="R592">
        <v>2021</v>
      </c>
      <c r="S592"/>
      <c r="T592" t="s">
        <v>35</v>
      </c>
      <c r="U592" t="s">
        <v>24</v>
      </c>
      <c r="V592" t="s">
        <v>37</v>
      </c>
    </row>
    <row r="593" spans="1:22" x14ac:dyDescent="0.25">
      <c r="A593" t="s">
        <v>1492</v>
      </c>
      <c r="B593" t="s">
        <v>1468</v>
      </c>
      <c r="C593">
        <v>190000</v>
      </c>
      <c r="D593">
        <v>185263.87</v>
      </c>
      <c r="E593">
        <v>179367.03</v>
      </c>
      <c r="F593" t="s">
        <v>392</v>
      </c>
      <c r="G593">
        <v>11.67916</v>
      </c>
      <c r="H593" t="s">
        <v>1469</v>
      </c>
      <c r="I593" s="26">
        <v>49324</v>
      </c>
      <c r="J593">
        <v>736.16099999999994</v>
      </c>
      <c r="K593">
        <v>1</v>
      </c>
      <c r="L593">
        <v>12.919167</v>
      </c>
      <c r="M593" t="s">
        <v>1493</v>
      </c>
      <c r="N593" t="s">
        <v>1468</v>
      </c>
      <c r="O593" t="s">
        <v>162</v>
      </c>
      <c r="P593">
        <v>6.8478590910000001</v>
      </c>
      <c r="Q593">
        <v>788.10827068499998</v>
      </c>
      <c r="R593">
        <v>2021</v>
      </c>
      <c r="S593"/>
      <c r="T593" t="s">
        <v>31</v>
      </c>
      <c r="U593" t="s">
        <v>28</v>
      </c>
      <c r="V593" t="s">
        <v>37</v>
      </c>
    </row>
    <row r="594" spans="1:22" x14ac:dyDescent="0.25">
      <c r="A594" t="s">
        <v>1492</v>
      </c>
      <c r="B594" t="s">
        <v>1468</v>
      </c>
      <c r="C594">
        <v>380000</v>
      </c>
      <c r="D594">
        <v>370527.74</v>
      </c>
      <c r="E594">
        <v>353905.12</v>
      </c>
      <c r="F594" t="s">
        <v>392</v>
      </c>
      <c r="G594">
        <v>11.67916</v>
      </c>
      <c r="H594" t="s">
        <v>1469</v>
      </c>
      <c r="I594" s="26">
        <v>49324</v>
      </c>
      <c r="J594">
        <v>736.16099999999994</v>
      </c>
      <c r="K594">
        <v>1</v>
      </c>
      <c r="L594">
        <v>12.919167</v>
      </c>
      <c r="M594" t="s">
        <v>1493</v>
      </c>
      <c r="N594" t="s">
        <v>1468</v>
      </c>
      <c r="O594" t="s">
        <v>162</v>
      </c>
      <c r="P594">
        <v>6.8478590910000001</v>
      </c>
      <c r="Q594">
        <v>788.10827068499998</v>
      </c>
      <c r="R594">
        <v>2021</v>
      </c>
      <c r="S594"/>
      <c r="T594" t="s">
        <v>31</v>
      </c>
      <c r="U594" t="s">
        <v>28</v>
      </c>
      <c r="V594" t="s">
        <v>37</v>
      </c>
    </row>
    <row r="595" spans="1:22" x14ac:dyDescent="0.25">
      <c r="A595" t="s">
        <v>1492</v>
      </c>
      <c r="B595" t="s">
        <v>1468</v>
      </c>
      <c r="C595">
        <v>430000</v>
      </c>
      <c r="D595">
        <v>419281.39</v>
      </c>
      <c r="E595">
        <v>406236.15999999997</v>
      </c>
      <c r="F595" t="s">
        <v>392</v>
      </c>
      <c r="G595">
        <v>11.67916</v>
      </c>
      <c r="H595" t="s">
        <v>1469</v>
      </c>
      <c r="I595" s="26">
        <v>49324</v>
      </c>
      <c r="J595">
        <v>736.16099999999994</v>
      </c>
      <c r="K595">
        <v>1</v>
      </c>
      <c r="L595">
        <v>12.919167</v>
      </c>
      <c r="M595" t="s">
        <v>1493</v>
      </c>
      <c r="N595" t="s">
        <v>1468</v>
      </c>
      <c r="O595" t="s">
        <v>162</v>
      </c>
      <c r="P595">
        <v>6.8478590910000001</v>
      </c>
      <c r="Q595">
        <v>788.10827068499998</v>
      </c>
      <c r="R595">
        <v>2021</v>
      </c>
      <c r="S595"/>
      <c r="T595" t="s">
        <v>31</v>
      </c>
      <c r="U595" t="s">
        <v>28</v>
      </c>
      <c r="V595" t="s">
        <v>37</v>
      </c>
    </row>
    <row r="596" spans="1:22" x14ac:dyDescent="0.25">
      <c r="A596" t="s">
        <v>1492</v>
      </c>
      <c r="B596" t="s">
        <v>1470</v>
      </c>
      <c r="C596">
        <v>700000</v>
      </c>
      <c r="D596">
        <v>658105.69999999995</v>
      </c>
      <c r="E596">
        <v>696500</v>
      </c>
      <c r="F596" t="s">
        <v>207</v>
      </c>
      <c r="G596">
        <v>11.017099999999999</v>
      </c>
      <c r="H596" t="s">
        <v>1471</v>
      </c>
      <c r="I596" s="26">
        <v>49145</v>
      </c>
      <c r="J596">
        <v>669.16099999999994</v>
      </c>
      <c r="K596">
        <v>1</v>
      </c>
      <c r="L596">
        <v>11.169168000000001</v>
      </c>
      <c r="M596" t="s">
        <v>1493</v>
      </c>
      <c r="N596" t="s">
        <v>1470</v>
      </c>
      <c r="O596" t="s">
        <v>164</v>
      </c>
      <c r="P596">
        <v>6.6361026689999996</v>
      </c>
      <c r="Q596">
        <v>796.522677176</v>
      </c>
      <c r="R596">
        <v>2021</v>
      </c>
      <c r="S596"/>
      <c r="T596" t="s">
        <v>31</v>
      </c>
      <c r="U596" t="s">
        <v>28</v>
      </c>
      <c r="V596" t="s">
        <v>37</v>
      </c>
    </row>
    <row r="597" spans="1:22" x14ac:dyDescent="0.25">
      <c r="A597" t="s">
        <v>1492</v>
      </c>
      <c r="B597" t="s">
        <v>1472</v>
      </c>
      <c r="C597">
        <v>550000</v>
      </c>
      <c r="D597">
        <v>536403.44999999995</v>
      </c>
      <c r="E597">
        <v>550000</v>
      </c>
      <c r="F597" t="s">
        <v>207</v>
      </c>
      <c r="G597">
        <v>9.5870999999999995</v>
      </c>
      <c r="H597" t="s">
        <v>1473</v>
      </c>
      <c r="I597" s="26">
        <v>49329</v>
      </c>
      <c r="J597">
        <v>526.16099999999994</v>
      </c>
      <c r="K597">
        <v>1</v>
      </c>
      <c r="L597">
        <v>9.7257259999999999</v>
      </c>
      <c r="M597" t="s">
        <v>1493</v>
      </c>
      <c r="N597" t="s">
        <v>1472</v>
      </c>
      <c r="O597" t="s">
        <v>164</v>
      </c>
      <c r="P597">
        <v>6.7222222220000001</v>
      </c>
      <c r="Q597">
        <v>575.13020204700001</v>
      </c>
      <c r="R597">
        <v>2021</v>
      </c>
      <c r="S597"/>
      <c r="T597" t="s">
        <v>31</v>
      </c>
      <c r="U597" t="s">
        <v>28</v>
      </c>
      <c r="V597" t="s">
        <v>37</v>
      </c>
    </row>
    <row r="598" spans="1:22" x14ac:dyDescent="0.25">
      <c r="A598" t="s">
        <v>1492</v>
      </c>
      <c r="B598" t="s">
        <v>1466</v>
      </c>
      <c r="C598">
        <v>19200000</v>
      </c>
      <c r="D598">
        <v>21801781.91</v>
      </c>
      <c r="E598">
        <v>18912000</v>
      </c>
      <c r="F598" t="s">
        <v>1346</v>
      </c>
      <c r="G598">
        <v>8.0640000000000001</v>
      </c>
      <c r="H598" t="s">
        <v>1467</v>
      </c>
      <c r="I598" s="26">
        <v>49145</v>
      </c>
      <c r="J598">
        <v>604</v>
      </c>
      <c r="K598">
        <v>1</v>
      </c>
      <c r="L598">
        <v>8.1755809999999993</v>
      </c>
      <c r="M598" t="s">
        <v>1493</v>
      </c>
      <c r="N598" t="s">
        <v>1466</v>
      </c>
      <c r="O598" t="s">
        <v>82</v>
      </c>
      <c r="P598">
        <v>5.812940201</v>
      </c>
      <c r="Q598">
        <v>513.61521073599999</v>
      </c>
      <c r="R598">
        <v>2021</v>
      </c>
      <c r="S598"/>
      <c r="T598" t="s">
        <v>31</v>
      </c>
      <c r="U598" t="s">
        <v>24</v>
      </c>
      <c r="V598" t="s">
        <v>37</v>
      </c>
    </row>
    <row r="599" spans="1:22" x14ac:dyDescent="0.25">
      <c r="A599" t="s">
        <v>1492</v>
      </c>
      <c r="B599" t="s">
        <v>1434</v>
      </c>
      <c r="C599">
        <v>14400000</v>
      </c>
      <c r="D599">
        <v>16060935.51</v>
      </c>
      <c r="E599">
        <v>14184000</v>
      </c>
      <c r="F599" t="s">
        <v>1152</v>
      </c>
      <c r="G599">
        <v>8.0660000000000007</v>
      </c>
      <c r="H599" t="s">
        <v>1435</v>
      </c>
      <c r="I599" s="26">
        <v>49140</v>
      </c>
      <c r="J599">
        <v>604</v>
      </c>
      <c r="K599">
        <v>1</v>
      </c>
      <c r="L599">
        <v>8.1882239999999999</v>
      </c>
      <c r="M599" t="s">
        <v>1493</v>
      </c>
      <c r="N599" t="s">
        <v>1434</v>
      </c>
      <c r="O599" t="s">
        <v>237</v>
      </c>
      <c r="P599">
        <v>6.0223227819999998</v>
      </c>
      <c r="Q599">
        <v>551.71261100200002</v>
      </c>
      <c r="R599">
        <v>2021</v>
      </c>
      <c r="S599"/>
      <c r="T599" t="s">
        <v>31</v>
      </c>
      <c r="U599" t="s">
        <v>28</v>
      </c>
      <c r="V599" t="s">
        <v>37</v>
      </c>
    </row>
    <row r="600" spans="1:22" x14ac:dyDescent="0.25">
      <c r="A600" t="s">
        <v>1488</v>
      </c>
      <c r="B600" t="s">
        <v>1357</v>
      </c>
      <c r="C600">
        <v>11000001</v>
      </c>
      <c r="D600">
        <v>10934407.99</v>
      </c>
      <c r="E600">
        <v>11000001</v>
      </c>
      <c r="F600" t="s">
        <v>207</v>
      </c>
      <c r="G600">
        <v>7.6175499999999996</v>
      </c>
      <c r="H600" t="s">
        <v>1358</v>
      </c>
      <c r="I600" s="26">
        <v>49324</v>
      </c>
      <c r="J600">
        <v>330</v>
      </c>
      <c r="K600">
        <v>1</v>
      </c>
      <c r="L600">
        <v>7.7318379999999998</v>
      </c>
      <c r="M600" t="s">
        <v>1489</v>
      </c>
      <c r="N600" t="s">
        <v>1357</v>
      </c>
      <c r="O600" t="s">
        <v>164</v>
      </c>
      <c r="P600">
        <v>6.551719952</v>
      </c>
      <c r="Q600">
        <v>341.06893251600002</v>
      </c>
      <c r="R600">
        <v>2022</v>
      </c>
      <c r="S600"/>
      <c r="T600" t="s">
        <v>27</v>
      </c>
      <c r="U600" t="s">
        <v>28</v>
      </c>
      <c r="V600" t="s">
        <v>37</v>
      </c>
    </row>
    <row r="601" spans="1:22" x14ac:dyDescent="0.25">
      <c r="A601" t="s">
        <v>1488</v>
      </c>
      <c r="B601" t="s">
        <v>1359</v>
      </c>
      <c r="C601">
        <v>7500000</v>
      </c>
      <c r="D601">
        <v>7469677.5</v>
      </c>
      <c r="E601">
        <v>7500000</v>
      </c>
      <c r="F601" t="s">
        <v>207</v>
      </c>
      <c r="G601">
        <v>7.7370999999999999</v>
      </c>
      <c r="H601" t="s">
        <v>1360</v>
      </c>
      <c r="I601" s="26">
        <v>49145</v>
      </c>
      <c r="J601">
        <v>341.161</v>
      </c>
      <c r="K601">
        <v>1</v>
      </c>
      <c r="L601">
        <v>7.8441830000000001</v>
      </c>
      <c r="M601" t="s">
        <v>1489</v>
      </c>
      <c r="N601" t="s">
        <v>1359</v>
      </c>
      <c r="O601" t="s">
        <v>164</v>
      </c>
      <c r="P601">
        <v>6.2655049209999998</v>
      </c>
      <c r="Q601">
        <v>348.92805204899997</v>
      </c>
      <c r="R601">
        <v>2021</v>
      </c>
      <c r="S601"/>
      <c r="T601" t="s">
        <v>27</v>
      </c>
      <c r="U601" t="s">
        <v>28</v>
      </c>
      <c r="V601" t="s">
        <v>37</v>
      </c>
    </row>
    <row r="602" spans="1:22" x14ac:dyDescent="0.25">
      <c r="A602" t="s">
        <v>1488</v>
      </c>
      <c r="B602" t="s">
        <v>1361</v>
      </c>
      <c r="C602">
        <v>3112500</v>
      </c>
      <c r="D602">
        <v>3042468.75</v>
      </c>
      <c r="E602">
        <v>3112500</v>
      </c>
      <c r="F602" t="s">
        <v>207</v>
      </c>
      <c r="G602">
        <v>7.7870999999999997</v>
      </c>
      <c r="H602" t="s">
        <v>1362</v>
      </c>
      <c r="I602" s="26">
        <v>49329</v>
      </c>
      <c r="J602">
        <v>346.161</v>
      </c>
      <c r="K602">
        <v>1</v>
      </c>
      <c r="L602">
        <v>7.9763159999999997</v>
      </c>
      <c r="M602" t="s">
        <v>1489</v>
      </c>
      <c r="N602" t="s">
        <v>1361</v>
      </c>
      <c r="O602" t="s">
        <v>164</v>
      </c>
      <c r="P602">
        <v>6.4940700710000003</v>
      </c>
      <c r="Q602">
        <v>389.28633417499998</v>
      </c>
      <c r="R602">
        <v>2021</v>
      </c>
      <c r="S602"/>
      <c r="T602" t="s">
        <v>27</v>
      </c>
      <c r="U602" t="s">
        <v>28</v>
      </c>
      <c r="V602" t="s">
        <v>37</v>
      </c>
    </row>
    <row r="603" spans="1:22" x14ac:dyDescent="0.25">
      <c r="A603" t="s">
        <v>1488</v>
      </c>
      <c r="B603" t="s">
        <v>1361</v>
      </c>
      <c r="C603">
        <v>190000</v>
      </c>
      <c r="D603">
        <v>185725</v>
      </c>
      <c r="E603">
        <v>186310.96</v>
      </c>
      <c r="F603" t="s">
        <v>207</v>
      </c>
      <c r="G603">
        <v>7.7870999999999997</v>
      </c>
      <c r="H603" t="s">
        <v>1362</v>
      </c>
      <c r="I603" s="26">
        <v>49329</v>
      </c>
      <c r="J603">
        <v>346.161</v>
      </c>
      <c r="K603">
        <v>1</v>
      </c>
      <c r="L603">
        <v>7.9763159999999997</v>
      </c>
      <c r="M603" t="s">
        <v>1489</v>
      </c>
      <c r="N603" t="s">
        <v>1361</v>
      </c>
      <c r="O603" t="s">
        <v>164</v>
      </c>
      <c r="P603">
        <v>6.4940700710000003</v>
      </c>
      <c r="Q603">
        <v>389.28633417499998</v>
      </c>
      <c r="R603">
        <v>2021</v>
      </c>
      <c r="S603"/>
      <c r="T603" t="s">
        <v>27</v>
      </c>
      <c r="U603" t="s">
        <v>28</v>
      </c>
      <c r="V603" t="s">
        <v>37</v>
      </c>
    </row>
    <row r="604" spans="1:22" x14ac:dyDescent="0.25">
      <c r="A604" t="s">
        <v>1488</v>
      </c>
      <c r="B604" t="s">
        <v>1361</v>
      </c>
      <c r="C604">
        <v>540000</v>
      </c>
      <c r="D604">
        <v>527850</v>
      </c>
      <c r="E604">
        <v>530978.76</v>
      </c>
      <c r="F604" t="s">
        <v>207</v>
      </c>
      <c r="G604">
        <v>7.7870999999999997</v>
      </c>
      <c r="H604" t="s">
        <v>1362</v>
      </c>
      <c r="I604" s="26">
        <v>49329</v>
      </c>
      <c r="J604">
        <v>346.161</v>
      </c>
      <c r="K604">
        <v>1</v>
      </c>
      <c r="L604">
        <v>7.9763159999999997</v>
      </c>
      <c r="M604" t="s">
        <v>1489</v>
      </c>
      <c r="N604" t="s">
        <v>1361</v>
      </c>
      <c r="O604" t="s">
        <v>164</v>
      </c>
      <c r="P604">
        <v>6.4940700710000003</v>
      </c>
      <c r="Q604">
        <v>389.28633417499998</v>
      </c>
      <c r="R604">
        <v>2021</v>
      </c>
      <c r="S604"/>
      <c r="T604" t="s">
        <v>27</v>
      </c>
      <c r="U604" t="s">
        <v>28</v>
      </c>
      <c r="V604" t="s">
        <v>37</v>
      </c>
    </row>
    <row r="605" spans="1:22" x14ac:dyDescent="0.25">
      <c r="A605" t="s">
        <v>1488</v>
      </c>
      <c r="B605" t="s">
        <v>1361</v>
      </c>
      <c r="C605">
        <v>730000</v>
      </c>
      <c r="D605">
        <v>713575</v>
      </c>
      <c r="E605">
        <v>719075.01</v>
      </c>
      <c r="F605" t="s">
        <v>207</v>
      </c>
      <c r="G605">
        <v>7.7870999999999997</v>
      </c>
      <c r="H605" t="s">
        <v>1362</v>
      </c>
      <c r="I605" s="26">
        <v>49329</v>
      </c>
      <c r="J605">
        <v>346.161</v>
      </c>
      <c r="K605">
        <v>1</v>
      </c>
      <c r="L605">
        <v>7.9763159999999997</v>
      </c>
      <c r="M605" t="s">
        <v>1489</v>
      </c>
      <c r="N605" t="s">
        <v>1361</v>
      </c>
      <c r="O605" t="s">
        <v>164</v>
      </c>
      <c r="P605">
        <v>6.4940700710000003</v>
      </c>
      <c r="Q605">
        <v>389.28633417499998</v>
      </c>
      <c r="R605">
        <v>2021</v>
      </c>
      <c r="S605"/>
      <c r="T605" t="s">
        <v>27</v>
      </c>
      <c r="U605" t="s">
        <v>28</v>
      </c>
      <c r="V605" t="s">
        <v>37</v>
      </c>
    </row>
    <row r="606" spans="1:22" x14ac:dyDescent="0.25">
      <c r="A606" t="s">
        <v>1488</v>
      </c>
      <c r="B606" t="s">
        <v>740</v>
      </c>
      <c r="C606">
        <v>2500000</v>
      </c>
      <c r="D606">
        <v>2507935</v>
      </c>
      <c r="E606">
        <v>2500000</v>
      </c>
      <c r="F606" t="s">
        <v>736</v>
      </c>
      <c r="G606">
        <v>6.51755</v>
      </c>
      <c r="H606" t="s">
        <v>741</v>
      </c>
      <c r="I606" s="26">
        <v>50236</v>
      </c>
      <c r="J606">
        <v>220</v>
      </c>
      <c r="K606">
        <v>1</v>
      </c>
      <c r="L606">
        <v>6.516743</v>
      </c>
      <c r="M606" t="s">
        <v>1489</v>
      </c>
      <c r="N606" t="s">
        <v>740</v>
      </c>
      <c r="O606" t="s">
        <v>238</v>
      </c>
      <c r="P606">
        <v>7.8538810520000002</v>
      </c>
      <c r="Q606">
        <v>214.90150435199999</v>
      </c>
      <c r="R606">
        <v>2024</v>
      </c>
      <c r="S606"/>
      <c r="T606" t="s">
        <v>23</v>
      </c>
      <c r="U606" t="s">
        <v>28</v>
      </c>
      <c r="V606" t="s">
        <v>33</v>
      </c>
    </row>
    <row r="607" spans="1:22" x14ac:dyDescent="0.25">
      <c r="A607" t="s">
        <v>1488</v>
      </c>
      <c r="B607" t="s">
        <v>735</v>
      </c>
      <c r="C607">
        <v>2720000</v>
      </c>
      <c r="D607">
        <v>2734179.36</v>
      </c>
      <c r="E607">
        <v>2720000</v>
      </c>
      <c r="F607" t="s">
        <v>736</v>
      </c>
      <c r="G607">
        <v>8.0754900000000003</v>
      </c>
      <c r="H607" t="s">
        <v>737</v>
      </c>
      <c r="I607" s="26">
        <v>49968</v>
      </c>
      <c r="J607">
        <v>375</v>
      </c>
      <c r="K607">
        <v>1</v>
      </c>
      <c r="L607">
        <v>8.0742999999999991</v>
      </c>
      <c r="M607" t="s">
        <v>1489</v>
      </c>
      <c r="N607" t="s">
        <v>735</v>
      </c>
      <c r="O607" t="s">
        <v>239</v>
      </c>
      <c r="P607">
        <v>6.8904637400000004</v>
      </c>
      <c r="Q607">
        <v>365.26668205200002</v>
      </c>
      <c r="R607">
        <v>2023</v>
      </c>
      <c r="S607"/>
      <c r="T607" t="s">
        <v>23</v>
      </c>
      <c r="U607" t="s">
        <v>28</v>
      </c>
      <c r="V607" t="s">
        <v>37</v>
      </c>
    </row>
    <row r="608" spans="1:22" x14ac:dyDescent="0.25">
      <c r="A608" t="s">
        <v>1488</v>
      </c>
      <c r="B608" t="s">
        <v>742</v>
      </c>
      <c r="C608">
        <v>13000000</v>
      </c>
      <c r="D608">
        <v>13019981</v>
      </c>
      <c r="E608">
        <v>13000000</v>
      </c>
      <c r="F608" t="s">
        <v>736</v>
      </c>
      <c r="G608">
        <v>6.2101899999999999</v>
      </c>
      <c r="H608" t="s">
        <v>743</v>
      </c>
      <c r="I608" s="26">
        <v>50425</v>
      </c>
      <c r="J608">
        <v>195</v>
      </c>
      <c r="K608">
        <v>1</v>
      </c>
      <c r="L608">
        <v>6.202229</v>
      </c>
      <c r="M608" t="s">
        <v>1489</v>
      </c>
      <c r="N608" t="s">
        <v>742</v>
      </c>
      <c r="O608" t="s">
        <v>239</v>
      </c>
      <c r="P608">
        <v>8.4241556679999992</v>
      </c>
      <c r="Q608">
        <v>192.47570581700001</v>
      </c>
      <c r="R608">
        <v>2025</v>
      </c>
      <c r="S608"/>
      <c r="T608" t="s">
        <v>23</v>
      </c>
      <c r="U608" t="s">
        <v>32</v>
      </c>
      <c r="V608" t="s">
        <v>33</v>
      </c>
    </row>
    <row r="609" spans="1:22" x14ac:dyDescent="0.25">
      <c r="A609" t="s">
        <v>1488</v>
      </c>
      <c r="B609" t="s">
        <v>738</v>
      </c>
      <c r="C609">
        <v>6000000</v>
      </c>
      <c r="D609">
        <v>6037926</v>
      </c>
      <c r="E609">
        <v>6000000</v>
      </c>
      <c r="F609" t="s">
        <v>736</v>
      </c>
      <c r="G609">
        <v>7.1175499999999996</v>
      </c>
      <c r="H609" t="s">
        <v>739</v>
      </c>
      <c r="I609" s="26">
        <v>50145</v>
      </c>
      <c r="J609">
        <v>280</v>
      </c>
      <c r="K609">
        <v>1</v>
      </c>
      <c r="L609">
        <v>7.1165859999999999</v>
      </c>
      <c r="M609" t="s">
        <v>1489</v>
      </c>
      <c r="N609" t="s">
        <v>738</v>
      </c>
      <c r="O609" t="s">
        <v>239</v>
      </c>
      <c r="P609">
        <v>7.7469823199999999</v>
      </c>
      <c r="Q609">
        <v>269.62096193600001</v>
      </c>
      <c r="R609">
        <v>2024</v>
      </c>
      <c r="S609"/>
      <c r="T609" t="s">
        <v>23</v>
      </c>
      <c r="U609" t="s">
        <v>28</v>
      </c>
      <c r="V609" t="s">
        <v>37</v>
      </c>
    </row>
    <row r="610" spans="1:22" x14ac:dyDescent="0.25">
      <c r="A610" t="s">
        <v>1488</v>
      </c>
      <c r="B610" t="s">
        <v>1345</v>
      </c>
      <c r="C610">
        <v>13600000</v>
      </c>
      <c r="D610">
        <v>15291371.4</v>
      </c>
      <c r="E610">
        <v>13600000</v>
      </c>
      <c r="F610" t="s">
        <v>1346</v>
      </c>
      <c r="G610">
        <v>5.1239999999999997</v>
      </c>
      <c r="H610" t="s">
        <v>1347</v>
      </c>
      <c r="I610" s="26">
        <v>49145</v>
      </c>
      <c r="J610">
        <v>310</v>
      </c>
      <c r="K610">
        <v>1</v>
      </c>
      <c r="L610">
        <v>5.1950289999999999</v>
      </c>
      <c r="M610" t="s">
        <v>1489</v>
      </c>
      <c r="N610" t="s">
        <v>1345</v>
      </c>
      <c r="O610" t="s">
        <v>82</v>
      </c>
      <c r="P610">
        <v>4.8663184429999999</v>
      </c>
      <c r="Q610">
        <v>242.691331676</v>
      </c>
      <c r="R610">
        <v>2021</v>
      </c>
      <c r="S610"/>
      <c r="T610" t="s">
        <v>27</v>
      </c>
      <c r="U610" t="s">
        <v>24</v>
      </c>
      <c r="V610" t="s">
        <v>29</v>
      </c>
    </row>
    <row r="611" spans="1:22" x14ac:dyDescent="0.25">
      <c r="A611" t="s">
        <v>1488</v>
      </c>
      <c r="B611" t="s">
        <v>1151</v>
      </c>
      <c r="C611">
        <v>5000000</v>
      </c>
      <c r="D611">
        <v>5606524.96</v>
      </c>
      <c r="E611">
        <v>5000000</v>
      </c>
      <c r="F611" t="s">
        <v>1152</v>
      </c>
      <c r="G611">
        <v>5.1260000000000003</v>
      </c>
      <c r="H611" t="s">
        <v>1153</v>
      </c>
      <c r="I611" s="26">
        <v>49140</v>
      </c>
      <c r="J611">
        <v>310</v>
      </c>
      <c r="K611">
        <v>1</v>
      </c>
      <c r="L611">
        <v>5.2036030000000002</v>
      </c>
      <c r="M611" t="s">
        <v>1489</v>
      </c>
      <c r="N611" t="s">
        <v>1151</v>
      </c>
      <c r="O611" t="s">
        <v>237</v>
      </c>
      <c r="P611">
        <v>5.2211805839999998</v>
      </c>
      <c r="Q611">
        <v>247.64692732899999</v>
      </c>
      <c r="R611">
        <v>2021</v>
      </c>
      <c r="S611"/>
      <c r="T611" t="s">
        <v>27</v>
      </c>
      <c r="U611" t="s">
        <v>24</v>
      </c>
      <c r="V611" t="s">
        <v>29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571"/>
  <sheetViews>
    <sheetView topLeftCell="A539" workbookViewId="0">
      <selection activeCell="I567" sqref="I567"/>
    </sheetView>
  </sheetViews>
  <sheetFormatPr defaultRowHeight="15" x14ac:dyDescent="0.25"/>
  <sheetData>
    <row r="1" spans="1:21" x14ac:dyDescent="0.25">
      <c r="A1" s="25" t="s">
        <v>1528</v>
      </c>
      <c r="B1" s="25" t="s">
        <v>1516</v>
      </c>
      <c r="C1" s="25" t="s">
        <v>12</v>
      </c>
      <c r="D1" s="25" t="s">
        <v>122</v>
      </c>
      <c r="E1" s="25" t="s">
        <v>123</v>
      </c>
      <c r="F1" s="25" t="s">
        <v>120</v>
      </c>
      <c r="G1" s="25" t="s">
        <v>121</v>
      </c>
      <c r="H1" s="25" t="s">
        <v>48</v>
      </c>
      <c r="I1" s="25" t="s">
        <v>1517</v>
      </c>
      <c r="J1" s="25" t="s">
        <v>115</v>
      </c>
      <c r="K1" s="25" t="s">
        <v>1529</v>
      </c>
      <c r="L1" s="25" t="s">
        <v>1530</v>
      </c>
      <c r="M1" s="25" t="s">
        <v>1531</v>
      </c>
      <c r="N1" s="25" t="s">
        <v>1532</v>
      </c>
      <c r="O1" s="25" t="s">
        <v>1533</v>
      </c>
      <c r="P1" s="25" t="s">
        <v>1514</v>
      </c>
      <c r="Q1" s="25" t="s">
        <v>1518</v>
      </c>
      <c r="R1" s="25" t="s">
        <v>1519</v>
      </c>
      <c r="S1" s="25" t="s">
        <v>119</v>
      </c>
      <c r="T1" s="25" t="s">
        <v>118</v>
      </c>
      <c r="U1" s="25" t="s">
        <v>7</v>
      </c>
    </row>
    <row r="2" spans="1:21" x14ac:dyDescent="0.25">
      <c r="A2" t="s">
        <v>252</v>
      </c>
      <c r="B2" t="s">
        <v>252</v>
      </c>
      <c r="D2" s="27">
        <v>45953</v>
      </c>
      <c r="E2" s="27">
        <v>46591</v>
      </c>
      <c r="I2" t="s">
        <v>64</v>
      </c>
      <c r="J2">
        <v>20230511</v>
      </c>
      <c r="K2" t="s">
        <v>43</v>
      </c>
      <c r="L2" t="s">
        <v>43</v>
      </c>
      <c r="M2" t="s">
        <v>23</v>
      </c>
      <c r="N2" t="s">
        <v>43</v>
      </c>
      <c r="O2" t="s">
        <v>43</v>
      </c>
      <c r="P2" t="s">
        <v>251</v>
      </c>
      <c r="S2" t="s">
        <v>23</v>
      </c>
      <c r="T2" t="s">
        <v>155</v>
      </c>
      <c r="U2" t="s">
        <v>23</v>
      </c>
    </row>
    <row r="3" spans="1:21" x14ac:dyDescent="0.25">
      <c r="A3" t="s">
        <v>253</v>
      </c>
      <c r="B3" t="s">
        <v>253</v>
      </c>
      <c r="D3" s="27">
        <v>45953</v>
      </c>
      <c r="E3" s="27">
        <v>46591</v>
      </c>
      <c r="I3" t="s">
        <v>64</v>
      </c>
      <c r="J3">
        <v>20230511</v>
      </c>
      <c r="K3" t="s">
        <v>43</v>
      </c>
      <c r="L3" t="s">
        <v>43</v>
      </c>
      <c r="M3" t="s">
        <v>169</v>
      </c>
      <c r="N3" t="s">
        <v>43</v>
      </c>
      <c r="O3" t="s">
        <v>43</v>
      </c>
      <c r="P3" t="s">
        <v>251</v>
      </c>
      <c r="S3" t="s">
        <v>169</v>
      </c>
      <c r="T3" t="s">
        <v>155</v>
      </c>
      <c r="U3" t="s">
        <v>27</v>
      </c>
    </row>
    <row r="4" spans="1:21" x14ac:dyDescent="0.25">
      <c r="A4" t="s">
        <v>106</v>
      </c>
      <c r="B4" t="s">
        <v>106</v>
      </c>
      <c r="C4">
        <v>9.1695377439999994</v>
      </c>
      <c r="D4" s="27">
        <v>45953</v>
      </c>
      <c r="E4" s="27">
        <v>46591</v>
      </c>
      <c r="F4">
        <v>17.880402497999999</v>
      </c>
      <c r="G4">
        <v>202.15609279200001</v>
      </c>
      <c r="H4">
        <v>100.9195</v>
      </c>
      <c r="I4" t="s">
        <v>64</v>
      </c>
      <c r="J4">
        <v>20250523</v>
      </c>
      <c r="K4" t="s">
        <v>43</v>
      </c>
      <c r="L4" t="s">
        <v>43</v>
      </c>
      <c r="M4" t="s">
        <v>23</v>
      </c>
      <c r="N4" t="s">
        <v>43</v>
      </c>
      <c r="O4" t="s">
        <v>43</v>
      </c>
      <c r="P4" t="s">
        <v>251</v>
      </c>
      <c r="Q4">
        <v>2025</v>
      </c>
      <c r="S4" t="s">
        <v>23</v>
      </c>
      <c r="T4" t="s">
        <v>155</v>
      </c>
      <c r="U4" t="s">
        <v>23</v>
      </c>
    </row>
    <row r="5" spans="1:21" x14ac:dyDescent="0.25">
      <c r="A5" t="s">
        <v>407</v>
      </c>
      <c r="B5" t="s">
        <v>407</v>
      </c>
      <c r="C5">
        <v>9.7045333360000008</v>
      </c>
      <c r="D5" s="27">
        <v>45953</v>
      </c>
      <c r="E5" s="27">
        <v>46591</v>
      </c>
      <c r="F5">
        <v>11.871651461000001</v>
      </c>
      <c r="G5">
        <v>337.95475647000001</v>
      </c>
      <c r="H5">
        <v>99.426699999999997</v>
      </c>
      <c r="I5" t="s">
        <v>64</v>
      </c>
      <c r="J5">
        <v>20250523</v>
      </c>
      <c r="K5" t="s">
        <v>43</v>
      </c>
      <c r="L5" t="s">
        <v>43</v>
      </c>
      <c r="M5" t="s">
        <v>169</v>
      </c>
      <c r="N5" t="s">
        <v>43</v>
      </c>
      <c r="O5" t="s">
        <v>43</v>
      </c>
      <c r="P5" t="s">
        <v>251</v>
      </c>
      <c r="Q5">
        <v>2025</v>
      </c>
      <c r="S5" t="s">
        <v>169</v>
      </c>
      <c r="T5" t="s">
        <v>155</v>
      </c>
      <c r="U5" t="s">
        <v>27</v>
      </c>
    </row>
    <row r="6" spans="1:21" x14ac:dyDescent="0.25">
      <c r="A6" t="s">
        <v>254</v>
      </c>
      <c r="B6" t="s">
        <v>254</v>
      </c>
      <c r="I6" t="s">
        <v>64</v>
      </c>
      <c r="J6">
        <v>20230613</v>
      </c>
      <c r="K6" t="s">
        <v>43</v>
      </c>
      <c r="L6" t="s">
        <v>43</v>
      </c>
      <c r="M6" t="s">
        <v>169</v>
      </c>
      <c r="N6" t="s">
        <v>43</v>
      </c>
      <c r="O6" t="s">
        <v>43</v>
      </c>
      <c r="P6" t="s">
        <v>251</v>
      </c>
      <c r="S6" t="s">
        <v>169</v>
      </c>
      <c r="T6" t="s">
        <v>155</v>
      </c>
      <c r="U6" t="s">
        <v>27</v>
      </c>
    </row>
    <row r="7" spans="1:21" x14ac:dyDescent="0.25">
      <c r="A7" t="s">
        <v>409</v>
      </c>
      <c r="B7" t="s">
        <v>409</v>
      </c>
      <c r="C7">
        <v>9.6224766489999993</v>
      </c>
      <c r="F7">
        <v>12.445965136</v>
      </c>
      <c r="G7">
        <v>282.97730603000002</v>
      </c>
      <c r="H7">
        <v>100.494</v>
      </c>
      <c r="I7" t="s">
        <v>64</v>
      </c>
      <c r="J7">
        <v>20250625</v>
      </c>
      <c r="K7" t="s">
        <v>43</v>
      </c>
      <c r="L7" t="s">
        <v>43</v>
      </c>
      <c r="M7" t="s">
        <v>27</v>
      </c>
      <c r="N7" t="s">
        <v>43</v>
      </c>
      <c r="O7" t="s">
        <v>43</v>
      </c>
      <c r="P7" t="s">
        <v>251</v>
      </c>
      <c r="Q7">
        <v>2025</v>
      </c>
      <c r="S7" t="s">
        <v>27</v>
      </c>
      <c r="T7" t="s">
        <v>155</v>
      </c>
      <c r="U7" t="s">
        <v>27</v>
      </c>
    </row>
    <row r="8" spans="1:21" x14ac:dyDescent="0.25">
      <c r="A8" t="s">
        <v>257</v>
      </c>
      <c r="B8" t="s">
        <v>257</v>
      </c>
      <c r="D8" s="27">
        <v>45951</v>
      </c>
      <c r="E8" s="27">
        <v>46589</v>
      </c>
      <c r="I8" t="s">
        <v>64</v>
      </c>
      <c r="J8">
        <v>20220627</v>
      </c>
      <c r="K8" t="s">
        <v>43</v>
      </c>
      <c r="L8" t="s">
        <v>43</v>
      </c>
      <c r="M8" t="s">
        <v>169</v>
      </c>
      <c r="N8" t="s">
        <v>43</v>
      </c>
      <c r="O8" t="s">
        <v>43</v>
      </c>
      <c r="P8" t="s">
        <v>255</v>
      </c>
      <c r="S8" t="s">
        <v>169</v>
      </c>
      <c r="T8" t="s">
        <v>155</v>
      </c>
      <c r="U8" t="s">
        <v>27</v>
      </c>
    </row>
    <row r="9" spans="1:21" x14ac:dyDescent="0.25">
      <c r="A9" t="s">
        <v>410</v>
      </c>
      <c r="B9" t="s">
        <v>410</v>
      </c>
      <c r="C9">
        <v>9.2339745929999992</v>
      </c>
      <c r="D9" s="27">
        <v>45951</v>
      </c>
      <c r="E9" s="27">
        <v>46589</v>
      </c>
      <c r="F9">
        <v>11.770896171</v>
      </c>
      <c r="G9">
        <v>299.109232002</v>
      </c>
      <c r="H9">
        <v>100.4057</v>
      </c>
      <c r="I9" t="s">
        <v>64</v>
      </c>
      <c r="J9">
        <v>20250711</v>
      </c>
      <c r="K9" t="s">
        <v>43</v>
      </c>
      <c r="L9" t="s">
        <v>43</v>
      </c>
      <c r="M9" t="s">
        <v>169</v>
      </c>
      <c r="N9" t="s">
        <v>43</v>
      </c>
      <c r="O9" t="s">
        <v>43</v>
      </c>
      <c r="P9" t="s">
        <v>255</v>
      </c>
      <c r="Q9">
        <v>2025</v>
      </c>
      <c r="S9" t="s">
        <v>169</v>
      </c>
      <c r="T9" t="s">
        <v>155</v>
      </c>
      <c r="U9" t="s">
        <v>27</v>
      </c>
    </row>
    <row r="10" spans="1:21" x14ac:dyDescent="0.25">
      <c r="A10" t="s">
        <v>261</v>
      </c>
      <c r="B10" t="s">
        <v>261</v>
      </c>
      <c r="D10" s="27">
        <v>45950</v>
      </c>
      <c r="E10" s="27">
        <v>46588</v>
      </c>
      <c r="I10" t="s">
        <v>65</v>
      </c>
      <c r="J10">
        <v>20210628</v>
      </c>
      <c r="K10" t="s">
        <v>43</v>
      </c>
      <c r="L10" t="s">
        <v>785</v>
      </c>
      <c r="M10" t="s">
        <v>43</v>
      </c>
      <c r="N10" t="s">
        <v>43</v>
      </c>
      <c r="O10" t="s">
        <v>43</v>
      </c>
      <c r="P10" t="s">
        <v>259</v>
      </c>
      <c r="S10" t="s">
        <v>785</v>
      </c>
      <c r="T10" t="s">
        <v>134</v>
      </c>
      <c r="U10" t="s">
        <v>27</v>
      </c>
    </row>
    <row r="11" spans="1:21" x14ac:dyDescent="0.25">
      <c r="A11" t="s">
        <v>413</v>
      </c>
      <c r="B11" t="s">
        <v>413</v>
      </c>
      <c r="C11">
        <v>0</v>
      </c>
      <c r="D11" s="27">
        <v>45952</v>
      </c>
      <c r="E11" s="27">
        <v>45769</v>
      </c>
      <c r="G11">
        <v>298.47644213699999</v>
      </c>
      <c r="H11">
        <v>100.375</v>
      </c>
      <c r="I11" t="s">
        <v>66</v>
      </c>
      <c r="J11">
        <v>20250811</v>
      </c>
      <c r="K11" t="s">
        <v>43</v>
      </c>
      <c r="L11" t="s">
        <v>43</v>
      </c>
      <c r="M11" t="s">
        <v>169</v>
      </c>
      <c r="N11" t="s">
        <v>43</v>
      </c>
      <c r="O11" t="s">
        <v>43</v>
      </c>
      <c r="P11" t="s">
        <v>411</v>
      </c>
      <c r="Q11">
        <v>2025</v>
      </c>
      <c r="S11" t="s">
        <v>169</v>
      </c>
      <c r="T11" t="s">
        <v>155</v>
      </c>
      <c r="U11" t="s">
        <v>27</v>
      </c>
    </row>
    <row r="12" spans="1:21" x14ac:dyDescent="0.25">
      <c r="A12" t="s">
        <v>264</v>
      </c>
      <c r="B12" t="s">
        <v>264</v>
      </c>
      <c r="I12" t="s">
        <v>67</v>
      </c>
      <c r="J12">
        <v>20230327</v>
      </c>
      <c r="K12" t="s">
        <v>43</v>
      </c>
      <c r="L12" t="s">
        <v>43</v>
      </c>
      <c r="M12" t="s">
        <v>31</v>
      </c>
      <c r="N12" t="s">
        <v>43</v>
      </c>
      <c r="O12" t="s">
        <v>43</v>
      </c>
      <c r="P12" t="s">
        <v>263</v>
      </c>
      <c r="S12" t="s">
        <v>31</v>
      </c>
      <c r="T12" t="s">
        <v>155</v>
      </c>
      <c r="U12" t="s">
        <v>31</v>
      </c>
    </row>
    <row r="13" spans="1:21" x14ac:dyDescent="0.25">
      <c r="A13" t="s">
        <v>418</v>
      </c>
      <c r="B13" t="s">
        <v>418</v>
      </c>
      <c r="C13">
        <v>10.359941642000001</v>
      </c>
      <c r="F13">
        <v>8.1656528979999994</v>
      </c>
      <c r="G13">
        <v>516.99473036899997</v>
      </c>
      <c r="H13">
        <v>101.2028</v>
      </c>
      <c r="I13" t="s">
        <v>67</v>
      </c>
      <c r="J13">
        <v>20250618</v>
      </c>
      <c r="K13" t="s">
        <v>43</v>
      </c>
      <c r="L13" t="s">
        <v>43</v>
      </c>
      <c r="M13" t="s">
        <v>1376</v>
      </c>
      <c r="N13" t="s">
        <v>43</v>
      </c>
      <c r="O13" t="s">
        <v>43</v>
      </c>
      <c r="P13" t="s">
        <v>263</v>
      </c>
      <c r="Q13">
        <v>2025</v>
      </c>
      <c r="S13" t="s">
        <v>1376</v>
      </c>
      <c r="T13" t="s">
        <v>155</v>
      </c>
      <c r="U13" t="s">
        <v>31</v>
      </c>
    </row>
    <row r="14" spans="1:21" x14ac:dyDescent="0.25">
      <c r="A14" t="s">
        <v>266</v>
      </c>
      <c r="B14" t="s">
        <v>266</v>
      </c>
      <c r="D14" s="27">
        <v>45956</v>
      </c>
      <c r="E14" s="27">
        <v>46594</v>
      </c>
      <c r="I14" t="s">
        <v>67</v>
      </c>
      <c r="J14">
        <v>20230525</v>
      </c>
      <c r="K14" t="s">
        <v>43</v>
      </c>
      <c r="L14" t="s">
        <v>43</v>
      </c>
      <c r="M14" t="s">
        <v>169</v>
      </c>
      <c r="N14" t="s">
        <v>43</v>
      </c>
      <c r="O14" t="s">
        <v>43</v>
      </c>
      <c r="P14" t="s">
        <v>263</v>
      </c>
      <c r="S14" t="s">
        <v>169</v>
      </c>
      <c r="T14" t="s">
        <v>155</v>
      </c>
      <c r="U14" t="s">
        <v>27</v>
      </c>
    </row>
    <row r="15" spans="1:21" x14ac:dyDescent="0.25">
      <c r="A15" t="s">
        <v>421</v>
      </c>
      <c r="B15" t="s">
        <v>421</v>
      </c>
      <c r="C15">
        <v>9.7105043670000004</v>
      </c>
      <c r="D15" s="27">
        <v>45956</v>
      </c>
      <c r="E15" s="27">
        <v>46594</v>
      </c>
      <c r="F15">
        <v>12.197846820000001</v>
      </c>
      <c r="G15">
        <v>282.175987131</v>
      </c>
      <c r="H15">
        <v>100.1923</v>
      </c>
      <c r="I15" t="s">
        <v>67</v>
      </c>
      <c r="J15">
        <v>20250702</v>
      </c>
      <c r="K15" t="s">
        <v>43</v>
      </c>
      <c r="L15" t="s">
        <v>43</v>
      </c>
      <c r="M15" t="s">
        <v>169</v>
      </c>
      <c r="N15" t="s">
        <v>43</v>
      </c>
      <c r="O15" t="s">
        <v>43</v>
      </c>
      <c r="P15" t="s">
        <v>263</v>
      </c>
      <c r="Q15">
        <v>2025</v>
      </c>
      <c r="S15" t="s">
        <v>169</v>
      </c>
      <c r="T15" t="s">
        <v>155</v>
      </c>
      <c r="U15" t="s">
        <v>27</v>
      </c>
    </row>
    <row r="16" spans="1:21" x14ac:dyDescent="0.25">
      <c r="A16" t="s">
        <v>424</v>
      </c>
      <c r="B16" t="s">
        <v>424</v>
      </c>
      <c r="C16">
        <v>0</v>
      </c>
      <c r="D16" s="27">
        <v>45950</v>
      </c>
      <c r="E16" s="27">
        <v>45402</v>
      </c>
      <c r="G16">
        <v>293.33316511300001</v>
      </c>
      <c r="H16">
        <v>100.38890000000001</v>
      </c>
      <c r="I16" t="s">
        <v>68</v>
      </c>
      <c r="J16">
        <v>20250807</v>
      </c>
      <c r="K16" t="s">
        <v>43</v>
      </c>
      <c r="L16" t="s">
        <v>43</v>
      </c>
      <c r="M16" t="s">
        <v>169</v>
      </c>
      <c r="N16" t="s">
        <v>43</v>
      </c>
      <c r="O16" t="s">
        <v>43</v>
      </c>
      <c r="P16" t="s">
        <v>422</v>
      </c>
      <c r="Q16">
        <v>2025</v>
      </c>
      <c r="S16" t="s">
        <v>169</v>
      </c>
      <c r="T16" t="s">
        <v>155</v>
      </c>
      <c r="U16" t="s">
        <v>27</v>
      </c>
    </row>
    <row r="17" spans="1:21" x14ac:dyDescent="0.25">
      <c r="A17" t="s">
        <v>429</v>
      </c>
      <c r="B17" t="s">
        <v>429</v>
      </c>
      <c r="C17">
        <v>9.6083370880000007</v>
      </c>
      <c r="F17">
        <v>12</v>
      </c>
      <c r="G17">
        <v>318.24634800299998</v>
      </c>
      <c r="H17">
        <v>100.38890000000001</v>
      </c>
      <c r="I17" t="s">
        <v>69</v>
      </c>
      <c r="J17">
        <v>20250820</v>
      </c>
      <c r="K17" t="s">
        <v>169</v>
      </c>
      <c r="L17" t="s">
        <v>43</v>
      </c>
      <c r="M17" t="s">
        <v>43</v>
      </c>
      <c r="N17" t="s">
        <v>43</v>
      </c>
      <c r="O17" t="s">
        <v>43</v>
      </c>
      <c r="P17" t="s">
        <v>427</v>
      </c>
      <c r="Q17">
        <v>2025</v>
      </c>
      <c r="S17" t="s">
        <v>169</v>
      </c>
      <c r="T17" t="s">
        <v>159</v>
      </c>
      <c r="U17" t="s">
        <v>27</v>
      </c>
    </row>
    <row r="18" spans="1:21" x14ac:dyDescent="0.25">
      <c r="A18" t="s">
        <v>95</v>
      </c>
      <c r="B18" t="s">
        <v>95</v>
      </c>
      <c r="D18" s="27">
        <v>45950</v>
      </c>
      <c r="E18" s="27">
        <v>44915</v>
      </c>
      <c r="F18">
        <v>13.115368044</v>
      </c>
      <c r="I18" t="s">
        <v>70</v>
      </c>
      <c r="J18">
        <v>20190614</v>
      </c>
      <c r="K18" t="s">
        <v>43</v>
      </c>
      <c r="L18" t="s">
        <v>785</v>
      </c>
      <c r="M18" t="s">
        <v>43</v>
      </c>
      <c r="N18" t="s">
        <v>43</v>
      </c>
      <c r="O18" t="s">
        <v>43</v>
      </c>
      <c r="P18" t="s">
        <v>401</v>
      </c>
      <c r="S18" t="s">
        <v>785</v>
      </c>
      <c r="T18" t="s">
        <v>134</v>
      </c>
      <c r="U18" t="s">
        <v>27</v>
      </c>
    </row>
    <row r="19" spans="1:21" x14ac:dyDescent="0.25">
      <c r="A19" t="s">
        <v>269</v>
      </c>
      <c r="B19" t="s">
        <v>269</v>
      </c>
      <c r="I19" t="s">
        <v>71</v>
      </c>
      <c r="J19">
        <v>20210629</v>
      </c>
      <c r="K19" t="s">
        <v>43</v>
      </c>
      <c r="L19" t="s">
        <v>569</v>
      </c>
      <c r="M19" t="s">
        <v>43</v>
      </c>
      <c r="N19" t="s">
        <v>43</v>
      </c>
      <c r="O19" t="s">
        <v>43</v>
      </c>
      <c r="P19" t="s">
        <v>268</v>
      </c>
      <c r="S19" t="s">
        <v>569</v>
      </c>
      <c r="T19" t="s">
        <v>134</v>
      </c>
      <c r="U19" t="s">
        <v>23</v>
      </c>
    </row>
    <row r="20" spans="1:21" x14ac:dyDescent="0.25">
      <c r="A20" t="s">
        <v>270</v>
      </c>
      <c r="B20" t="s">
        <v>270</v>
      </c>
      <c r="I20" t="s">
        <v>71</v>
      </c>
      <c r="J20">
        <v>20210629</v>
      </c>
      <c r="K20" t="s">
        <v>43</v>
      </c>
      <c r="L20" t="s">
        <v>785</v>
      </c>
      <c r="M20" t="s">
        <v>43</v>
      </c>
      <c r="N20" t="s">
        <v>43</v>
      </c>
      <c r="O20" t="s">
        <v>43</v>
      </c>
      <c r="P20" t="s">
        <v>268</v>
      </c>
      <c r="S20" t="s">
        <v>785</v>
      </c>
      <c r="T20" t="s">
        <v>134</v>
      </c>
      <c r="U20" t="s">
        <v>27</v>
      </c>
    </row>
    <row r="21" spans="1:21" x14ac:dyDescent="0.25">
      <c r="A21" t="s">
        <v>273</v>
      </c>
      <c r="B21" t="s">
        <v>273</v>
      </c>
      <c r="C21">
        <v>7.6345538089999998</v>
      </c>
      <c r="D21" s="27">
        <v>45948</v>
      </c>
      <c r="E21" s="27">
        <v>45856</v>
      </c>
      <c r="F21">
        <v>12.146295070000001</v>
      </c>
      <c r="H21">
        <v>100.005</v>
      </c>
      <c r="I21" t="s">
        <v>72</v>
      </c>
      <c r="J21">
        <v>20230621</v>
      </c>
      <c r="K21" t="s">
        <v>43</v>
      </c>
      <c r="L21" t="s">
        <v>43</v>
      </c>
      <c r="M21" t="s">
        <v>169</v>
      </c>
      <c r="N21" t="s">
        <v>43</v>
      </c>
      <c r="O21" t="s">
        <v>43</v>
      </c>
      <c r="P21" t="s">
        <v>271</v>
      </c>
      <c r="S21" t="s">
        <v>169</v>
      </c>
      <c r="T21" t="s">
        <v>155</v>
      </c>
      <c r="U21" t="s">
        <v>27</v>
      </c>
    </row>
    <row r="22" spans="1:21" x14ac:dyDescent="0.25">
      <c r="A22" t="s">
        <v>433</v>
      </c>
      <c r="B22" t="s">
        <v>433</v>
      </c>
      <c r="C22">
        <v>9.7609554579999998</v>
      </c>
      <c r="D22" s="27">
        <v>45945</v>
      </c>
      <c r="E22" s="27">
        <v>46583</v>
      </c>
      <c r="F22">
        <v>11.965117028</v>
      </c>
      <c r="G22">
        <v>292.44528924999997</v>
      </c>
      <c r="H22">
        <v>100.1764</v>
      </c>
      <c r="I22" t="s">
        <v>73</v>
      </c>
      <c r="J22">
        <v>20250711</v>
      </c>
      <c r="K22" t="s">
        <v>169</v>
      </c>
      <c r="L22" t="s">
        <v>43</v>
      </c>
      <c r="M22" t="s">
        <v>43</v>
      </c>
      <c r="N22" t="s">
        <v>43</v>
      </c>
      <c r="O22" t="s">
        <v>43</v>
      </c>
      <c r="P22" t="s">
        <v>74</v>
      </c>
      <c r="Q22">
        <v>2025</v>
      </c>
      <c r="S22" t="s">
        <v>169</v>
      </c>
      <c r="T22" t="s">
        <v>159</v>
      </c>
      <c r="U22" t="s">
        <v>27</v>
      </c>
    </row>
    <row r="23" spans="1:21" x14ac:dyDescent="0.25">
      <c r="A23" t="s">
        <v>436</v>
      </c>
      <c r="B23" t="s">
        <v>436</v>
      </c>
      <c r="C23">
        <v>9.7128119650000002</v>
      </c>
      <c r="D23" s="27">
        <v>46047</v>
      </c>
      <c r="E23" s="27">
        <v>46585</v>
      </c>
      <c r="F23">
        <v>12</v>
      </c>
      <c r="G23">
        <v>286.84214280899999</v>
      </c>
      <c r="H23">
        <v>100.1116</v>
      </c>
      <c r="I23" t="s">
        <v>73</v>
      </c>
      <c r="J23">
        <v>20250717</v>
      </c>
      <c r="K23" t="s">
        <v>169</v>
      </c>
      <c r="L23" t="s">
        <v>43</v>
      </c>
      <c r="M23" t="s">
        <v>43</v>
      </c>
      <c r="N23" t="s">
        <v>43</v>
      </c>
      <c r="O23" t="s">
        <v>43</v>
      </c>
      <c r="P23" t="s">
        <v>74</v>
      </c>
      <c r="Q23">
        <v>2025</v>
      </c>
      <c r="S23" t="s">
        <v>169</v>
      </c>
      <c r="T23" t="s">
        <v>159</v>
      </c>
      <c r="U23" t="s">
        <v>27</v>
      </c>
    </row>
    <row r="24" spans="1:21" x14ac:dyDescent="0.25">
      <c r="A24" t="s">
        <v>438</v>
      </c>
      <c r="B24" t="s">
        <v>438</v>
      </c>
      <c r="H24">
        <v>100.26390000000001</v>
      </c>
      <c r="I24" t="s">
        <v>74</v>
      </c>
      <c r="J24">
        <v>20250904</v>
      </c>
      <c r="K24" t="s">
        <v>27</v>
      </c>
      <c r="L24" t="s">
        <v>43</v>
      </c>
      <c r="M24" t="s">
        <v>43</v>
      </c>
      <c r="N24" t="s">
        <v>43</v>
      </c>
      <c r="O24" t="s">
        <v>43</v>
      </c>
      <c r="P24" t="s">
        <v>74</v>
      </c>
      <c r="Q24">
        <v>2025</v>
      </c>
      <c r="S24" t="s">
        <v>27</v>
      </c>
      <c r="T24" t="s">
        <v>159</v>
      </c>
      <c r="U24" t="s">
        <v>27</v>
      </c>
    </row>
    <row r="25" spans="1:21" x14ac:dyDescent="0.25">
      <c r="A25" t="s">
        <v>444</v>
      </c>
      <c r="B25" t="s">
        <v>444</v>
      </c>
      <c r="C25">
        <v>9.6493193579999996</v>
      </c>
      <c r="D25" s="27">
        <v>46042</v>
      </c>
      <c r="E25" s="27">
        <v>46575</v>
      </c>
      <c r="F25">
        <v>12.439621595</v>
      </c>
      <c r="G25">
        <v>304.51113927799997</v>
      </c>
      <c r="H25">
        <v>100.605</v>
      </c>
      <c r="I25" t="s">
        <v>75</v>
      </c>
      <c r="J25">
        <v>20250707</v>
      </c>
      <c r="K25" t="s">
        <v>43</v>
      </c>
      <c r="L25" t="s">
        <v>43</v>
      </c>
      <c r="M25" t="s">
        <v>169</v>
      </c>
      <c r="N25" t="s">
        <v>43</v>
      </c>
      <c r="O25" t="s">
        <v>43</v>
      </c>
      <c r="P25" t="s">
        <v>442</v>
      </c>
      <c r="Q25">
        <v>2025</v>
      </c>
      <c r="S25" t="s">
        <v>169</v>
      </c>
      <c r="T25" t="s">
        <v>155</v>
      </c>
      <c r="U25" t="s">
        <v>27</v>
      </c>
    </row>
    <row r="26" spans="1:21" x14ac:dyDescent="0.25">
      <c r="A26" t="s">
        <v>276</v>
      </c>
      <c r="B26" t="s">
        <v>276</v>
      </c>
      <c r="D26" s="27">
        <v>46037</v>
      </c>
      <c r="E26" s="27">
        <v>46583</v>
      </c>
      <c r="I26" t="s">
        <v>76</v>
      </c>
      <c r="J26">
        <v>20171206</v>
      </c>
      <c r="K26" t="s">
        <v>43</v>
      </c>
      <c r="L26" t="s">
        <v>139</v>
      </c>
      <c r="M26" t="s">
        <v>43</v>
      </c>
      <c r="N26" t="s">
        <v>43</v>
      </c>
      <c r="O26" t="s">
        <v>43</v>
      </c>
      <c r="P26" t="s">
        <v>275</v>
      </c>
      <c r="S26" t="s">
        <v>139</v>
      </c>
      <c r="T26" t="s">
        <v>134</v>
      </c>
      <c r="U26" t="s">
        <v>19</v>
      </c>
    </row>
    <row r="27" spans="1:21" x14ac:dyDescent="0.25">
      <c r="A27" t="s">
        <v>277</v>
      </c>
      <c r="B27" t="s">
        <v>277</v>
      </c>
      <c r="D27" s="27">
        <v>46037</v>
      </c>
      <c r="E27" s="27">
        <v>46583</v>
      </c>
      <c r="I27" t="s">
        <v>76</v>
      </c>
      <c r="J27">
        <v>20171206</v>
      </c>
      <c r="K27" t="s">
        <v>43</v>
      </c>
      <c r="L27" t="s">
        <v>908</v>
      </c>
      <c r="M27" t="s">
        <v>43</v>
      </c>
      <c r="N27" t="s">
        <v>43</v>
      </c>
      <c r="O27" t="s">
        <v>43</v>
      </c>
      <c r="P27" t="s">
        <v>275</v>
      </c>
      <c r="S27" t="s">
        <v>908</v>
      </c>
      <c r="T27" t="s">
        <v>134</v>
      </c>
      <c r="U27" t="s">
        <v>27</v>
      </c>
    </row>
    <row r="28" spans="1:21" x14ac:dyDescent="0.25">
      <c r="A28" t="s">
        <v>278</v>
      </c>
      <c r="B28" t="s">
        <v>278</v>
      </c>
      <c r="D28" s="27">
        <v>46037</v>
      </c>
      <c r="E28" s="27">
        <v>46583</v>
      </c>
      <c r="I28" t="s">
        <v>76</v>
      </c>
      <c r="J28">
        <v>20171206</v>
      </c>
      <c r="K28" t="s">
        <v>43</v>
      </c>
      <c r="L28" t="s">
        <v>1389</v>
      </c>
      <c r="M28" t="s">
        <v>43</v>
      </c>
      <c r="N28" t="s">
        <v>43</v>
      </c>
      <c r="O28" t="s">
        <v>43</v>
      </c>
      <c r="P28" t="s">
        <v>275</v>
      </c>
      <c r="S28" t="s">
        <v>1389</v>
      </c>
      <c r="T28" t="s">
        <v>134</v>
      </c>
      <c r="U28" t="s">
        <v>31</v>
      </c>
    </row>
    <row r="29" spans="1:21" x14ac:dyDescent="0.25">
      <c r="A29" t="s">
        <v>280</v>
      </c>
      <c r="B29" t="s">
        <v>280</v>
      </c>
      <c r="C29">
        <v>1.8178755099999999</v>
      </c>
      <c r="D29" s="27">
        <v>45950</v>
      </c>
      <c r="E29" s="27">
        <v>45127</v>
      </c>
      <c r="F29">
        <v>12.49097385</v>
      </c>
      <c r="G29">
        <v>438.95855389399998</v>
      </c>
      <c r="H29">
        <v>90.311599999999999</v>
      </c>
      <c r="I29" t="s">
        <v>77</v>
      </c>
      <c r="J29">
        <v>20210720</v>
      </c>
      <c r="K29" t="s">
        <v>43</v>
      </c>
      <c r="L29" t="s">
        <v>43</v>
      </c>
      <c r="M29" t="s">
        <v>43</v>
      </c>
      <c r="N29" t="s">
        <v>169</v>
      </c>
      <c r="O29" t="s">
        <v>43</v>
      </c>
      <c r="P29" t="s">
        <v>76</v>
      </c>
      <c r="Q29">
        <v>2021</v>
      </c>
      <c r="S29" t="s">
        <v>169</v>
      </c>
      <c r="T29" t="s">
        <v>622</v>
      </c>
      <c r="U29" t="s">
        <v>27</v>
      </c>
    </row>
    <row r="30" spans="1:21" x14ac:dyDescent="0.25">
      <c r="A30" t="s">
        <v>283</v>
      </c>
      <c r="B30" t="s">
        <v>283</v>
      </c>
      <c r="C30">
        <v>2.0454133149999998</v>
      </c>
      <c r="D30" s="27">
        <v>45950</v>
      </c>
      <c r="E30" s="27">
        <v>45311</v>
      </c>
      <c r="F30">
        <v>10.888076460000001</v>
      </c>
      <c r="G30">
        <v>554.98041726899999</v>
      </c>
      <c r="H30">
        <v>87.153800000000004</v>
      </c>
      <c r="I30" t="s">
        <v>77</v>
      </c>
      <c r="J30">
        <v>20211119</v>
      </c>
      <c r="K30" t="s">
        <v>43</v>
      </c>
      <c r="L30" t="s">
        <v>43</v>
      </c>
      <c r="M30" t="s">
        <v>43</v>
      </c>
      <c r="N30" t="s">
        <v>169</v>
      </c>
      <c r="O30" t="s">
        <v>43</v>
      </c>
      <c r="P30" t="s">
        <v>76</v>
      </c>
      <c r="Q30">
        <v>2021</v>
      </c>
      <c r="S30" t="s">
        <v>169</v>
      </c>
      <c r="T30" t="s">
        <v>622</v>
      </c>
      <c r="U30" t="s">
        <v>27</v>
      </c>
    </row>
    <row r="31" spans="1:21" x14ac:dyDescent="0.25">
      <c r="A31" t="s">
        <v>285</v>
      </c>
      <c r="B31" t="s">
        <v>285</v>
      </c>
      <c r="C31">
        <v>2.9825430509999999</v>
      </c>
      <c r="D31" s="27">
        <v>45950</v>
      </c>
      <c r="E31" s="27">
        <v>44911</v>
      </c>
      <c r="F31">
        <v>15.174783342</v>
      </c>
      <c r="G31">
        <v>323.02062487400002</v>
      </c>
      <c r="H31">
        <v>88.414400000000001</v>
      </c>
      <c r="I31" t="s">
        <v>77</v>
      </c>
      <c r="J31">
        <v>20201216</v>
      </c>
      <c r="K31" t="s">
        <v>43</v>
      </c>
      <c r="L31" t="s">
        <v>43</v>
      </c>
      <c r="M31" t="s">
        <v>43</v>
      </c>
      <c r="N31" t="s">
        <v>169</v>
      </c>
      <c r="O31" t="s">
        <v>43</v>
      </c>
      <c r="P31" t="s">
        <v>76</v>
      </c>
      <c r="Q31">
        <v>2020</v>
      </c>
      <c r="S31" t="s">
        <v>169</v>
      </c>
      <c r="T31" t="s">
        <v>622</v>
      </c>
      <c r="U31" t="s">
        <v>27</v>
      </c>
    </row>
    <row r="32" spans="1:21" x14ac:dyDescent="0.25">
      <c r="A32" t="s">
        <v>447</v>
      </c>
      <c r="B32" t="s">
        <v>447</v>
      </c>
      <c r="C32">
        <v>9.5236410809999992</v>
      </c>
      <c r="D32" s="27">
        <v>46037</v>
      </c>
      <c r="E32" s="27">
        <v>46583</v>
      </c>
      <c r="F32">
        <v>13.427808184</v>
      </c>
      <c r="G32">
        <v>296.80928519600002</v>
      </c>
      <c r="H32">
        <v>100.1067</v>
      </c>
      <c r="I32" t="s">
        <v>76</v>
      </c>
      <c r="J32">
        <v>20250627</v>
      </c>
      <c r="K32" t="s">
        <v>43</v>
      </c>
      <c r="L32" t="s">
        <v>43</v>
      </c>
      <c r="M32" t="s">
        <v>763</v>
      </c>
      <c r="N32" t="s">
        <v>43</v>
      </c>
      <c r="O32" t="s">
        <v>43</v>
      </c>
      <c r="P32" t="s">
        <v>275</v>
      </c>
      <c r="Q32">
        <v>2025</v>
      </c>
      <c r="S32" t="s">
        <v>763</v>
      </c>
      <c r="T32" t="s">
        <v>155</v>
      </c>
      <c r="U32" t="s">
        <v>27</v>
      </c>
    </row>
    <row r="33" spans="1:21" x14ac:dyDescent="0.25">
      <c r="A33" t="s">
        <v>449</v>
      </c>
      <c r="B33" t="s">
        <v>449</v>
      </c>
      <c r="C33">
        <v>10.153623946</v>
      </c>
      <c r="D33" s="27">
        <v>46037</v>
      </c>
      <c r="E33" s="27">
        <v>46583</v>
      </c>
      <c r="F33">
        <v>8.4523948620000002</v>
      </c>
      <c r="G33">
        <v>579.82288345400002</v>
      </c>
      <c r="H33">
        <v>101.1726</v>
      </c>
      <c r="I33" t="s">
        <v>76</v>
      </c>
      <c r="J33">
        <v>20250627</v>
      </c>
      <c r="K33" t="s">
        <v>43</v>
      </c>
      <c r="L33" t="s">
        <v>43</v>
      </c>
      <c r="M33" t="s">
        <v>179</v>
      </c>
      <c r="N33" t="s">
        <v>43</v>
      </c>
      <c r="O33" t="s">
        <v>43</v>
      </c>
      <c r="P33" t="s">
        <v>275</v>
      </c>
      <c r="Q33">
        <v>2025</v>
      </c>
      <c r="S33" t="s">
        <v>179</v>
      </c>
      <c r="T33" t="s">
        <v>155</v>
      </c>
      <c r="U33" t="s">
        <v>31</v>
      </c>
    </row>
    <row r="34" spans="1:21" x14ac:dyDescent="0.25">
      <c r="A34" t="s">
        <v>287</v>
      </c>
      <c r="B34" t="s">
        <v>287</v>
      </c>
      <c r="D34" s="27">
        <v>45945</v>
      </c>
      <c r="E34" s="27">
        <v>43845</v>
      </c>
      <c r="I34" t="s">
        <v>82</v>
      </c>
      <c r="J34">
        <v>20171130</v>
      </c>
      <c r="K34" t="s">
        <v>43</v>
      </c>
      <c r="L34" t="s">
        <v>722</v>
      </c>
      <c r="M34" t="s">
        <v>43</v>
      </c>
      <c r="N34" t="s">
        <v>43</v>
      </c>
      <c r="O34" t="s">
        <v>43</v>
      </c>
      <c r="P34" t="s">
        <v>286</v>
      </c>
      <c r="S34" t="s">
        <v>722</v>
      </c>
      <c r="T34" t="s">
        <v>134</v>
      </c>
      <c r="U34" t="s">
        <v>23</v>
      </c>
    </row>
    <row r="35" spans="1:21" x14ac:dyDescent="0.25">
      <c r="A35" t="s">
        <v>289</v>
      </c>
      <c r="B35" t="s">
        <v>289</v>
      </c>
      <c r="C35">
        <v>0.93416698399999998</v>
      </c>
      <c r="D35" s="27">
        <v>45945</v>
      </c>
      <c r="E35" s="27">
        <v>45031</v>
      </c>
      <c r="F35">
        <v>14.153221007000001</v>
      </c>
      <c r="G35">
        <v>270.60898652700001</v>
      </c>
      <c r="H35">
        <v>96.346999999999994</v>
      </c>
      <c r="I35" t="s">
        <v>82</v>
      </c>
      <c r="J35">
        <v>20210331</v>
      </c>
      <c r="K35" t="s">
        <v>43</v>
      </c>
      <c r="L35" t="s">
        <v>43</v>
      </c>
      <c r="M35" t="s">
        <v>43</v>
      </c>
      <c r="N35" t="s">
        <v>27</v>
      </c>
      <c r="O35" t="s">
        <v>43</v>
      </c>
      <c r="P35" t="s">
        <v>286</v>
      </c>
      <c r="Q35">
        <v>2021</v>
      </c>
      <c r="S35" t="s">
        <v>27</v>
      </c>
      <c r="T35" t="s">
        <v>622</v>
      </c>
      <c r="U35" t="s">
        <v>27</v>
      </c>
    </row>
    <row r="36" spans="1:21" x14ac:dyDescent="0.25">
      <c r="A36" t="s">
        <v>292</v>
      </c>
      <c r="B36" t="s">
        <v>292</v>
      </c>
      <c r="D36" s="27">
        <v>45957</v>
      </c>
      <c r="E36" s="27">
        <v>44039</v>
      </c>
      <c r="I36" t="s">
        <v>82</v>
      </c>
      <c r="J36">
        <v>20180612</v>
      </c>
      <c r="K36" t="s">
        <v>169</v>
      </c>
      <c r="L36" t="s">
        <v>43</v>
      </c>
      <c r="M36" t="s">
        <v>43</v>
      </c>
      <c r="N36" t="s">
        <v>43</v>
      </c>
      <c r="O36" t="s">
        <v>43</v>
      </c>
      <c r="P36" t="s">
        <v>286</v>
      </c>
      <c r="S36" t="s">
        <v>169</v>
      </c>
      <c r="T36" t="s">
        <v>159</v>
      </c>
      <c r="U36" t="s">
        <v>27</v>
      </c>
    </row>
    <row r="37" spans="1:21" x14ac:dyDescent="0.25">
      <c r="A37" t="s">
        <v>295</v>
      </c>
      <c r="B37" t="s">
        <v>295</v>
      </c>
      <c r="D37" s="27">
        <v>45945</v>
      </c>
      <c r="E37" s="27">
        <v>46030</v>
      </c>
      <c r="I37" t="s">
        <v>85</v>
      </c>
      <c r="J37">
        <v>20180111</v>
      </c>
      <c r="K37" t="s">
        <v>43</v>
      </c>
      <c r="L37" t="s">
        <v>1534</v>
      </c>
      <c r="M37" t="s">
        <v>43</v>
      </c>
      <c r="N37" t="s">
        <v>43</v>
      </c>
      <c r="O37" t="s">
        <v>43</v>
      </c>
      <c r="P37" t="s">
        <v>293</v>
      </c>
      <c r="S37" t="s">
        <v>1534</v>
      </c>
      <c r="T37" t="s">
        <v>134</v>
      </c>
      <c r="U37" t="s">
        <v>23</v>
      </c>
    </row>
    <row r="38" spans="1:21" x14ac:dyDescent="0.25">
      <c r="A38" t="s">
        <v>451</v>
      </c>
      <c r="B38" t="s">
        <v>451</v>
      </c>
      <c r="C38">
        <v>0</v>
      </c>
      <c r="G38">
        <v>309.69887851300001</v>
      </c>
      <c r="H38">
        <v>100.375</v>
      </c>
      <c r="I38" t="s">
        <v>85</v>
      </c>
      <c r="J38">
        <v>20250808</v>
      </c>
      <c r="K38" t="s">
        <v>43</v>
      </c>
      <c r="L38" t="s">
        <v>43</v>
      </c>
      <c r="M38" t="s">
        <v>169</v>
      </c>
      <c r="N38" t="s">
        <v>43</v>
      </c>
      <c r="O38" t="s">
        <v>43</v>
      </c>
      <c r="P38" t="s">
        <v>293</v>
      </c>
      <c r="Q38">
        <v>2025</v>
      </c>
      <c r="S38" t="s">
        <v>169</v>
      </c>
      <c r="T38" t="s">
        <v>155</v>
      </c>
      <c r="U38" t="s">
        <v>27</v>
      </c>
    </row>
    <row r="39" spans="1:21" x14ac:dyDescent="0.25">
      <c r="A39" t="s">
        <v>297</v>
      </c>
      <c r="B39" t="s">
        <v>297</v>
      </c>
      <c r="D39" s="27">
        <v>45945</v>
      </c>
      <c r="E39" s="27">
        <v>46492</v>
      </c>
      <c r="I39" t="s">
        <v>85</v>
      </c>
      <c r="J39">
        <v>20230328</v>
      </c>
      <c r="K39" t="s">
        <v>169</v>
      </c>
      <c r="L39" t="s">
        <v>43</v>
      </c>
      <c r="M39" t="s">
        <v>43</v>
      </c>
      <c r="N39" t="s">
        <v>43</v>
      </c>
      <c r="O39" t="s">
        <v>43</v>
      </c>
      <c r="P39" t="s">
        <v>293</v>
      </c>
      <c r="S39" t="s">
        <v>169</v>
      </c>
      <c r="T39" t="s">
        <v>159</v>
      </c>
      <c r="U39" t="s">
        <v>27</v>
      </c>
    </row>
    <row r="40" spans="1:21" x14ac:dyDescent="0.25">
      <c r="A40" t="s">
        <v>455</v>
      </c>
      <c r="B40" t="s">
        <v>455</v>
      </c>
      <c r="C40">
        <v>9.4551500869999998</v>
      </c>
      <c r="D40" s="27">
        <v>45945</v>
      </c>
      <c r="E40" s="27">
        <v>46492</v>
      </c>
      <c r="F40">
        <v>12.059184072000001</v>
      </c>
      <c r="G40">
        <v>373.26459901700002</v>
      </c>
      <c r="H40">
        <v>100.43770000000001</v>
      </c>
      <c r="I40" t="s">
        <v>85</v>
      </c>
      <c r="J40">
        <v>20250522</v>
      </c>
      <c r="K40" t="s">
        <v>169</v>
      </c>
      <c r="L40" t="s">
        <v>43</v>
      </c>
      <c r="M40" t="s">
        <v>43</v>
      </c>
      <c r="N40" t="s">
        <v>43</v>
      </c>
      <c r="O40" t="s">
        <v>43</v>
      </c>
      <c r="P40" t="s">
        <v>293</v>
      </c>
      <c r="Q40">
        <v>2025</v>
      </c>
      <c r="S40" t="s">
        <v>169</v>
      </c>
      <c r="T40" t="s">
        <v>159</v>
      </c>
      <c r="U40" t="s">
        <v>27</v>
      </c>
    </row>
    <row r="41" spans="1:21" x14ac:dyDescent="0.25">
      <c r="A41" t="s">
        <v>403</v>
      </c>
      <c r="B41" t="s">
        <v>403</v>
      </c>
      <c r="D41" s="27">
        <v>45948</v>
      </c>
      <c r="E41" s="27">
        <v>46193</v>
      </c>
      <c r="F41">
        <v>10.447593546</v>
      </c>
      <c r="I41" t="s">
        <v>86</v>
      </c>
      <c r="J41">
        <v>20240620</v>
      </c>
      <c r="K41" t="s">
        <v>43</v>
      </c>
      <c r="L41" t="s">
        <v>43</v>
      </c>
      <c r="M41" t="s">
        <v>169</v>
      </c>
      <c r="N41" t="s">
        <v>43</v>
      </c>
      <c r="O41" t="s">
        <v>43</v>
      </c>
      <c r="P41" t="s">
        <v>402</v>
      </c>
      <c r="S41" t="s">
        <v>169</v>
      </c>
      <c r="T41" t="s">
        <v>155</v>
      </c>
      <c r="U41" t="s">
        <v>27</v>
      </c>
    </row>
    <row r="42" spans="1:21" x14ac:dyDescent="0.25">
      <c r="A42" t="s">
        <v>300</v>
      </c>
      <c r="B42" t="s">
        <v>300</v>
      </c>
      <c r="D42" s="27">
        <v>45952</v>
      </c>
      <c r="E42" s="27">
        <v>46213</v>
      </c>
      <c r="I42" t="s">
        <v>87</v>
      </c>
      <c r="J42">
        <v>20220330</v>
      </c>
      <c r="K42" t="s">
        <v>179</v>
      </c>
      <c r="L42" t="s">
        <v>43</v>
      </c>
      <c r="M42" t="s">
        <v>43</v>
      </c>
      <c r="N42" t="s">
        <v>43</v>
      </c>
      <c r="O42" t="s">
        <v>43</v>
      </c>
      <c r="P42" t="s">
        <v>298</v>
      </c>
      <c r="S42" t="s">
        <v>179</v>
      </c>
      <c r="T42" t="s">
        <v>159</v>
      </c>
      <c r="U42" t="s">
        <v>31</v>
      </c>
    </row>
    <row r="43" spans="1:21" x14ac:dyDescent="0.25">
      <c r="A43" t="s">
        <v>458</v>
      </c>
      <c r="B43" t="s">
        <v>458</v>
      </c>
      <c r="C43">
        <v>9.6821099719999992</v>
      </c>
      <c r="D43" s="27">
        <v>46042</v>
      </c>
      <c r="E43" s="27">
        <v>46585</v>
      </c>
      <c r="F43">
        <v>12</v>
      </c>
      <c r="G43">
        <v>272.36224625900002</v>
      </c>
      <c r="H43">
        <v>100.4378</v>
      </c>
      <c r="I43" t="s">
        <v>86</v>
      </c>
      <c r="J43">
        <v>20250717</v>
      </c>
      <c r="K43" t="s">
        <v>43</v>
      </c>
      <c r="L43" t="s">
        <v>43</v>
      </c>
      <c r="M43" t="s">
        <v>169</v>
      </c>
      <c r="N43" t="s">
        <v>43</v>
      </c>
      <c r="O43" t="s">
        <v>43</v>
      </c>
      <c r="P43" t="s">
        <v>456</v>
      </c>
      <c r="Q43">
        <v>2025</v>
      </c>
      <c r="S43" t="s">
        <v>169</v>
      </c>
      <c r="T43" t="s">
        <v>155</v>
      </c>
      <c r="U43" t="s">
        <v>27</v>
      </c>
    </row>
    <row r="44" spans="1:21" x14ac:dyDescent="0.25">
      <c r="A44" t="s">
        <v>303</v>
      </c>
      <c r="B44" t="s">
        <v>303</v>
      </c>
      <c r="C44">
        <v>4.1666666999999998E-2</v>
      </c>
      <c r="D44" s="27">
        <v>45884</v>
      </c>
      <c r="F44">
        <v>91.081592334069995</v>
      </c>
      <c r="G44">
        <v>-12848.935524024</v>
      </c>
      <c r="H44">
        <v>99.433490000000006</v>
      </c>
      <c r="I44" t="s">
        <v>88</v>
      </c>
      <c r="J44">
        <v>20170214</v>
      </c>
      <c r="K44" t="s">
        <v>23</v>
      </c>
      <c r="L44" t="s">
        <v>43</v>
      </c>
      <c r="M44" t="s">
        <v>43</v>
      </c>
      <c r="N44" t="s">
        <v>623</v>
      </c>
      <c r="O44" t="s">
        <v>43</v>
      </c>
      <c r="P44" t="s">
        <v>88</v>
      </c>
      <c r="R44" t="s">
        <v>1524</v>
      </c>
      <c r="S44" t="s">
        <v>23</v>
      </c>
      <c r="T44" t="s">
        <v>159</v>
      </c>
      <c r="U44" t="s">
        <v>23</v>
      </c>
    </row>
    <row r="45" spans="1:21" x14ac:dyDescent="0.25">
      <c r="A45" t="s">
        <v>304</v>
      </c>
      <c r="B45" t="s">
        <v>304</v>
      </c>
      <c r="D45" s="27">
        <v>45947</v>
      </c>
      <c r="E45" s="27">
        <v>46183</v>
      </c>
      <c r="I45" t="s">
        <v>89</v>
      </c>
      <c r="J45">
        <v>20230509</v>
      </c>
      <c r="K45" t="s">
        <v>43</v>
      </c>
      <c r="L45" t="s">
        <v>43</v>
      </c>
      <c r="M45" t="s">
        <v>23</v>
      </c>
      <c r="N45" t="s">
        <v>43</v>
      </c>
      <c r="O45" t="s">
        <v>43</v>
      </c>
      <c r="P45" t="s">
        <v>218</v>
      </c>
      <c r="S45" t="s">
        <v>23</v>
      </c>
      <c r="T45" t="s">
        <v>155</v>
      </c>
      <c r="U45" t="s">
        <v>23</v>
      </c>
    </row>
    <row r="46" spans="1:21" x14ac:dyDescent="0.25">
      <c r="A46" t="s">
        <v>305</v>
      </c>
      <c r="B46" t="s">
        <v>305</v>
      </c>
      <c r="D46" s="27">
        <v>45947</v>
      </c>
      <c r="E46" s="27">
        <v>46183</v>
      </c>
      <c r="I46" t="s">
        <v>89</v>
      </c>
      <c r="J46">
        <v>20230509</v>
      </c>
      <c r="K46" t="s">
        <v>43</v>
      </c>
      <c r="L46" t="s">
        <v>43</v>
      </c>
      <c r="M46" t="s">
        <v>169</v>
      </c>
      <c r="N46" t="s">
        <v>43</v>
      </c>
      <c r="O46" t="s">
        <v>43</v>
      </c>
      <c r="P46" t="s">
        <v>218</v>
      </c>
      <c r="S46" t="s">
        <v>169</v>
      </c>
      <c r="T46" t="s">
        <v>155</v>
      </c>
      <c r="U46" t="s">
        <v>27</v>
      </c>
    </row>
    <row r="47" spans="1:21" x14ac:dyDescent="0.25">
      <c r="A47" t="s">
        <v>460</v>
      </c>
      <c r="B47" t="s">
        <v>460</v>
      </c>
      <c r="C47">
        <v>6.8201394960000004</v>
      </c>
      <c r="D47" s="27">
        <v>45947</v>
      </c>
      <c r="E47" s="27">
        <v>46183</v>
      </c>
      <c r="F47">
        <v>18.039226973000002</v>
      </c>
      <c r="G47">
        <v>170.27213296900001</v>
      </c>
      <c r="H47">
        <v>100.5538</v>
      </c>
      <c r="I47" t="s">
        <v>89</v>
      </c>
      <c r="J47">
        <v>20250610</v>
      </c>
      <c r="K47" t="s">
        <v>43</v>
      </c>
      <c r="L47" t="s">
        <v>43</v>
      </c>
      <c r="M47" t="s">
        <v>573</v>
      </c>
      <c r="N47" t="s">
        <v>43</v>
      </c>
      <c r="O47" t="s">
        <v>43</v>
      </c>
      <c r="P47" t="s">
        <v>218</v>
      </c>
      <c r="Q47">
        <v>2025</v>
      </c>
      <c r="S47" t="s">
        <v>573</v>
      </c>
      <c r="T47" t="s">
        <v>155</v>
      </c>
      <c r="U47" t="s">
        <v>23</v>
      </c>
    </row>
    <row r="48" spans="1:21" x14ac:dyDescent="0.25">
      <c r="A48" t="s">
        <v>463</v>
      </c>
      <c r="B48" t="s">
        <v>463</v>
      </c>
      <c r="C48">
        <v>8.1636230609999991</v>
      </c>
      <c r="F48">
        <v>18</v>
      </c>
      <c r="G48">
        <v>215.11399019199999</v>
      </c>
      <c r="H48">
        <v>100.53870000000001</v>
      </c>
      <c r="I48" t="s">
        <v>90</v>
      </c>
      <c r="J48">
        <v>20250703</v>
      </c>
      <c r="K48" t="s">
        <v>23</v>
      </c>
      <c r="L48" t="s">
        <v>43</v>
      </c>
      <c r="M48" t="s">
        <v>43</v>
      </c>
      <c r="N48" t="s">
        <v>43</v>
      </c>
      <c r="O48" t="s">
        <v>43</v>
      </c>
      <c r="P48" t="s">
        <v>461</v>
      </c>
      <c r="Q48">
        <v>2025</v>
      </c>
      <c r="S48" t="s">
        <v>23</v>
      </c>
      <c r="T48" t="s">
        <v>159</v>
      </c>
      <c r="U48" t="s">
        <v>23</v>
      </c>
    </row>
    <row r="49" spans="1:21" x14ac:dyDescent="0.25">
      <c r="A49" t="s">
        <v>307</v>
      </c>
      <c r="B49" t="s">
        <v>307</v>
      </c>
      <c r="D49" s="27">
        <v>45950</v>
      </c>
      <c r="E49" s="27">
        <v>46562</v>
      </c>
      <c r="I49" t="s">
        <v>94</v>
      </c>
      <c r="J49">
        <v>20230622</v>
      </c>
      <c r="K49" t="s">
        <v>43</v>
      </c>
      <c r="L49" t="s">
        <v>43</v>
      </c>
      <c r="M49" t="s">
        <v>23</v>
      </c>
      <c r="N49" t="s">
        <v>43</v>
      </c>
      <c r="O49" t="s">
        <v>43</v>
      </c>
      <c r="P49" t="s">
        <v>306</v>
      </c>
      <c r="S49" t="s">
        <v>23</v>
      </c>
      <c r="T49" t="s">
        <v>155</v>
      </c>
      <c r="U49" t="s">
        <v>23</v>
      </c>
    </row>
    <row r="50" spans="1:21" x14ac:dyDescent="0.25">
      <c r="A50" t="s">
        <v>308</v>
      </c>
      <c r="B50" t="s">
        <v>308</v>
      </c>
      <c r="D50" s="27">
        <v>45950</v>
      </c>
      <c r="E50" s="27">
        <v>46562</v>
      </c>
      <c r="I50" t="s">
        <v>94</v>
      </c>
      <c r="J50">
        <v>20230622</v>
      </c>
      <c r="K50" t="s">
        <v>43</v>
      </c>
      <c r="L50" t="s">
        <v>43</v>
      </c>
      <c r="M50" t="s">
        <v>169</v>
      </c>
      <c r="N50" t="s">
        <v>43</v>
      </c>
      <c r="O50" t="s">
        <v>43</v>
      </c>
      <c r="P50" t="s">
        <v>306</v>
      </c>
      <c r="S50" t="s">
        <v>169</v>
      </c>
      <c r="T50" t="s">
        <v>155</v>
      </c>
      <c r="U50" t="s">
        <v>27</v>
      </c>
    </row>
    <row r="51" spans="1:21" x14ac:dyDescent="0.25">
      <c r="A51" t="s">
        <v>465</v>
      </c>
      <c r="B51" t="s">
        <v>465</v>
      </c>
      <c r="C51">
        <v>9.6833797579999992</v>
      </c>
      <c r="D51" s="27">
        <v>45950</v>
      </c>
      <c r="E51" s="27">
        <v>46562</v>
      </c>
      <c r="F51">
        <v>12.042431496000001</v>
      </c>
      <c r="G51">
        <v>273.01740239499998</v>
      </c>
      <c r="H51">
        <v>100.501</v>
      </c>
      <c r="I51" t="s">
        <v>94</v>
      </c>
      <c r="J51">
        <v>20250624</v>
      </c>
      <c r="K51" t="s">
        <v>43</v>
      </c>
      <c r="L51" t="s">
        <v>43</v>
      </c>
      <c r="M51" t="s">
        <v>169</v>
      </c>
      <c r="N51" t="s">
        <v>43</v>
      </c>
      <c r="O51" t="s">
        <v>43</v>
      </c>
      <c r="P51" t="s">
        <v>306</v>
      </c>
      <c r="Q51">
        <v>2025</v>
      </c>
      <c r="S51" t="s">
        <v>169</v>
      </c>
      <c r="T51" t="s">
        <v>155</v>
      </c>
      <c r="U51" t="s">
        <v>27</v>
      </c>
    </row>
    <row r="52" spans="1:21" x14ac:dyDescent="0.25">
      <c r="A52" t="s">
        <v>467</v>
      </c>
      <c r="B52" t="s">
        <v>467</v>
      </c>
      <c r="C52">
        <v>9.6333087769999999</v>
      </c>
      <c r="F52">
        <v>12</v>
      </c>
      <c r="G52">
        <v>268.34362305799999</v>
      </c>
      <c r="H52">
        <v>100.38890000000001</v>
      </c>
      <c r="I52" t="s">
        <v>96</v>
      </c>
      <c r="J52">
        <v>20250807</v>
      </c>
      <c r="K52" t="s">
        <v>43</v>
      </c>
      <c r="L52" t="s">
        <v>43</v>
      </c>
      <c r="M52" t="s">
        <v>169</v>
      </c>
      <c r="N52" t="s">
        <v>43</v>
      </c>
      <c r="O52" t="s">
        <v>43</v>
      </c>
      <c r="P52" t="s">
        <v>306</v>
      </c>
      <c r="Q52">
        <v>2025</v>
      </c>
      <c r="S52" t="s">
        <v>169</v>
      </c>
      <c r="T52" t="s">
        <v>155</v>
      </c>
      <c r="U52" t="s">
        <v>27</v>
      </c>
    </row>
    <row r="53" spans="1:21" x14ac:dyDescent="0.25">
      <c r="A53" t="s">
        <v>84</v>
      </c>
      <c r="B53" t="s">
        <v>84</v>
      </c>
      <c r="I53" t="s">
        <v>97</v>
      </c>
      <c r="J53">
        <v>20171109</v>
      </c>
      <c r="K53" t="s">
        <v>19</v>
      </c>
      <c r="L53" t="s">
        <v>43</v>
      </c>
      <c r="M53" t="s">
        <v>43</v>
      </c>
      <c r="N53" t="s">
        <v>43</v>
      </c>
      <c r="O53" t="s">
        <v>43</v>
      </c>
      <c r="P53" t="s">
        <v>83</v>
      </c>
      <c r="S53" t="s">
        <v>19</v>
      </c>
      <c r="T53" t="s">
        <v>159</v>
      </c>
      <c r="U53" t="s">
        <v>19</v>
      </c>
    </row>
    <row r="54" spans="1:21" x14ac:dyDescent="0.25">
      <c r="A54" t="s">
        <v>245</v>
      </c>
      <c r="B54" t="s">
        <v>245</v>
      </c>
      <c r="I54" t="s">
        <v>97</v>
      </c>
      <c r="J54">
        <v>20171109</v>
      </c>
      <c r="K54" t="s">
        <v>763</v>
      </c>
      <c r="L54" t="s">
        <v>43</v>
      </c>
      <c r="M54" t="s">
        <v>43</v>
      </c>
      <c r="N54" t="s">
        <v>43</v>
      </c>
      <c r="O54" t="s">
        <v>43</v>
      </c>
      <c r="P54" t="s">
        <v>83</v>
      </c>
      <c r="S54" t="s">
        <v>763</v>
      </c>
      <c r="T54" t="s">
        <v>159</v>
      </c>
      <c r="U54" t="s">
        <v>27</v>
      </c>
    </row>
    <row r="55" spans="1:21" x14ac:dyDescent="0.25">
      <c r="A55" t="s">
        <v>471</v>
      </c>
      <c r="B55" t="s">
        <v>471</v>
      </c>
      <c r="C55">
        <v>0</v>
      </c>
      <c r="D55" s="27">
        <v>45955</v>
      </c>
      <c r="E55" s="27">
        <v>45863</v>
      </c>
      <c r="G55">
        <v>190.34991227699999</v>
      </c>
      <c r="H55">
        <v>100.25</v>
      </c>
      <c r="I55" t="s">
        <v>98</v>
      </c>
      <c r="J55">
        <v>20250815</v>
      </c>
      <c r="K55" t="s">
        <v>43</v>
      </c>
      <c r="L55" t="s">
        <v>43</v>
      </c>
      <c r="M55" t="s">
        <v>23</v>
      </c>
      <c r="N55" t="s">
        <v>43</v>
      </c>
      <c r="O55" t="s">
        <v>43</v>
      </c>
      <c r="P55" t="s">
        <v>469</v>
      </c>
      <c r="Q55">
        <v>2025</v>
      </c>
      <c r="S55" t="s">
        <v>23</v>
      </c>
      <c r="T55" t="s">
        <v>155</v>
      </c>
      <c r="U55" t="s">
        <v>23</v>
      </c>
    </row>
    <row r="56" spans="1:21" x14ac:dyDescent="0.25">
      <c r="A56" t="s">
        <v>311</v>
      </c>
      <c r="B56" t="s">
        <v>311</v>
      </c>
      <c r="C56">
        <v>2.0965508439999998</v>
      </c>
      <c r="D56" s="27">
        <v>45945</v>
      </c>
      <c r="E56" s="27">
        <v>45282</v>
      </c>
      <c r="F56">
        <v>13.816868712</v>
      </c>
      <c r="G56">
        <v>460.17720283800003</v>
      </c>
      <c r="H56">
        <v>93.195400000000006</v>
      </c>
      <c r="I56" t="s">
        <v>99</v>
      </c>
      <c r="J56">
        <v>20211222</v>
      </c>
      <c r="K56" t="s">
        <v>43</v>
      </c>
      <c r="L56" t="s">
        <v>43</v>
      </c>
      <c r="M56" t="s">
        <v>43</v>
      </c>
      <c r="N56" t="s">
        <v>169</v>
      </c>
      <c r="O56" t="s">
        <v>43</v>
      </c>
      <c r="P56" t="s">
        <v>309</v>
      </c>
      <c r="Q56">
        <v>2021</v>
      </c>
      <c r="S56" t="s">
        <v>169</v>
      </c>
      <c r="T56" t="s">
        <v>622</v>
      </c>
      <c r="U56" t="s">
        <v>27</v>
      </c>
    </row>
    <row r="57" spans="1:21" x14ac:dyDescent="0.25">
      <c r="A57" t="s">
        <v>474</v>
      </c>
      <c r="B57" t="s">
        <v>474</v>
      </c>
      <c r="C57">
        <v>9.6645991589999998</v>
      </c>
      <c r="D57" s="27">
        <v>46039</v>
      </c>
      <c r="E57" s="27">
        <v>46585</v>
      </c>
      <c r="F57">
        <v>12</v>
      </c>
      <c r="G57">
        <v>338.07629414299998</v>
      </c>
      <c r="H57">
        <v>100.3888</v>
      </c>
      <c r="I57" t="s">
        <v>100</v>
      </c>
      <c r="J57">
        <v>20250730</v>
      </c>
      <c r="K57" t="s">
        <v>43</v>
      </c>
      <c r="L57" t="s">
        <v>43</v>
      </c>
      <c r="M57" t="s">
        <v>169</v>
      </c>
      <c r="N57" t="s">
        <v>43</v>
      </c>
      <c r="O57" t="s">
        <v>43</v>
      </c>
      <c r="P57" t="s">
        <v>472</v>
      </c>
      <c r="Q57">
        <v>2025</v>
      </c>
      <c r="S57" t="s">
        <v>169</v>
      </c>
      <c r="T57" t="s">
        <v>155</v>
      </c>
      <c r="U57" t="s">
        <v>27</v>
      </c>
    </row>
    <row r="58" spans="1:21" x14ac:dyDescent="0.25">
      <c r="A58" t="s">
        <v>478</v>
      </c>
      <c r="B58" t="s">
        <v>478</v>
      </c>
      <c r="C58">
        <v>9.6223237469999994</v>
      </c>
      <c r="F58">
        <v>12</v>
      </c>
      <c r="G58">
        <v>268.43380288200001</v>
      </c>
      <c r="H58">
        <v>100.38890000000001</v>
      </c>
      <c r="I58" t="s">
        <v>101</v>
      </c>
      <c r="J58">
        <v>20250821</v>
      </c>
      <c r="K58" t="s">
        <v>43</v>
      </c>
      <c r="L58" t="s">
        <v>43</v>
      </c>
      <c r="M58" t="s">
        <v>169</v>
      </c>
      <c r="N58" t="s">
        <v>43</v>
      </c>
      <c r="O58" t="s">
        <v>43</v>
      </c>
      <c r="P58" t="s">
        <v>476</v>
      </c>
      <c r="Q58">
        <v>2025</v>
      </c>
      <c r="S58" t="s">
        <v>169</v>
      </c>
      <c r="T58" t="s">
        <v>155</v>
      </c>
      <c r="U58" t="s">
        <v>27</v>
      </c>
    </row>
    <row r="59" spans="1:21" x14ac:dyDescent="0.25">
      <c r="A59" t="s">
        <v>314</v>
      </c>
      <c r="B59" t="s">
        <v>314</v>
      </c>
      <c r="D59" s="27">
        <v>45950</v>
      </c>
      <c r="E59" s="27">
        <v>46588</v>
      </c>
      <c r="I59" t="s">
        <v>102</v>
      </c>
      <c r="J59">
        <v>20230627</v>
      </c>
      <c r="K59" t="s">
        <v>23</v>
      </c>
      <c r="L59" t="s">
        <v>43</v>
      </c>
      <c r="M59" t="s">
        <v>43</v>
      </c>
      <c r="N59" t="s">
        <v>43</v>
      </c>
      <c r="O59" t="s">
        <v>43</v>
      </c>
      <c r="P59" t="s">
        <v>312</v>
      </c>
      <c r="S59" t="s">
        <v>23</v>
      </c>
      <c r="T59" t="s">
        <v>159</v>
      </c>
      <c r="U59" t="s">
        <v>23</v>
      </c>
    </row>
    <row r="60" spans="1:21" x14ac:dyDescent="0.25">
      <c r="A60" t="s">
        <v>316</v>
      </c>
      <c r="B60" t="s">
        <v>316</v>
      </c>
      <c r="D60" s="27">
        <v>45950</v>
      </c>
      <c r="E60" s="27">
        <v>46588</v>
      </c>
      <c r="I60" t="s">
        <v>102</v>
      </c>
      <c r="J60">
        <v>20230627</v>
      </c>
      <c r="K60" t="s">
        <v>169</v>
      </c>
      <c r="L60" t="s">
        <v>43</v>
      </c>
      <c r="M60" t="s">
        <v>43</v>
      </c>
      <c r="N60" t="s">
        <v>43</v>
      </c>
      <c r="O60" t="s">
        <v>43</v>
      </c>
      <c r="P60" t="s">
        <v>312</v>
      </c>
      <c r="S60" t="s">
        <v>169</v>
      </c>
      <c r="T60" t="s">
        <v>159</v>
      </c>
      <c r="U60" t="s">
        <v>27</v>
      </c>
    </row>
    <row r="61" spans="1:21" x14ac:dyDescent="0.25">
      <c r="A61" t="s">
        <v>482</v>
      </c>
      <c r="B61" t="s">
        <v>482</v>
      </c>
      <c r="C61">
        <v>9.1879788100000006</v>
      </c>
      <c r="D61" s="27">
        <v>45950</v>
      </c>
      <c r="E61" s="27">
        <v>46588</v>
      </c>
      <c r="F61">
        <v>18.156844153000002</v>
      </c>
      <c r="G61">
        <v>198.69777555900001</v>
      </c>
      <c r="H61">
        <v>100.0881</v>
      </c>
      <c r="I61" t="s">
        <v>102</v>
      </c>
      <c r="J61">
        <v>20250721</v>
      </c>
      <c r="K61" t="s">
        <v>43</v>
      </c>
      <c r="L61" t="s">
        <v>43</v>
      </c>
      <c r="M61" t="s">
        <v>23</v>
      </c>
      <c r="N61" t="s">
        <v>43</v>
      </c>
      <c r="O61" t="s">
        <v>43</v>
      </c>
      <c r="P61" t="s">
        <v>312</v>
      </c>
      <c r="Q61">
        <v>2025</v>
      </c>
      <c r="S61" t="s">
        <v>23</v>
      </c>
      <c r="T61" t="s">
        <v>155</v>
      </c>
      <c r="U61" t="s">
        <v>23</v>
      </c>
    </row>
    <row r="62" spans="1:21" x14ac:dyDescent="0.25">
      <c r="A62" t="s">
        <v>486</v>
      </c>
      <c r="B62" t="s">
        <v>486</v>
      </c>
      <c r="C62">
        <v>9.7230353770000004</v>
      </c>
      <c r="D62" s="27">
        <v>45950</v>
      </c>
      <c r="E62" s="27">
        <v>46588</v>
      </c>
      <c r="F62">
        <v>12.168320554999999</v>
      </c>
      <c r="G62">
        <v>303.31823173599997</v>
      </c>
      <c r="H62">
        <v>100.1129</v>
      </c>
      <c r="I62" t="s">
        <v>102</v>
      </c>
      <c r="J62">
        <v>20250721</v>
      </c>
      <c r="K62" t="s">
        <v>43</v>
      </c>
      <c r="L62" t="s">
        <v>43</v>
      </c>
      <c r="M62" t="s">
        <v>169</v>
      </c>
      <c r="N62" t="s">
        <v>43</v>
      </c>
      <c r="O62" t="s">
        <v>43</v>
      </c>
      <c r="P62" t="s">
        <v>312</v>
      </c>
      <c r="Q62">
        <v>2025</v>
      </c>
      <c r="S62" t="s">
        <v>169</v>
      </c>
      <c r="T62" t="s">
        <v>155</v>
      </c>
      <c r="U62" t="s">
        <v>27</v>
      </c>
    </row>
    <row r="63" spans="1:21" x14ac:dyDescent="0.25">
      <c r="A63" t="s">
        <v>488</v>
      </c>
      <c r="B63" t="s">
        <v>488</v>
      </c>
      <c r="C63">
        <v>10.331832274</v>
      </c>
      <c r="D63" s="27">
        <v>45950</v>
      </c>
      <c r="E63" s="27">
        <v>46588</v>
      </c>
      <c r="F63">
        <v>8.1759714890000001</v>
      </c>
      <c r="G63">
        <v>595.77876941299996</v>
      </c>
      <c r="H63">
        <v>100.262</v>
      </c>
      <c r="I63" t="s">
        <v>102</v>
      </c>
      <c r="J63">
        <v>20250721</v>
      </c>
      <c r="K63" t="s">
        <v>43</v>
      </c>
      <c r="L63" t="s">
        <v>43</v>
      </c>
      <c r="M63" t="s">
        <v>179</v>
      </c>
      <c r="N63" t="s">
        <v>43</v>
      </c>
      <c r="O63" t="s">
        <v>43</v>
      </c>
      <c r="P63" t="s">
        <v>312</v>
      </c>
      <c r="Q63">
        <v>2025</v>
      </c>
      <c r="S63" t="s">
        <v>179</v>
      </c>
      <c r="T63" t="s">
        <v>155</v>
      </c>
      <c r="U63" t="s">
        <v>31</v>
      </c>
    </row>
    <row r="64" spans="1:21" x14ac:dyDescent="0.25">
      <c r="A64" t="s">
        <v>319</v>
      </c>
      <c r="B64" t="s">
        <v>319</v>
      </c>
      <c r="D64" s="27">
        <v>45956</v>
      </c>
      <c r="E64" s="27">
        <v>45225</v>
      </c>
      <c r="F64">
        <v>7.9995050240000003</v>
      </c>
      <c r="I64" t="s">
        <v>104</v>
      </c>
      <c r="J64">
        <v>20211103</v>
      </c>
      <c r="K64" t="s">
        <v>43</v>
      </c>
      <c r="L64" t="s">
        <v>43</v>
      </c>
      <c r="M64" t="s">
        <v>43</v>
      </c>
      <c r="N64" t="s">
        <v>169</v>
      </c>
      <c r="O64" t="s">
        <v>43</v>
      </c>
      <c r="P64" t="s">
        <v>317</v>
      </c>
      <c r="S64" t="s">
        <v>169</v>
      </c>
      <c r="T64" t="s">
        <v>622</v>
      </c>
      <c r="U64" t="s">
        <v>27</v>
      </c>
    </row>
    <row r="65" spans="1:21" x14ac:dyDescent="0.25">
      <c r="A65" t="s">
        <v>322</v>
      </c>
      <c r="B65" t="s">
        <v>322</v>
      </c>
      <c r="D65" s="27">
        <v>45956</v>
      </c>
      <c r="E65" s="27">
        <v>45225</v>
      </c>
      <c r="F65">
        <v>3.3245518340000002</v>
      </c>
      <c r="I65" t="s">
        <v>104</v>
      </c>
      <c r="J65">
        <v>20211103</v>
      </c>
      <c r="K65" t="s">
        <v>43</v>
      </c>
      <c r="L65" t="s">
        <v>43</v>
      </c>
      <c r="M65" t="s">
        <v>43</v>
      </c>
      <c r="N65" t="s">
        <v>179</v>
      </c>
      <c r="O65" t="s">
        <v>43</v>
      </c>
      <c r="P65" t="s">
        <v>317</v>
      </c>
      <c r="S65" t="s">
        <v>179</v>
      </c>
      <c r="T65" t="s">
        <v>622</v>
      </c>
      <c r="U65" t="s">
        <v>31</v>
      </c>
    </row>
    <row r="66" spans="1:21" x14ac:dyDescent="0.25">
      <c r="A66" t="s">
        <v>325</v>
      </c>
      <c r="B66" t="s">
        <v>325</v>
      </c>
      <c r="D66" s="27">
        <v>45948</v>
      </c>
      <c r="E66" s="27">
        <v>46586</v>
      </c>
      <c r="I66" t="s">
        <v>104</v>
      </c>
      <c r="J66">
        <v>20230906</v>
      </c>
      <c r="K66" t="s">
        <v>169</v>
      </c>
      <c r="L66" t="s">
        <v>43</v>
      </c>
      <c r="M66" t="s">
        <v>43</v>
      </c>
      <c r="N66" t="s">
        <v>43</v>
      </c>
      <c r="O66" t="s">
        <v>43</v>
      </c>
      <c r="P66" t="s">
        <v>323</v>
      </c>
      <c r="S66" t="s">
        <v>169</v>
      </c>
      <c r="T66" t="s">
        <v>159</v>
      </c>
      <c r="U66" t="s">
        <v>27</v>
      </c>
    </row>
    <row r="67" spans="1:21" x14ac:dyDescent="0.25">
      <c r="A67" t="s">
        <v>1056</v>
      </c>
      <c r="B67" t="s">
        <v>1056</v>
      </c>
      <c r="C67">
        <v>5.258315981</v>
      </c>
      <c r="D67" s="27">
        <v>45959</v>
      </c>
      <c r="E67" s="27">
        <v>45045</v>
      </c>
      <c r="F67">
        <v>8.8787906270000008</v>
      </c>
      <c r="G67">
        <v>384.33989878400001</v>
      </c>
      <c r="H67">
        <v>100.2865</v>
      </c>
      <c r="I67" t="s">
        <v>104</v>
      </c>
      <c r="J67">
        <v>20210528</v>
      </c>
      <c r="K67" t="s">
        <v>169</v>
      </c>
      <c r="L67" t="s">
        <v>43</v>
      </c>
      <c r="M67" t="s">
        <v>43</v>
      </c>
      <c r="N67" t="s">
        <v>43</v>
      </c>
      <c r="O67" t="s">
        <v>43</v>
      </c>
      <c r="P67" t="s">
        <v>323</v>
      </c>
      <c r="Q67">
        <v>2021</v>
      </c>
      <c r="S67" t="s">
        <v>169</v>
      </c>
      <c r="T67" t="s">
        <v>159</v>
      </c>
      <c r="U67" t="s">
        <v>27</v>
      </c>
    </row>
    <row r="68" spans="1:21" x14ac:dyDescent="0.25">
      <c r="A68" t="s">
        <v>328</v>
      </c>
      <c r="B68" t="s">
        <v>328</v>
      </c>
      <c r="D68" s="27">
        <v>45945</v>
      </c>
      <c r="E68" s="27">
        <v>46583</v>
      </c>
      <c r="I68" t="s">
        <v>108</v>
      </c>
      <c r="J68">
        <v>20230817</v>
      </c>
      <c r="K68" t="s">
        <v>23</v>
      </c>
      <c r="L68" t="s">
        <v>43</v>
      </c>
      <c r="M68" t="s">
        <v>43</v>
      </c>
      <c r="N68" t="s">
        <v>43</v>
      </c>
      <c r="O68" t="s">
        <v>43</v>
      </c>
      <c r="P68" t="s">
        <v>326</v>
      </c>
      <c r="S68" t="s">
        <v>23</v>
      </c>
      <c r="T68" t="s">
        <v>159</v>
      </c>
      <c r="U68" t="s">
        <v>23</v>
      </c>
    </row>
    <row r="69" spans="1:21" x14ac:dyDescent="0.25">
      <c r="A69" t="s">
        <v>330</v>
      </c>
      <c r="B69" t="s">
        <v>330</v>
      </c>
      <c r="D69" s="27">
        <v>45945</v>
      </c>
      <c r="E69" s="27">
        <v>46583</v>
      </c>
      <c r="I69" t="s">
        <v>108</v>
      </c>
      <c r="J69">
        <v>20230817</v>
      </c>
      <c r="K69" t="s">
        <v>169</v>
      </c>
      <c r="L69" t="s">
        <v>43</v>
      </c>
      <c r="M69" t="s">
        <v>43</v>
      </c>
      <c r="N69" t="s">
        <v>43</v>
      </c>
      <c r="O69" t="s">
        <v>43</v>
      </c>
      <c r="P69" t="s">
        <v>326</v>
      </c>
      <c r="S69" t="s">
        <v>169</v>
      </c>
      <c r="T69" t="s">
        <v>159</v>
      </c>
      <c r="U69" t="s">
        <v>27</v>
      </c>
    </row>
    <row r="70" spans="1:21" x14ac:dyDescent="0.25">
      <c r="A70" t="s">
        <v>331</v>
      </c>
      <c r="B70" t="s">
        <v>331</v>
      </c>
      <c r="D70" s="27">
        <v>45951</v>
      </c>
      <c r="E70" s="27">
        <v>46498</v>
      </c>
      <c r="I70" t="s">
        <v>108</v>
      </c>
      <c r="J70">
        <v>20230328</v>
      </c>
      <c r="K70" t="s">
        <v>43</v>
      </c>
      <c r="L70" t="s">
        <v>43</v>
      </c>
      <c r="M70" t="s">
        <v>169</v>
      </c>
      <c r="N70" t="s">
        <v>43</v>
      </c>
      <c r="O70" t="s">
        <v>43</v>
      </c>
      <c r="P70" t="s">
        <v>326</v>
      </c>
      <c r="S70" t="s">
        <v>169</v>
      </c>
      <c r="T70" t="s">
        <v>155</v>
      </c>
      <c r="U70" t="s">
        <v>27</v>
      </c>
    </row>
    <row r="71" spans="1:21" x14ac:dyDescent="0.25">
      <c r="A71" t="s">
        <v>491</v>
      </c>
      <c r="B71" t="s">
        <v>491</v>
      </c>
      <c r="C71">
        <v>9.7071232500000004</v>
      </c>
      <c r="D71" s="27">
        <v>46037</v>
      </c>
      <c r="E71" s="27">
        <v>46583</v>
      </c>
      <c r="F71">
        <v>12</v>
      </c>
      <c r="G71">
        <v>339.92338966400001</v>
      </c>
      <c r="H71">
        <v>100.2393</v>
      </c>
      <c r="I71" t="s">
        <v>109</v>
      </c>
      <c r="J71">
        <v>20250703</v>
      </c>
      <c r="K71" t="s">
        <v>43</v>
      </c>
      <c r="L71" t="s">
        <v>43</v>
      </c>
      <c r="M71" t="s">
        <v>169</v>
      </c>
      <c r="N71" t="s">
        <v>43</v>
      </c>
      <c r="O71" t="s">
        <v>43</v>
      </c>
      <c r="P71" t="s">
        <v>489</v>
      </c>
      <c r="Q71">
        <v>2025</v>
      </c>
      <c r="S71" t="s">
        <v>169</v>
      </c>
      <c r="T71" t="s">
        <v>155</v>
      </c>
      <c r="U71" t="s">
        <v>27</v>
      </c>
    </row>
    <row r="72" spans="1:21" x14ac:dyDescent="0.25">
      <c r="A72" t="s">
        <v>493</v>
      </c>
      <c r="B72" t="s">
        <v>493</v>
      </c>
      <c r="C72">
        <v>9.6372363389999993</v>
      </c>
      <c r="D72" s="27">
        <v>45946</v>
      </c>
      <c r="E72" s="27">
        <v>46584</v>
      </c>
      <c r="F72">
        <v>12.970114323000001</v>
      </c>
      <c r="G72">
        <v>299.11142048900001</v>
      </c>
      <c r="H72">
        <v>100.7623</v>
      </c>
      <c r="I72" t="s">
        <v>109</v>
      </c>
      <c r="J72">
        <v>20250707</v>
      </c>
      <c r="K72" t="s">
        <v>43</v>
      </c>
      <c r="L72" t="s">
        <v>43</v>
      </c>
      <c r="M72" t="s">
        <v>27</v>
      </c>
      <c r="N72" t="s">
        <v>43</v>
      </c>
      <c r="O72" t="s">
        <v>43</v>
      </c>
      <c r="P72" t="s">
        <v>489</v>
      </c>
      <c r="Q72">
        <v>2025</v>
      </c>
      <c r="S72" t="s">
        <v>27</v>
      </c>
      <c r="T72" t="s">
        <v>155</v>
      </c>
      <c r="U72" t="s">
        <v>27</v>
      </c>
    </row>
    <row r="73" spans="1:21" x14ac:dyDescent="0.25">
      <c r="A73" t="s">
        <v>495</v>
      </c>
      <c r="B73" t="s">
        <v>495</v>
      </c>
      <c r="C73">
        <v>7.6881911079999998</v>
      </c>
      <c r="D73" s="27">
        <v>46037</v>
      </c>
      <c r="E73" s="27">
        <v>46189</v>
      </c>
      <c r="F73">
        <v>11.57214546</v>
      </c>
      <c r="G73">
        <v>371.04704848799997</v>
      </c>
      <c r="H73">
        <v>100.6784</v>
      </c>
      <c r="I73" t="s">
        <v>109</v>
      </c>
      <c r="J73">
        <v>20250616</v>
      </c>
      <c r="K73" t="s">
        <v>43</v>
      </c>
      <c r="L73" t="s">
        <v>43</v>
      </c>
      <c r="M73" t="s">
        <v>169</v>
      </c>
      <c r="N73" t="s">
        <v>43</v>
      </c>
      <c r="O73" t="s">
        <v>43</v>
      </c>
      <c r="P73" t="s">
        <v>489</v>
      </c>
      <c r="Q73">
        <v>2025</v>
      </c>
      <c r="S73" t="s">
        <v>169</v>
      </c>
      <c r="T73" t="s">
        <v>155</v>
      </c>
      <c r="U73" t="s">
        <v>27</v>
      </c>
    </row>
    <row r="74" spans="1:21" x14ac:dyDescent="0.25">
      <c r="A74" t="s">
        <v>333</v>
      </c>
      <c r="B74" t="s">
        <v>333</v>
      </c>
      <c r="C74">
        <v>2.337350518</v>
      </c>
      <c r="D74" s="27">
        <v>45947</v>
      </c>
      <c r="E74" s="27">
        <v>43847</v>
      </c>
      <c r="F74">
        <v>38.541549265999997</v>
      </c>
      <c r="G74">
        <v>173.29034757700001</v>
      </c>
      <c r="H74">
        <v>100.4838</v>
      </c>
      <c r="I74" t="s">
        <v>110</v>
      </c>
      <c r="J74">
        <v>20171228</v>
      </c>
      <c r="K74" t="s">
        <v>43</v>
      </c>
      <c r="L74" t="s">
        <v>139</v>
      </c>
      <c r="M74" t="s">
        <v>43</v>
      </c>
      <c r="N74" t="s">
        <v>43</v>
      </c>
      <c r="O74" t="s">
        <v>43</v>
      </c>
      <c r="P74" t="s">
        <v>332</v>
      </c>
      <c r="S74" t="s">
        <v>139</v>
      </c>
      <c r="T74" t="s">
        <v>134</v>
      </c>
      <c r="U74" t="s">
        <v>19</v>
      </c>
    </row>
    <row r="75" spans="1:21" x14ac:dyDescent="0.25">
      <c r="A75" t="s">
        <v>336</v>
      </c>
      <c r="B75" t="s">
        <v>336</v>
      </c>
      <c r="D75" s="27">
        <v>45951</v>
      </c>
      <c r="E75" s="27">
        <v>46543</v>
      </c>
      <c r="I75" t="s">
        <v>111</v>
      </c>
      <c r="J75">
        <v>20230512</v>
      </c>
      <c r="K75" t="s">
        <v>43</v>
      </c>
      <c r="L75" t="s">
        <v>43</v>
      </c>
      <c r="M75" t="s">
        <v>23</v>
      </c>
      <c r="N75" t="s">
        <v>43</v>
      </c>
      <c r="O75" t="s">
        <v>43</v>
      </c>
      <c r="P75" t="s">
        <v>335</v>
      </c>
      <c r="S75" t="s">
        <v>23</v>
      </c>
      <c r="T75" t="s">
        <v>155</v>
      </c>
      <c r="U75" t="s">
        <v>23</v>
      </c>
    </row>
    <row r="76" spans="1:21" x14ac:dyDescent="0.25">
      <c r="A76" t="s">
        <v>497</v>
      </c>
      <c r="B76" t="s">
        <v>497</v>
      </c>
      <c r="C76">
        <v>9.1379108119999994</v>
      </c>
      <c r="D76" s="27">
        <v>45951</v>
      </c>
      <c r="E76" s="27">
        <v>46543</v>
      </c>
      <c r="F76">
        <v>18.548484375000001</v>
      </c>
      <c r="G76">
        <v>201.96637148799999</v>
      </c>
      <c r="H76">
        <v>100.9312</v>
      </c>
      <c r="I76" t="s">
        <v>111</v>
      </c>
      <c r="J76">
        <v>20250605</v>
      </c>
      <c r="K76" t="s">
        <v>43</v>
      </c>
      <c r="L76" t="s">
        <v>43</v>
      </c>
      <c r="M76" t="s">
        <v>573</v>
      </c>
      <c r="N76" t="s">
        <v>43</v>
      </c>
      <c r="O76" t="s">
        <v>43</v>
      </c>
      <c r="P76" t="s">
        <v>335</v>
      </c>
      <c r="Q76">
        <v>2025</v>
      </c>
      <c r="S76" t="s">
        <v>573</v>
      </c>
      <c r="T76" t="s">
        <v>155</v>
      </c>
      <c r="U76" t="s">
        <v>23</v>
      </c>
    </row>
    <row r="77" spans="1:21" x14ac:dyDescent="0.25">
      <c r="A77" t="s">
        <v>499</v>
      </c>
      <c r="B77" t="s">
        <v>499</v>
      </c>
      <c r="C77">
        <v>9.6369096289999998</v>
      </c>
      <c r="D77" s="27">
        <v>45951</v>
      </c>
      <c r="E77" s="27">
        <v>46543</v>
      </c>
      <c r="F77">
        <v>13.229201722000001</v>
      </c>
      <c r="G77">
        <v>307.19499216299999</v>
      </c>
      <c r="H77">
        <v>100.5496</v>
      </c>
      <c r="I77" t="s">
        <v>111</v>
      </c>
      <c r="J77">
        <v>20250605</v>
      </c>
      <c r="K77" t="s">
        <v>43</v>
      </c>
      <c r="L77" t="s">
        <v>43</v>
      </c>
      <c r="M77" t="s">
        <v>27</v>
      </c>
      <c r="N77" t="s">
        <v>43</v>
      </c>
      <c r="O77" t="s">
        <v>43</v>
      </c>
      <c r="P77" t="s">
        <v>335</v>
      </c>
      <c r="Q77">
        <v>2025</v>
      </c>
      <c r="S77" t="s">
        <v>27</v>
      </c>
      <c r="T77" t="s">
        <v>155</v>
      </c>
      <c r="U77" t="s">
        <v>27</v>
      </c>
    </row>
    <row r="78" spans="1:21" x14ac:dyDescent="0.25">
      <c r="A78" t="s">
        <v>338</v>
      </c>
      <c r="B78" t="s">
        <v>338</v>
      </c>
      <c r="C78">
        <v>6.4471528229999997</v>
      </c>
      <c r="D78" s="27">
        <v>45947</v>
      </c>
      <c r="E78" s="27">
        <v>45094</v>
      </c>
      <c r="F78">
        <v>7.8203245829999997</v>
      </c>
      <c r="G78">
        <v>607.81424426499996</v>
      </c>
      <c r="H78">
        <v>100.86709999999999</v>
      </c>
      <c r="I78" t="s">
        <v>112</v>
      </c>
      <c r="J78">
        <v>20210617</v>
      </c>
      <c r="K78" t="s">
        <v>179</v>
      </c>
      <c r="L78" t="s">
        <v>43</v>
      </c>
      <c r="M78" t="s">
        <v>43</v>
      </c>
      <c r="N78" t="s">
        <v>43</v>
      </c>
      <c r="O78" t="s">
        <v>43</v>
      </c>
      <c r="P78" t="s">
        <v>335</v>
      </c>
      <c r="Q78">
        <v>2021</v>
      </c>
      <c r="S78" t="s">
        <v>179</v>
      </c>
      <c r="T78" t="s">
        <v>159</v>
      </c>
      <c r="U78" t="s">
        <v>31</v>
      </c>
    </row>
    <row r="79" spans="1:21" x14ac:dyDescent="0.25">
      <c r="A79" t="s">
        <v>340</v>
      </c>
      <c r="B79" t="s">
        <v>340</v>
      </c>
      <c r="D79" s="27">
        <v>45955</v>
      </c>
      <c r="E79" s="27">
        <v>46549</v>
      </c>
      <c r="I79" t="s">
        <v>113</v>
      </c>
      <c r="J79">
        <v>20230608</v>
      </c>
      <c r="K79" t="s">
        <v>169</v>
      </c>
      <c r="L79" t="s">
        <v>43</v>
      </c>
      <c r="M79" t="s">
        <v>43</v>
      </c>
      <c r="N79" t="s">
        <v>43</v>
      </c>
      <c r="O79" t="s">
        <v>43</v>
      </c>
      <c r="P79" t="s">
        <v>339</v>
      </c>
      <c r="S79" t="s">
        <v>169</v>
      </c>
      <c r="T79" t="s">
        <v>159</v>
      </c>
      <c r="U79" t="s">
        <v>27</v>
      </c>
    </row>
    <row r="80" spans="1:21" x14ac:dyDescent="0.25">
      <c r="A80" t="s">
        <v>343</v>
      </c>
      <c r="B80" t="s">
        <v>343</v>
      </c>
      <c r="C80">
        <v>1.172408734</v>
      </c>
      <c r="D80" s="27">
        <v>45945</v>
      </c>
      <c r="E80" s="27">
        <v>44576</v>
      </c>
      <c r="F80">
        <v>34.628596612000003</v>
      </c>
      <c r="G80">
        <v>380.14373432100001</v>
      </c>
      <c r="H80">
        <v>96.985699999999994</v>
      </c>
      <c r="I80" t="s">
        <v>114</v>
      </c>
      <c r="J80">
        <v>20201208</v>
      </c>
      <c r="K80" t="s">
        <v>43</v>
      </c>
      <c r="L80" t="s">
        <v>43</v>
      </c>
      <c r="M80" t="s">
        <v>43</v>
      </c>
      <c r="N80" t="s">
        <v>763</v>
      </c>
      <c r="O80" t="s">
        <v>43</v>
      </c>
      <c r="P80" t="s">
        <v>341</v>
      </c>
      <c r="Q80">
        <v>2020</v>
      </c>
      <c r="S80" t="s">
        <v>763</v>
      </c>
      <c r="T80" t="s">
        <v>622</v>
      </c>
      <c r="U80" t="s">
        <v>27</v>
      </c>
    </row>
    <row r="81" spans="1:21" x14ac:dyDescent="0.25">
      <c r="A81" t="s">
        <v>345</v>
      </c>
      <c r="B81" t="s">
        <v>345</v>
      </c>
      <c r="C81">
        <v>0.38137399</v>
      </c>
      <c r="D81" s="27">
        <v>45945</v>
      </c>
      <c r="E81" s="27">
        <v>45122</v>
      </c>
      <c r="F81">
        <v>19.485840370999998</v>
      </c>
      <c r="G81">
        <v>487.78703912999998</v>
      </c>
      <c r="H81">
        <v>98.778099999999995</v>
      </c>
      <c r="I81" t="s">
        <v>124</v>
      </c>
      <c r="J81">
        <v>20210623</v>
      </c>
      <c r="K81" t="s">
        <v>43</v>
      </c>
      <c r="L81" t="s">
        <v>43</v>
      </c>
      <c r="M81" t="s">
        <v>43</v>
      </c>
      <c r="N81" t="s">
        <v>27</v>
      </c>
      <c r="O81" t="s">
        <v>43</v>
      </c>
      <c r="P81" t="s">
        <v>341</v>
      </c>
      <c r="Q81">
        <v>2021</v>
      </c>
      <c r="S81" t="s">
        <v>27</v>
      </c>
      <c r="T81" t="s">
        <v>622</v>
      </c>
      <c r="U81" t="s">
        <v>27</v>
      </c>
    </row>
    <row r="82" spans="1:21" x14ac:dyDescent="0.25">
      <c r="A82" t="s">
        <v>347</v>
      </c>
      <c r="B82" t="s">
        <v>347</v>
      </c>
      <c r="C82">
        <v>0.29289841999999999</v>
      </c>
      <c r="D82" s="27">
        <v>45945</v>
      </c>
      <c r="E82" s="27">
        <v>45031</v>
      </c>
      <c r="F82">
        <v>20.125623359999999</v>
      </c>
      <c r="G82">
        <v>455.54443935900002</v>
      </c>
      <c r="H82">
        <v>99.142899999999997</v>
      </c>
      <c r="I82" t="s">
        <v>114</v>
      </c>
      <c r="J82">
        <v>20210519</v>
      </c>
      <c r="K82" t="s">
        <v>43</v>
      </c>
      <c r="L82" t="s">
        <v>43</v>
      </c>
      <c r="M82" t="s">
        <v>43</v>
      </c>
      <c r="N82" t="s">
        <v>27</v>
      </c>
      <c r="O82" t="s">
        <v>43</v>
      </c>
      <c r="P82" t="s">
        <v>341</v>
      </c>
      <c r="Q82">
        <v>2021</v>
      </c>
      <c r="S82" t="s">
        <v>27</v>
      </c>
      <c r="T82" t="s">
        <v>622</v>
      </c>
      <c r="U82" t="s">
        <v>27</v>
      </c>
    </row>
    <row r="83" spans="1:21" x14ac:dyDescent="0.25">
      <c r="A83" t="s">
        <v>350</v>
      </c>
      <c r="B83" t="s">
        <v>350</v>
      </c>
      <c r="D83" s="27">
        <v>45948</v>
      </c>
      <c r="E83" s="27">
        <v>46586</v>
      </c>
      <c r="I83" t="s">
        <v>125</v>
      </c>
      <c r="J83">
        <v>20240418</v>
      </c>
      <c r="K83" t="s">
        <v>43</v>
      </c>
      <c r="L83" t="s">
        <v>43</v>
      </c>
      <c r="M83" t="s">
        <v>169</v>
      </c>
      <c r="N83" t="s">
        <v>43</v>
      </c>
      <c r="O83" t="s">
        <v>43</v>
      </c>
      <c r="P83" t="s">
        <v>348</v>
      </c>
      <c r="S83" t="s">
        <v>169</v>
      </c>
      <c r="T83" t="s">
        <v>155</v>
      </c>
      <c r="U83" t="s">
        <v>27</v>
      </c>
    </row>
    <row r="84" spans="1:21" x14ac:dyDescent="0.25">
      <c r="A84" t="s">
        <v>353</v>
      </c>
      <c r="B84" t="s">
        <v>353</v>
      </c>
      <c r="C84">
        <v>5.4661879100000004</v>
      </c>
      <c r="D84" s="27">
        <v>45950</v>
      </c>
      <c r="E84" s="27">
        <v>45677</v>
      </c>
      <c r="F84">
        <v>7.2437065729999999</v>
      </c>
      <c r="G84">
        <v>703.40569772699996</v>
      </c>
      <c r="H84">
        <v>101.07850000000001</v>
      </c>
      <c r="I84" t="s">
        <v>126</v>
      </c>
      <c r="J84">
        <v>20240311</v>
      </c>
      <c r="K84" t="s">
        <v>179</v>
      </c>
      <c r="L84" t="s">
        <v>43</v>
      </c>
      <c r="M84" t="s">
        <v>43</v>
      </c>
      <c r="N84" t="s">
        <v>43</v>
      </c>
      <c r="O84" t="s">
        <v>43</v>
      </c>
      <c r="P84" t="s">
        <v>351</v>
      </c>
      <c r="Q84">
        <v>2024</v>
      </c>
      <c r="S84" t="s">
        <v>179</v>
      </c>
      <c r="T84" t="s">
        <v>159</v>
      </c>
      <c r="U84" t="s">
        <v>31</v>
      </c>
    </row>
    <row r="85" spans="1:21" x14ac:dyDescent="0.25">
      <c r="A85" t="s">
        <v>355</v>
      </c>
      <c r="B85" t="s">
        <v>355</v>
      </c>
      <c r="C85">
        <v>4.638632833</v>
      </c>
      <c r="D85" s="27">
        <v>45950</v>
      </c>
      <c r="E85" s="27">
        <v>45677</v>
      </c>
      <c r="F85">
        <v>11.841798352</v>
      </c>
      <c r="G85">
        <v>363.07192100100002</v>
      </c>
      <c r="H85">
        <v>100.3075</v>
      </c>
      <c r="I85" t="s">
        <v>126</v>
      </c>
      <c r="J85">
        <v>20210120</v>
      </c>
      <c r="K85" t="s">
        <v>169</v>
      </c>
      <c r="L85" t="s">
        <v>43</v>
      </c>
      <c r="M85" t="s">
        <v>43</v>
      </c>
      <c r="N85" t="s">
        <v>43</v>
      </c>
      <c r="O85" t="s">
        <v>43</v>
      </c>
      <c r="P85" t="s">
        <v>351</v>
      </c>
      <c r="Q85">
        <v>2021</v>
      </c>
      <c r="S85" t="s">
        <v>169</v>
      </c>
      <c r="T85" t="s">
        <v>159</v>
      </c>
      <c r="U85" t="s">
        <v>27</v>
      </c>
    </row>
    <row r="86" spans="1:21" x14ac:dyDescent="0.25">
      <c r="A86" t="s">
        <v>357</v>
      </c>
      <c r="B86" t="s">
        <v>357</v>
      </c>
      <c r="I86" t="s">
        <v>127</v>
      </c>
      <c r="J86">
        <v>20230524</v>
      </c>
      <c r="K86" t="s">
        <v>169</v>
      </c>
      <c r="L86" t="s">
        <v>43</v>
      </c>
      <c r="M86" t="s">
        <v>43</v>
      </c>
      <c r="N86" t="s">
        <v>43</v>
      </c>
      <c r="O86" t="s">
        <v>43</v>
      </c>
      <c r="P86" t="s">
        <v>356</v>
      </c>
      <c r="S86" t="s">
        <v>169</v>
      </c>
      <c r="T86" t="s">
        <v>159</v>
      </c>
      <c r="U86" t="s">
        <v>27</v>
      </c>
    </row>
    <row r="87" spans="1:21" x14ac:dyDescent="0.25">
      <c r="A87" t="s">
        <v>359</v>
      </c>
      <c r="B87" t="s">
        <v>359</v>
      </c>
      <c r="C87">
        <v>0.305347806</v>
      </c>
      <c r="D87" s="27">
        <v>45889</v>
      </c>
      <c r="F87">
        <v>27.450300147450999</v>
      </c>
      <c r="G87">
        <v>1220.0108490580001</v>
      </c>
      <c r="H87">
        <v>97.178640000000001</v>
      </c>
      <c r="I87" t="s">
        <v>128</v>
      </c>
      <c r="J87">
        <v>20201113</v>
      </c>
      <c r="K87" t="s">
        <v>763</v>
      </c>
      <c r="L87" t="s">
        <v>43</v>
      </c>
      <c r="M87" t="s">
        <v>43</v>
      </c>
      <c r="N87" t="s">
        <v>43</v>
      </c>
      <c r="O87" t="s">
        <v>43</v>
      </c>
      <c r="P87" t="s">
        <v>128</v>
      </c>
      <c r="R87" t="s">
        <v>1522</v>
      </c>
      <c r="S87" t="s">
        <v>763</v>
      </c>
      <c r="T87" t="s">
        <v>159</v>
      </c>
      <c r="U87" t="s">
        <v>27</v>
      </c>
    </row>
    <row r="88" spans="1:21" x14ac:dyDescent="0.25">
      <c r="A88" t="s">
        <v>361</v>
      </c>
      <c r="B88" t="s">
        <v>361</v>
      </c>
      <c r="C88">
        <v>0.471702118</v>
      </c>
      <c r="D88" s="27">
        <v>45889</v>
      </c>
      <c r="F88">
        <v>27.450300147450999</v>
      </c>
      <c r="G88">
        <v>464.56250175600002</v>
      </c>
      <c r="H88">
        <v>97.783839999999998</v>
      </c>
      <c r="I88" t="s">
        <v>128</v>
      </c>
      <c r="J88">
        <v>20210127</v>
      </c>
      <c r="K88" t="s">
        <v>763</v>
      </c>
      <c r="L88" t="s">
        <v>43</v>
      </c>
      <c r="M88" t="s">
        <v>43</v>
      </c>
      <c r="N88" t="s">
        <v>43</v>
      </c>
      <c r="O88" t="s">
        <v>43</v>
      </c>
      <c r="P88" t="s">
        <v>128</v>
      </c>
      <c r="R88" t="s">
        <v>1522</v>
      </c>
      <c r="S88" t="s">
        <v>763</v>
      </c>
      <c r="T88" t="s">
        <v>159</v>
      </c>
      <c r="U88" t="s">
        <v>27</v>
      </c>
    </row>
    <row r="89" spans="1:21" x14ac:dyDescent="0.25">
      <c r="A89" t="s">
        <v>363</v>
      </c>
      <c r="B89" t="s">
        <v>363</v>
      </c>
      <c r="C89">
        <v>2.4303684319999999</v>
      </c>
      <c r="D89" s="27">
        <v>45889</v>
      </c>
      <c r="F89">
        <v>27.450300147450999</v>
      </c>
      <c r="G89">
        <v>585.29406518799999</v>
      </c>
      <c r="H89">
        <v>87.626225000000005</v>
      </c>
      <c r="I89" t="s">
        <v>128</v>
      </c>
      <c r="J89">
        <v>20210127</v>
      </c>
      <c r="K89" t="s">
        <v>763</v>
      </c>
      <c r="L89" t="s">
        <v>43</v>
      </c>
      <c r="M89" t="s">
        <v>43</v>
      </c>
      <c r="N89" t="s">
        <v>43</v>
      </c>
      <c r="O89" t="s">
        <v>43</v>
      </c>
      <c r="P89" t="s">
        <v>128</v>
      </c>
      <c r="R89" t="s">
        <v>1522</v>
      </c>
      <c r="S89" t="s">
        <v>763</v>
      </c>
      <c r="T89" t="s">
        <v>159</v>
      </c>
      <c r="U89" t="s">
        <v>27</v>
      </c>
    </row>
    <row r="90" spans="1:21" x14ac:dyDescent="0.25">
      <c r="A90" t="s">
        <v>366</v>
      </c>
      <c r="B90" t="s">
        <v>366</v>
      </c>
      <c r="D90" s="27">
        <v>45945</v>
      </c>
      <c r="E90" s="27">
        <v>46583</v>
      </c>
      <c r="I90" t="s">
        <v>129</v>
      </c>
      <c r="J90">
        <v>20220429</v>
      </c>
      <c r="K90" t="s">
        <v>573</v>
      </c>
      <c r="L90" t="s">
        <v>43</v>
      </c>
      <c r="M90" t="s">
        <v>43</v>
      </c>
      <c r="N90" t="s">
        <v>43</v>
      </c>
      <c r="O90" t="s">
        <v>43</v>
      </c>
      <c r="P90" t="s">
        <v>364</v>
      </c>
      <c r="S90" t="s">
        <v>573</v>
      </c>
      <c r="T90" t="s">
        <v>159</v>
      </c>
      <c r="U90" t="s">
        <v>23</v>
      </c>
    </row>
    <row r="91" spans="1:21" x14ac:dyDescent="0.25">
      <c r="A91" t="s">
        <v>368</v>
      </c>
      <c r="B91" t="s">
        <v>368</v>
      </c>
      <c r="D91" s="27">
        <v>45955</v>
      </c>
      <c r="E91" s="27">
        <v>46527</v>
      </c>
      <c r="I91" t="s">
        <v>130</v>
      </c>
      <c r="J91">
        <v>20230329</v>
      </c>
      <c r="K91" t="s">
        <v>43</v>
      </c>
      <c r="L91" t="s">
        <v>43</v>
      </c>
      <c r="M91" t="s">
        <v>169</v>
      </c>
      <c r="N91" t="s">
        <v>43</v>
      </c>
      <c r="O91" t="s">
        <v>43</v>
      </c>
      <c r="P91" t="s">
        <v>367</v>
      </c>
      <c r="S91" t="s">
        <v>169</v>
      </c>
      <c r="T91" t="s">
        <v>155</v>
      </c>
      <c r="U91" t="s">
        <v>27</v>
      </c>
    </row>
    <row r="92" spans="1:21" x14ac:dyDescent="0.25">
      <c r="A92" t="s">
        <v>501</v>
      </c>
      <c r="B92" t="s">
        <v>501</v>
      </c>
      <c r="C92">
        <v>9.7381478000000001</v>
      </c>
      <c r="D92" s="27">
        <v>45955</v>
      </c>
      <c r="E92" s="27">
        <v>46527</v>
      </c>
      <c r="F92">
        <v>11.890949524</v>
      </c>
      <c r="G92">
        <v>377.50389464900002</v>
      </c>
      <c r="H92">
        <v>100.86190000000001</v>
      </c>
      <c r="I92" t="s">
        <v>130</v>
      </c>
      <c r="J92">
        <v>20250520</v>
      </c>
      <c r="K92" t="s">
        <v>43</v>
      </c>
      <c r="L92" t="s">
        <v>43</v>
      </c>
      <c r="M92" t="s">
        <v>169</v>
      </c>
      <c r="N92" t="s">
        <v>43</v>
      </c>
      <c r="O92" t="s">
        <v>43</v>
      </c>
      <c r="P92" t="s">
        <v>367</v>
      </c>
      <c r="Q92">
        <v>2025</v>
      </c>
      <c r="S92" t="s">
        <v>169</v>
      </c>
      <c r="T92" t="s">
        <v>155</v>
      </c>
      <c r="U92" t="s">
        <v>27</v>
      </c>
    </row>
    <row r="93" spans="1:21" x14ac:dyDescent="0.25">
      <c r="A93" t="s">
        <v>369</v>
      </c>
      <c r="B93" t="s">
        <v>369</v>
      </c>
      <c r="D93" s="27">
        <v>45955</v>
      </c>
      <c r="E93" s="27">
        <v>46527</v>
      </c>
      <c r="I93" t="s">
        <v>130</v>
      </c>
      <c r="J93">
        <v>20230329</v>
      </c>
      <c r="K93" t="s">
        <v>43</v>
      </c>
      <c r="L93" t="s">
        <v>43</v>
      </c>
      <c r="M93" t="s">
        <v>179</v>
      </c>
      <c r="N93" t="s">
        <v>43</v>
      </c>
      <c r="O93" t="s">
        <v>43</v>
      </c>
      <c r="P93" t="s">
        <v>367</v>
      </c>
      <c r="S93" t="s">
        <v>179</v>
      </c>
      <c r="T93" t="s">
        <v>155</v>
      </c>
      <c r="U93" t="s">
        <v>31</v>
      </c>
    </row>
    <row r="94" spans="1:21" x14ac:dyDescent="0.25">
      <c r="A94" t="s">
        <v>371</v>
      </c>
      <c r="B94" t="s">
        <v>371</v>
      </c>
      <c r="D94" s="27">
        <v>45949</v>
      </c>
      <c r="E94" s="27">
        <v>44589</v>
      </c>
      <c r="I94" t="s">
        <v>130</v>
      </c>
      <c r="J94">
        <v>20210728</v>
      </c>
      <c r="K94" t="s">
        <v>169</v>
      </c>
      <c r="L94" t="s">
        <v>43</v>
      </c>
      <c r="M94" t="s">
        <v>43</v>
      </c>
      <c r="N94" t="s">
        <v>43</v>
      </c>
      <c r="O94" t="s">
        <v>43</v>
      </c>
      <c r="P94" t="s">
        <v>370</v>
      </c>
      <c r="S94" t="s">
        <v>169</v>
      </c>
      <c r="T94" t="s">
        <v>159</v>
      </c>
      <c r="U94" t="s">
        <v>27</v>
      </c>
    </row>
    <row r="95" spans="1:21" x14ac:dyDescent="0.25">
      <c r="A95" t="s">
        <v>373</v>
      </c>
      <c r="B95" t="s">
        <v>373</v>
      </c>
      <c r="C95">
        <v>6.4722222220000001</v>
      </c>
      <c r="D95" s="27">
        <v>45948</v>
      </c>
      <c r="E95" s="27">
        <v>45277</v>
      </c>
      <c r="F95">
        <v>10.863803317</v>
      </c>
      <c r="H95">
        <v>100.45</v>
      </c>
      <c r="I95" t="s">
        <v>127</v>
      </c>
      <c r="J95">
        <v>20211217</v>
      </c>
      <c r="K95" t="s">
        <v>43</v>
      </c>
      <c r="L95" t="s">
        <v>43</v>
      </c>
      <c r="M95" t="s">
        <v>169</v>
      </c>
      <c r="N95" t="s">
        <v>43</v>
      </c>
      <c r="O95" t="s">
        <v>43</v>
      </c>
      <c r="P95" t="s">
        <v>356</v>
      </c>
      <c r="S95" t="s">
        <v>169</v>
      </c>
      <c r="T95" t="s">
        <v>155</v>
      </c>
      <c r="U95" t="s">
        <v>27</v>
      </c>
    </row>
    <row r="96" spans="1:21" x14ac:dyDescent="0.25">
      <c r="A96" t="s">
        <v>503</v>
      </c>
      <c r="B96" t="s">
        <v>503</v>
      </c>
      <c r="C96">
        <v>0</v>
      </c>
      <c r="D96" s="27">
        <v>45945</v>
      </c>
      <c r="E96" s="27">
        <v>45269</v>
      </c>
      <c r="G96">
        <v>274.85899222199998</v>
      </c>
      <c r="H96">
        <v>100.375</v>
      </c>
      <c r="I96" t="s">
        <v>131</v>
      </c>
      <c r="J96">
        <v>20250814</v>
      </c>
      <c r="K96" t="s">
        <v>43</v>
      </c>
      <c r="L96" t="s">
        <v>43</v>
      </c>
      <c r="M96" t="s">
        <v>169</v>
      </c>
      <c r="N96" t="s">
        <v>43</v>
      </c>
      <c r="O96" t="s">
        <v>43</v>
      </c>
      <c r="P96" t="s">
        <v>374</v>
      </c>
      <c r="Q96">
        <v>2025</v>
      </c>
      <c r="S96" t="s">
        <v>169</v>
      </c>
      <c r="T96" t="s">
        <v>155</v>
      </c>
      <c r="U96" t="s">
        <v>27</v>
      </c>
    </row>
    <row r="97" spans="1:21" x14ac:dyDescent="0.25">
      <c r="A97" t="s">
        <v>375</v>
      </c>
      <c r="B97" t="s">
        <v>375</v>
      </c>
      <c r="D97" s="27">
        <v>45950</v>
      </c>
      <c r="E97" s="27">
        <v>46588</v>
      </c>
      <c r="I97" t="s">
        <v>131</v>
      </c>
      <c r="J97">
        <v>20230601</v>
      </c>
      <c r="K97" t="s">
        <v>23</v>
      </c>
      <c r="L97" t="s">
        <v>43</v>
      </c>
      <c r="M97" t="s">
        <v>43</v>
      </c>
      <c r="N97" t="s">
        <v>43</v>
      </c>
      <c r="O97" t="s">
        <v>43</v>
      </c>
      <c r="P97" t="s">
        <v>374</v>
      </c>
      <c r="S97" t="s">
        <v>23</v>
      </c>
      <c r="T97" t="s">
        <v>159</v>
      </c>
      <c r="U97" t="s">
        <v>23</v>
      </c>
    </row>
    <row r="98" spans="1:21" x14ac:dyDescent="0.25">
      <c r="A98" t="s">
        <v>376</v>
      </c>
      <c r="B98" t="s">
        <v>376</v>
      </c>
      <c r="D98" s="27">
        <v>45950</v>
      </c>
      <c r="E98" s="27">
        <v>46588</v>
      </c>
      <c r="I98" t="s">
        <v>131</v>
      </c>
      <c r="J98">
        <v>20230601</v>
      </c>
      <c r="K98" t="s">
        <v>169</v>
      </c>
      <c r="L98" t="s">
        <v>43</v>
      </c>
      <c r="M98" t="s">
        <v>43</v>
      </c>
      <c r="N98" t="s">
        <v>43</v>
      </c>
      <c r="O98" t="s">
        <v>43</v>
      </c>
      <c r="P98" t="s">
        <v>374</v>
      </c>
      <c r="S98" t="s">
        <v>169</v>
      </c>
      <c r="T98" t="s">
        <v>159</v>
      </c>
      <c r="U98" t="s">
        <v>27</v>
      </c>
    </row>
    <row r="99" spans="1:21" x14ac:dyDescent="0.25">
      <c r="A99" t="s">
        <v>506</v>
      </c>
      <c r="B99" t="s">
        <v>506</v>
      </c>
      <c r="C99">
        <v>9.6737586740000001</v>
      </c>
      <c r="D99" s="27">
        <v>45950</v>
      </c>
      <c r="E99" s="27">
        <v>46588</v>
      </c>
      <c r="F99">
        <v>12.502520178999999</v>
      </c>
      <c r="G99">
        <v>337.84601310699998</v>
      </c>
      <c r="H99">
        <v>100.14319999999999</v>
      </c>
      <c r="I99" t="s">
        <v>131</v>
      </c>
      <c r="J99">
        <v>20250522</v>
      </c>
      <c r="K99" t="s">
        <v>169</v>
      </c>
      <c r="L99" t="s">
        <v>43</v>
      </c>
      <c r="M99" t="s">
        <v>43</v>
      </c>
      <c r="N99" t="s">
        <v>43</v>
      </c>
      <c r="O99" t="s">
        <v>43</v>
      </c>
      <c r="P99" t="s">
        <v>374</v>
      </c>
      <c r="Q99">
        <v>2025</v>
      </c>
      <c r="S99" t="s">
        <v>169</v>
      </c>
      <c r="T99" t="s">
        <v>159</v>
      </c>
      <c r="U99" t="s">
        <v>27</v>
      </c>
    </row>
    <row r="100" spans="1:21" x14ac:dyDescent="0.25">
      <c r="A100" t="s">
        <v>508</v>
      </c>
      <c r="B100" t="s">
        <v>508</v>
      </c>
      <c r="C100">
        <v>9.6362707329999999</v>
      </c>
      <c r="F100">
        <v>12</v>
      </c>
      <c r="G100">
        <v>273.43680967699999</v>
      </c>
      <c r="H100">
        <v>100.38890000000001</v>
      </c>
      <c r="I100" t="s">
        <v>131</v>
      </c>
      <c r="J100">
        <v>20250820</v>
      </c>
      <c r="K100" t="s">
        <v>169</v>
      </c>
      <c r="L100" t="s">
        <v>43</v>
      </c>
      <c r="M100" t="s">
        <v>43</v>
      </c>
      <c r="N100" t="s">
        <v>43</v>
      </c>
      <c r="O100" t="s">
        <v>43</v>
      </c>
      <c r="P100" t="s">
        <v>374</v>
      </c>
      <c r="Q100">
        <v>2025</v>
      </c>
      <c r="S100" t="s">
        <v>169</v>
      </c>
      <c r="T100" t="s">
        <v>159</v>
      </c>
      <c r="U100" t="s">
        <v>27</v>
      </c>
    </row>
    <row r="101" spans="1:21" x14ac:dyDescent="0.25">
      <c r="A101" t="s">
        <v>511</v>
      </c>
      <c r="B101" t="s">
        <v>511</v>
      </c>
      <c r="C101">
        <v>7.6524448009999997</v>
      </c>
      <c r="D101" s="27">
        <v>45950</v>
      </c>
      <c r="E101" s="27">
        <v>46203</v>
      </c>
      <c r="F101">
        <v>12.035855702999999</v>
      </c>
      <c r="G101">
        <v>353.46309610600002</v>
      </c>
      <c r="H101">
        <v>100.3772</v>
      </c>
      <c r="I101" t="s">
        <v>132</v>
      </c>
      <c r="J101">
        <v>20250630</v>
      </c>
      <c r="K101" t="s">
        <v>169</v>
      </c>
      <c r="L101" t="s">
        <v>43</v>
      </c>
      <c r="M101" t="s">
        <v>43</v>
      </c>
      <c r="N101" t="s">
        <v>43</v>
      </c>
      <c r="O101" t="s">
        <v>43</v>
      </c>
      <c r="P101" t="s">
        <v>509</v>
      </c>
      <c r="Q101">
        <v>2025</v>
      </c>
      <c r="S101" t="s">
        <v>169</v>
      </c>
      <c r="T101" t="s">
        <v>159</v>
      </c>
      <c r="U101" t="s">
        <v>27</v>
      </c>
    </row>
    <row r="102" spans="1:21" x14ac:dyDescent="0.25">
      <c r="A102" t="s">
        <v>514</v>
      </c>
      <c r="B102" t="s">
        <v>514</v>
      </c>
      <c r="H102">
        <v>100.375</v>
      </c>
      <c r="I102" t="s">
        <v>136</v>
      </c>
      <c r="J102">
        <v>20250904</v>
      </c>
      <c r="K102" t="s">
        <v>169</v>
      </c>
      <c r="L102" t="s">
        <v>43</v>
      </c>
      <c r="M102" t="s">
        <v>43</v>
      </c>
      <c r="N102" t="s">
        <v>43</v>
      </c>
      <c r="O102" t="s">
        <v>43</v>
      </c>
      <c r="P102" t="s">
        <v>136</v>
      </c>
      <c r="Q102">
        <v>2025</v>
      </c>
      <c r="S102" t="s">
        <v>169</v>
      </c>
      <c r="T102" t="s">
        <v>159</v>
      </c>
      <c r="U102" t="s">
        <v>27</v>
      </c>
    </row>
    <row r="103" spans="1:21" x14ac:dyDescent="0.25">
      <c r="A103" t="s">
        <v>378</v>
      </c>
      <c r="B103" t="s">
        <v>378</v>
      </c>
      <c r="D103" s="27">
        <v>45950</v>
      </c>
      <c r="E103" s="27">
        <v>46497</v>
      </c>
      <c r="I103" t="s">
        <v>140</v>
      </c>
      <c r="J103">
        <v>20230504</v>
      </c>
      <c r="K103" t="s">
        <v>43</v>
      </c>
      <c r="L103" t="s">
        <v>43</v>
      </c>
      <c r="M103" t="s">
        <v>169</v>
      </c>
      <c r="N103" t="s">
        <v>43</v>
      </c>
      <c r="O103" t="s">
        <v>43</v>
      </c>
      <c r="P103" t="s">
        <v>377</v>
      </c>
      <c r="S103" t="s">
        <v>169</v>
      </c>
      <c r="T103" t="s">
        <v>155</v>
      </c>
      <c r="U103" t="s">
        <v>27</v>
      </c>
    </row>
    <row r="104" spans="1:21" x14ac:dyDescent="0.25">
      <c r="A104" t="s">
        <v>518</v>
      </c>
      <c r="B104" t="s">
        <v>518</v>
      </c>
      <c r="C104">
        <v>10.356529603</v>
      </c>
      <c r="F104">
        <v>8</v>
      </c>
      <c r="G104">
        <v>566.91232575200002</v>
      </c>
      <c r="H104">
        <v>100.47069999999999</v>
      </c>
      <c r="I104" t="s">
        <v>146</v>
      </c>
      <c r="J104">
        <v>20250625</v>
      </c>
      <c r="K104" t="s">
        <v>43</v>
      </c>
      <c r="L104" t="s">
        <v>43</v>
      </c>
      <c r="M104" t="s">
        <v>179</v>
      </c>
      <c r="N104" t="s">
        <v>43</v>
      </c>
      <c r="O104" t="s">
        <v>43</v>
      </c>
      <c r="P104" t="s">
        <v>516</v>
      </c>
      <c r="Q104">
        <v>2025</v>
      </c>
      <c r="S104" t="s">
        <v>179</v>
      </c>
      <c r="T104" t="s">
        <v>155</v>
      </c>
      <c r="U104" t="s">
        <v>31</v>
      </c>
    </row>
    <row r="105" spans="1:21" x14ac:dyDescent="0.25">
      <c r="A105" t="s">
        <v>381</v>
      </c>
      <c r="B105" t="s">
        <v>381</v>
      </c>
      <c r="D105" s="27">
        <v>45945</v>
      </c>
      <c r="E105" s="27">
        <v>46579</v>
      </c>
      <c r="I105" t="s">
        <v>146</v>
      </c>
      <c r="J105">
        <v>20230629</v>
      </c>
      <c r="K105" t="s">
        <v>43</v>
      </c>
      <c r="L105" t="s">
        <v>43</v>
      </c>
      <c r="M105" t="s">
        <v>23</v>
      </c>
      <c r="N105" t="s">
        <v>43</v>
      </c>
      <c r="O105" t="s">
        <v>43</v>
      </c>
      <c r="P105" t="s">
        <v>379</v>
      </c>
      <c r="S105" t="s">
        <v>23</v>
      </c>
      <c r="T105" t="s">
        <v>155</v>
      </c>
      <c r="U105" t="s">
        <v>23</v>
      </c>
    </row>
    <row r="106" spans="1:21" x14ac:dyDescent="0.25">
      <c r="A106" t="s">
        <v>383</v>
      </c>
      <c r="B106" t="s">
        <v>383</v>
      </c>
      <c r="D106" s="27">
        <v>45945</v>
      </c>
      <c r="E106" s="27">
        <v>46579</v>
      </c>
      <c r="I106" t="s">
        <v>146</v>
      </c>
      <c r="J106">
        <v>20230629</v>
      </c>
      <c r="K106" t="s">
        <v>43</v>
      </c>
      <c r="L106" t="s">
        <v>43</v>
      </c>
      <c r="M106" t="s">
        <v>169</v>
      </c>
      <c r="N106" t="s">
        <v>43</v>
      </c>
      <c r="O106" t="s">
        <v>43</v>
      </c>
      <c r="P106" t="s">
        <v>379</v>
      </c>
      <c r="S106" t="s">
        <v>169</v>
      </c>
      <c r="T106" t="s">
        <v>155</v>
      </c>
      <c r="U106" t="s">
        <v>27</v>
      </c>
    </row>
    <row r="107" spans="1:21" x14ac:dyDescent="0.25">
      <c r="A107" t="s">
        <v>520</v>
      </c>
      <c r="B107" t="s">
        <v>520</v>
      </c>
      <c r="C107">
        <v>9.1238881680000006</v>
      </c>
      <c r="D107" s="27">
        <v>45945</v>
      </c>
      <c r="E107" s="27">
        <v>46579</v>
      </c>
      <c r="F107">
        <v>18.043504080000002</v>
      </c>
      <c r="G107">
        <v>193.19763137800001</v>
      </c>
      <c r="H107">
        <v>100.1232</v>
      </c>
      <c r="I107" t="s">
        <v>146</v>
      </c>
      <c r="J107">
        <v>20250711</v>
      </c>
      <c r="K107" t="s">
        <v>43</v>
      </c>
      <c r="L107" t="s">
        <v>43</v>
      </c>
      <c r="M107" t="s">
        <v>23</v>
      </c>
      <c r="N107" t="s">
        <v>43</v>
      </c>
      <c r="O107" t="s">
        <v>43</v>
      </c>
      <c r="P107" t="s">
        <v>379</v>
      </c>
      <c r="Q107">
        <v>2025</v>
      </c>
      <c r="S107" t="s">
        <v>23</v>
      </c>
      <c r="T107" t="s">
        <v>155</v>
      </c>
      <c r="U107" t="s">
        <v>23</v>
      </c>
    </row>
    <row r="108" spans="1:21" x14ac:dyDescent="0.25">
      <c r="A108" t="s">
        <v>522</v>
      </c>
      <c r="B108" t="s">
        <v>522</v>
      </c>
      <c r="C108">
        <v>9.6561344049999995</v>
      </c>
      <c r="D108" s="27">
        <v>45945</v>
      </c>
      <c r="E108" s="27">
        <v>46579</v>
      </c>
      <c r="F108">
        <v>12.046687305000001</v>
      </c>
      <c r="G108">
        <v>292.132163564</v>
      </c>
      <c r="H108">
        <v>100.19759999999999</v>
      </c>
      <c r="I108" t="s">
        <v>146</v>
      </c>
      <c r="J108">
        <v>20250711</v>
      </c>
      <c r="K108" t="s">
        <v>43</v>
      </c>
      <c r="L108" t="s">
        <v>43</v>
      </c>
      <c r="M108" t="s">
        <v>169</v>
      </c>
      <c r="N108" t="s">
        <v>43</v>
      </c>
      <c r="O108" t="s">
        <v>43</v>
      </c>
      <c r="P108" t="s">
        <v>379</v>
      </c>
      <c r="Q108">
        <v>2025</v>
      </c>
      <c r="S108" t="s">
        <v>169</v>
      </c>
      <c r="T108" t="s">
        <v>155</v>
      </c>
      <c r="U108" t="s">
        <v>27</v>
      </c>
    </row>
    <row r="109" spans="1:21" x14ac:dyDescent="0.25">
      <c r="A109" t="s">
        <v>247</v>
      </c>
      <c r="B109" t="s">
        <v>247</v>
      </c>
      <c r="D109" s="27">
        <v>45955</v>
      </c>
      <c r="I109" t="s">
        <v>147</v>
      </c>
      <c r="J109">
        <v>20190809</v>
      </c>
      <c r="K109" t="s">
        <v>43</v>
      </c>
      <c r="L109" t="s">
        <v>43</v>
      </c>
      <c r="M109" t="s">
        <v>43</v>
      </c>
      <c r="N109" t="s">
        <v>169</v>
      </c>
      <c r="O109" t="s">
        <v>27</v>
      </c>
      <c r="P109" t="s">
        <v>147</v>
      </c>
      <c r="R109" t="s">
        <v>1535</v>
      </c>
      <c r="S109" t="s">
        <v>169</v>
      </c>
      <c r="T109" t="s">
        <v>622</v>
      </c>
      <c r="U109" t="s">
        <v>27</v>
      </c>
    </row>
    <row r="110" spans="1:21" x14ac:dyDescent="0.25">
      <c r="A110" t="s">
        <v>249</v>
      </c>
      <c r="B110" t="s">
        <v>249</v>
      </c>
      <c r="I110" t="s">
        <v>148</v>
      </c>
      <c r="J110">
        <v>20200813</v>
      </c>
      <c r="K110" t="s">
        <v>27</v>
      </c>
      <c r="L110" t="s">
        <v>43</v>
      </c>
      <c r="M110" t="s">
        <v>27</v>
      </c>
      <c r="N110" t="s">
        <v>43</v>
      </c>
      <c r="O110" t="s">
        <v>43</v>
      </c>
      <c r="P110" t="s">
        <v>148</v>
      </c>
      <c r="S110" t="s">
        <v>27</v>
      </c>
      <c r="T110" t="s">
        <v>159</v>
      </c>
      <c r="U110" t="s">
        <v>27</v>
      </c>
    </row>
    <row r="111" spans="1:21" x14ac:dyDescent="0.25">
      <c r="A111" t="s">
        <v>525</v>
      </c>
      <c r="B111" t="s">
        <v>525</v>
      </c>
      <c r="C111">
        <v>9.6619287170000003</v>
      </c>
      <c r="D111" s="27">
        <v>46037</v>
      </c>
      <c r="E111" s="27">
        <v>46569</v>
      </c>
      <c r="F111">
        <v>12.105848362</v>
      </c>
      <c r="G111">
        <v>305.009156706</v>
      </c>
      <c r="H111">
        <v>100.2419</v>
      </c>
      <c r="I111" t="s">
        <v>149</v>
      </c>
      <c r="J111">
        <v>20250701</v>
      </c>
      <c r="K111" t="s">
        <v>43</v>
      </c>
      <c r="L111" t="s">
        <v>43</v>
      </c>
      <c r="M111" t="s">
        <v>169</v>
      </c>
      <c r="N111" t="s">
        <v>43</v>
      </c>
      <c r="O111" t="s">
        <v>43</v>
      </c>
      <c r="P111" t="s">
        <v>523</v>
      </c>
      <c r="Q111">
        <v>2025</v>
      </c>
      <c r="S111" t="s">
        <v>169</v>
      </c>
      <c r="T111" t="s">
        <v>155</v>
      </c>
      <c r="U111" t="s">
        <v>27</v>
      </c>
    </row>
    <row r="112" spans="1:21" x14ac:dyDescent="0.25">
      <c r="A112" t="s">
        <v>527</v>
      </c>
      <c r="B112" t="s">
        <v>527</v>
      </c>
      <c r="C112">
        <v>9.6053099940000006</v>
      </c>
      <c r="F112">
        <v>13</v>
      </c>
      <c r="G112">
        <v>340.87998396400002</v>
      </c>
      <c r="H112">
        <v>101.2026</v>
      </c>
      <c r="I112" t="s">
        <v>149</v>
      </c>
      <c r="J112">
        <v>20250606</v>
      </c>
      <c r="K112" t="s">
        <v>43</v>
      </c>
      <c r="L112" t="s">
        <v>43</v>
      </c>
      <c r="M112" t="s">
        <v>169</v>
      </c>
      <c r="N112" t="s">
        <v>43</v>
      </c>
      <c r="O112" t="s">
        <v>43</v>
      </c>
      <c r="P112" t="s">
        <v>523</v>
      </c>
      <c r="Q112">
        <v>2025</v>
      </c>
      <c r="S112" t="s">
        <v>169</v>
      </c>
      <c r="T112" t="s">
        <v>155</v>
      </c>
      <c r="U112" t="s">
        <v>27</v>
      </c>
    </row>
    <row r="113" spans="1:21" x14ac:dyDescent="0.25">
      <c r="A113" t="s">
        <v>530</v>
      </c>
      <c r="B113" t="s">
        <v>530</v>
      </c>
      <c r="C113">
        <v>9.6180592160000007</v>
      </c>
      <c r="F113">
        <v>12</v>
      </c>
      <c r="G113">
        <v>283.24785945399998</v>
      </c>
      <c r="H113">
        <v>100.3888</v>
      </c>
      <c r="I113" t="s">
        <v>150</v>
      </c>
      <c r="J113">
        <v>20250813</v>
      </c>
      <c r="K113" t="s">
        <v>169</v>
      </c>
      <c r="L113" t="s">
        <v>43</v>
      </c>
      <c r="M113" t="s">
        <v>43</v>
      </c>
      <c r="N113" t="s">
        <v>43</v>
      </c>
      <c r="O113" t="s">
        <v>43</v>
      </c>
      <c r="P113" t="s">
        <v>528</v>
      </c>
      <c r="Q113">
        <v>2025</v>
      </c>
      <c r="S113" t="s">
        <v>169</v>
      </c>
      <c r="T113" t="s">
        <v>159</v>
      </c>
      <c r="U113" t="s">
        <v>27</v>
      </c>
    </row>
    <row r="114" spans="1:21" x14ac:dyDescent="0.25">
      <c r="A114" t="s">
        <v>405</v>
      </c>
      <c r="B114" t="s">
        <v>405</v>
      </c>
      <c r="D114" s="27">
        <v>45947</v>
      </c>
      <c r="E114" s="27">
        <v>44213</v>
      </c>
      <c r="F114">
        <v>11.012563867000001</v>
      </c>
      <c r="I114" t="s">
        <v>151</v>
      </c>
      <c r="J114">
        <v>20181224</v>
      </c>
      <c r="K114" t="s">
        <v>169</v>
      </c>
      <c r="L114" t="s">
        <v>43</v>
      </c>
      <c r="M114" t="s">
        <v>43</v>
      </c>
      <c r="N114" t="s">
        <v>43</v>
      </c>
      <c r="O114" t="s">
        <v>43</v>
      </c>
      <c r="P114" t="s">
        <v>404</v>
      </c>
      <c r="S114" t="s">
        <v>169</v>
      </c>
      <c r="T114" t="s">
        <v>159</v>
      </c>
      <c r="U114" t="s">
        <v>27</v>
      </c>
    </row>
    <row r="115" spans="1:21" x14ac:dyDescent="0.25">
      <c r="A115" t="s">
        <v>533</v>
      </c>
      <c r="B115" t="s">
        <v>533</v>
      </c>
      <c r="C115">
        <v>9.4874154780000008</v>
      </c>
      <c r="F115">
        <v>12</v>
      </c>
      <c r="G115">
        <v>327.71665896799999</v>
      </c>
      <c r="H115">
        <v>100.3888</v>
      </c>
      <c r="I115" t="s">
        <v>152</v>
      </c>
      <c r="J115">
        <v>20250826</v>
      </c>
      <c r="K115" t="s">
        <v>43</v>
      </c>
      <c r="L115" t="s">
        <v>43</v>
      </c>
      <c r="M115" t="s">
        <v>169</v>
      </c>
      <c r="N115" t="s">
        <v>43</v>
      </c>
      <c r="O115" t="s">
        <v>43</v>
      </c>
      <c r="P115" t="s">
        <v>152</v>
      </c>
      <c r="Q115">
        <v>2025</v>
      </c>
      <c r="S115" t="s">
        <v>169</v>
      </c>
      <c r="T115" t="s">
        <v>155</v>
      </c>
      <c r="U115" t="s">
        <v>27</v>
      </c>
    </row>
    <row r="116" spans="1:21" x14ac:dyDescent="0.25">
      <c r="A116" t="s">
        <v>387</v>
      </c>
      <c r="B116" t="s">
        <v>387</v>
      </c>
      <c r="D116" s="27">
        <v>45950</v>
      </c>
      <c r="E116" s="27">
        <v>46585</v>
      </c>
      <c r="I116" t="s">
        <v>101</v>
      </c>
      <c r="J116">
        <v>20210528</v>
      </c>
      <c r="K116" t="s">
        <v>169</v>
      </c>
      <c r="L116" t="s">
        <v>43</v>
      </c>
      <c r="M116" t="s">
        <v>43</v>
      </c>
      <c r="N116" t="s">
        <v>43</v>
      </c>
      <c r="O116" t="s">
        <v>43</v>
      </c>
      <c r="P116" t="s">
        <v>385</v>
      </c>
      <c r="S116" t="s">
        <v>169</v>
      </c>
      <c r="T116" t="s">
        <v>159</v>
      </c>
      <c r="U116" t="s">
        <v>27</v>
      </c>
    </row>
    <row r="117" spans="1:21" x14ac:dyDescent="0.25">
      <c r="A117" t="s">
        <v>536</v>
      </c>
      <c r="B117" t="s">
        <v>536</v>
      </c>
      <c r="C117">
        <v>9.683052021</v>
      </c>
      <c r="D117" s="27">
        <v>45950</v>
      </c>
      <c r="E117" s="27">
        <v>46585</v>
      </c>
      <c r="F117">
        <v>12.346540840999999</v>
      </c>
      <c r="G117">
        <v>287.153396413</v>
      </c>
      <c r="H117">
        <v>100.1972</v>
      </c>
      <c r="I117" t="s">
        <v>101</v>
      </c>
      <c r="J117">
        <v>20250717</v>
      </c>
      <c r="K117" t="s">
        <v>43</v>
      </c>
      <c r="L117" t="s">
        <v>43</v>
      </c>
      <c r="M117" t="s">
        <v>169</v>
      </c>
      <c r="N117" t="s">
        <v>43</v>
      </c>
      <c r="O117" t="s">
        <v>43</v>
      </c>
      <c r="P117" t="s">
        <v>385</v>
      </c>
      <c r="Q117">
        <v>2025</v>
      </c>
      <c r="S117" t="s">
        <v>169</v>
      </c>
      <c r="T117" t="s">
        <v>155</v>
      </c>
      <c r="U117" t="s">
        <v>27</v>
      </c>
    </row>
    <row r="118" spans="1:21" x14ac:dyDescent="0.25">
      <c r="A118" t="s">
        <v>539</v>
      </c>
      <c r="B118" t="s">
        <v>539</v>
      </c>
      <c r="C118">
        <v>6.6238496140000001</v>
      </c>
      <c r="F118">
        <v>12</v>
      </c>
      <c r="G118">
        <v>293.61929138300002</v>
      </c>
      <c r="H118">
        <v>100.2135</v>
      </c>
      <c r="I118" t="s">
        <v>153</v>
      </c>
      <c r="J118">
        <v>20250611</v>
      </c>
      <c r="K118" t="s">
        <v>43</v>
      </c>
      <c r="L118" t="s">
        <v>43</v>
      </c>
      <c r="M118" t="s">
        <v>169</v>
      </c>
      <c r="N118" t="s">
        <v>43</v>
      </c>
      <c r="O118" t="s">
        <v>43</v>
      </c>
      <c r="P118" t="s">
        <v>537</v>
      </c>
      <c r="Q118">
        <v>2025</v>
      </c>
      <c r="S118" t="s">
        <v>169</v>
      </c>
      <c r="T118" t="s">
        <v>155</v>
      </c>
      <c r="U118" t="s">
        <v>27</v>
      </c>
    </row>
    <row r="119" spans="1:21" x14ac:dyDescent="0.25">
      <c r="A119" t="s">
        <v>389</v>
      </c>
      <c r="B119" t="s">
        <v>389</v>
      </c>
      <c r="H119">
        <v>83.126800000000003</v>
      </c>
      <c r="I119" t="s">
        <v>156</v>
      </c>
      <c r="J119">
        <v>20250815</v>
      </c>
      <c r="K119" t="s">
        <v>179</v>
      </c>
      <c r="L119" t="s">
        <v>43</v>
      </c>
      <c r="M119" t="s">
        <v>43</v>
      </c>
      <c r="N119" t="s">
        <v>43</v>
      </c>
      <c r="O119" t="s">
        <v>43</v>
      </c>
      <c r="P119" t="s">
        <v>156</v>
      </c>
      <c r="R119" t="s">
        <v>1526</v>
      </c>
      <c r="S119" t="s">
        <v>179</v>
      </c>
      <c r="T119" t="s">
        <v>159</v>
      </c>
      <c r="U119" t="s">
        <v>31</v>
      </c>
    </row>
    <row r="120" spans="1:21" x14ac:dyDescent="0.25">
      <c r="A120" t="s">
        <v>391</v>
      </c>
      <c r="B120" t="s">
        <v>391</v>
      </c>
      <c r="C120">
        <v>5.3475149870000003</v>
      </c>
      <c r="D120" s="27">
        <v>45945</v>
      </c>
      <c r="E120" s="27">
        <v>45306</v>
      </c>
      <c r="F120">
        <v>4.5584747510000003</v>
      </c>
      <c r="G120">
        <v>917.90243091599996</v>
      </c>
      <c r="H120">
        <v>96.257000000000005</v>
      </c>
      <c r="I120" t="s">
        <v>160</v>
      </c>
      <c r="J120">
        <v>20211222</v>
      </c>
      <c r="K120" t="s">
        <v>191</v>
      </c>
      <c r="L120" t="s">
        <v>43</v>
      </c>
      <c r="M120" t="s">
        <v>43</v>
      </c>
      <c r="N120" t="s">
        <v>43</v>
      </c>
      <c r="O120" t="s">
        <v>43</v>
      </c>
      <c r="P120" t="s">
        <v>390</v>
      </c>
      <c r="Q120">
        <v>2021</v>
      </c>
      <c r="S120" t="s">
        <v>191</v>
      </c>
      <c r="T120" t="s">
        <v>159</v>
      </c>
      <c r="U120" t="s">
        <v>35</v>
      </c>
    </row>
    <row r="121" spans="1:21" x14ac:dyDescent="0.25">
      <c r="A121" t="s">
        <v>542</v>
      </c>
      <c r="B121" t="s">
        <v>542</v>
      </c>
      <c r="C121">
        <v>9.6650668999999994</v>
      </c>
      <c r="F121">
        <v>13</v>
      </c>
      <c r="G121">
        <v>301.35143908100002</v>
      </c>
      <c r="H121">
        <v>100.1416</v>
      </c>
      <c r="I121" t="s">
        <v>161</v>
      </c>
      <c r="J121">
        <v>20250627</v>
      </c>
      <c r="K121" t="s">
        <v>43</v>
      </c>
      <c r="L121" t="s">
        <v>43</v>
      </c>
      <c r="M121" t="s">
        <v>169</v>
      </c>
      <c r="N121" t="s">
        <v>43</v>
      </c>
      <c r="O121" t="s">
        <v>43</v>
      </c>
      <c r="P121" t="s">
        <v>540</v>
      </c>
      <c r="Q121">
        <v>2025</v>
      </c>
      <c r="S121" t="s">
        <v>169</v>
      </c>
      <c r="T121" t="s">
        <v>155</v>
      </c>
      <c r="U121" t="s">
        <v>27</v>
      </c>
    </row>
    <row r="122" spans="1:21" x14ac:dyDescent="0.25">
      <c r="A122" t="s">
        <v>394</v>
      </c>
      <c r="B122" t="s">
        <v>394</v>
      </c>
      <c r="D122" s="27">
        <v>45945</v>
      </c>
      <c r="E122" s="27">
        <v>46136</v>
      </c>
      <c r="I122" t="s">
        <v>162</v>
      </c>
      <c r="J122">
        <v>20211214</v>
      </c>
      <c r="K122" t="s">
        <v>43</v>
      </c>
      <c r="L122" t="s">
        <v>785</v>
      </c>
      <c r="M122" t="s">
        <v>43</v>
      </c>
      <c r="N122" t="s">
        <v>43</v>
      </c>
      <c r="O122" t="s">
        <v>43</v>
      </c>
      <c r="P122" t="s">
        <v>392</v>
      </c>
      <c r="S122" t="s">
        <v>785</v>
      </c>
      <c r="T122" t="s">
        <v>134</v>
      </c>
      <c r="U122" t="s">
        <v>27</v>
      </c>
    </row>
    <row r="123" spans="1:21" x14ac:dyDescent="0.25">
      <c r="A123" t="s">
        <v>396</v>
      </c>
      <c r="B123" t="s">
        <v>396</v>
      </c>
      <c r="C123">
        <v>2.417924674</v>
      </c>
      <c r="D123" s="27">
        <v>45884</v>
      </c>
      <c r="F123">
        <v>34.419580644139998</v>
      </c>
      <c r="G123">
        <v>222.302738694</v>
      </c>
      <c r="H123">
        <v>95.078485000000001</v>
      </c>
      <c r="I123" t="s">
        <v>163</v>
      </c>
      <c r="J123">
        <v>20200303</v>
      </c>
      <c r="K123" t="s">
        <v>43</v>
      </c>
      <c r="L123" t="s">
        <v>43</v>
      </c>
      <c r="M123" t="s">
        <v>23</v>
      </c>
      <c r="N123" t="s">
        <v>23</v>
      </c>
      <c r="O123" t="s">
        <v>43</v>
      </c>
      <c r="P123" t="s">
        <v>163</v>
      </c>
      <c r="R123" t="s">
        <v>1526</v>
      </c>
      <c r="S123" t="s">
        <v>23</v>
      </c>
      <c r="T123" t="s">
        <v>155</v>
      </c>
      <c r="U123" t="s">
        <v>23</v>
      </c>
    </row>
    <row r="124" spans="1:21" x14ac:dyDescent="0.25">
      <c r="A124" t="s">
        <v>398</v>
      </c>
      <c r="B124" t="s">
        <v>398</v>
      </c>
      <c r="C124">
        <v>2.4179179319999999</v>
      </c>
      <c r="D124" s="27">
        <v>45884</v>
      </c>
      <c r="F124">
        <v>25.307969374696999</v>
      </c>
      <c r="G124">
        <v>413.21853631599998</v>
      </c>
      <c r="H124">
        <v>93.206265000000002</v>
      </c>
      <c r="I124" t="s">
        <v>163</v>
      </c>
      <c r="J124">
        <v>20200303</v>
      </c>
      <c r="K124" t="s">
        <v>43</v>
      </c>
      <c r="L124" t="s">
        <v>43</v>
      </c>
      <c r="M124" t="s">
        <v>27</v>
      </c>
      <c r="N124" t="s">
        <v>27</v>
      </c>
      <c r="O124" t="s">
        <v>43</v>
      </c>
      <c r="P124" t="s">
        <v>163</v>
      </c>
      <c r="R124" t="s">
        <v>1526</v>
      </c>
      <c r="S124" t="s">
        <v>27</v>
      </c>
      <c r="T124" t="s">
        <v>155</v>
      </c>
      <c r="U124" t="s">
        <v>27</v>
      </c>
    </row>
    <row r="125" spans="1:21" x14ac:dyDescent="0.25">
      <c r="A125" t="s">
        <v>399</v>
      </c>
      <c r="B125" t="s">
        <v>399</v>
      </c>
      <c r="D125" s="27">
        <v>45955</v>
      </c>
      <c r="E125" s="27">
        <v>46556</v>
      </c>
      <c r="I125" t="s">
        <v>164</v>
      </c>
      <c r="J125">
        <v>20230424</v>
      </c>
      <c r="K125" t="s">
        <v>23</v>
      </c>
      <c r="L125" t="s">
        <v>43</v>
      </c>
      <c r="M125" t="s">
        <v>43</v>
      </c>
      <c r="N125" t="s">
        <v>43</v>
      </c>
      <c r="O125" t="s">
        <v>43</v>
      </c>
      <c r="P125" t="s">
        <v>207</v>
      </c>
      <c r="S125" t="s">
        <v>23</v>
      </c>
      <c r="T125" t="s">
        <v>159</v>
      </c>
      <c r="U125" t="s">
        <v>23</v>
      </c>
    </row>
    <row r="126" spans="1:21" x14ac:dyDescent="0.25">
      <c r="A126" t="s">
        <v>400</v>
      </c>
      <c r="B126" t="s">
        <v>400</v>
      </c>
      <c r="D126" s="27">
        <v>45955</v>
      </c>
      <c r="E126" s="27">
        <v>46556</v>
      </c>
      <c r="I126" t="s">
        <v>164</v>
      </c>
      <c r="J126">
        <v>20230424</v>
      </c>
      <c r="K126" t="s">
        <v>169</v>
      </c>
      <c r="L126" t="s">
        <v>43</v>
      </c>
      <c r="M126" t="s">
        <v>43</v>
      </c>
      <c r="N126" t="s">
        <v>43</v>
      </c>
      <c r="O126" t="s">
        <v>43</v>
      </c>
      <c r="P126" t="s">
        <v>207</v>
      </c>
      <c r="S126" t="s">
        <v>169</v>
      </c>
      <c r="T126" t="s">
        <v>159</v>
      </c>
      <c r="U126" t="s">
        <v>27</v>
      </c>
    </row>
    <row r="127" spans="1:21" x14ac:dyDescent="0.25">
      <c r="A127" t="s">
        <v>744</v>
      </c>
      <c r="B127" t="s">
        <v>744</v>
      </c>
      <c r="C127">
        <v>8.6122414270000007</v>
      </c>
      <c r="D127" s="27">
        <v>45951</v>
      </c>
      <c r="E127" s="27">
        <v>46082</v>
      </c>
      <c r="F127">
        <v>12.012252051999999</v>
      </c>
      <c r="G127">
        <v>361.884648637</v>
      </c>
      <c r="H127">
        <v>100.83110000000001</v>
      </c>
      <c r="I127" t="s">
        <v>64</v>
      </c>
      <c r="J127">
        <v>20240229</v>
      </c>
      <c r="K127" t="s">
        <v>43</v>
      </c>
      <c r="L127" t="s">
        <v>43</v>
      </c>
      <c r="M127" t="s">
        <v>169</v>
      </c>
      <c r="N127" t="s">
        <v>43</v>
      </c>
      <c r="O127" t="s">
        <v>43</v>
      </c>
      <c r="P127" t="s">
        <v>251</v>
      </c>
      <c r="Q127">
        <v>2024</v>
      </c>
      <c r="S127" t="s">
        <v>169</v>
      </c>
      <c r="T127" t="s">
        <v>155</v>
      </c>
      <c r="U127" t="s">
        <v>27</v>
      </c>
    </row>
    <row r="128" spans="1:21" x14ac:dyDescent="0.25">
      <c r="A128" t="s">
        <v>746</v>
      </c>
      <c r="B128" t="s">
        <v>746</v>
      </c>
      <c r="C128">
        <v>9.2368901099999992</v>
      </c>
      <c r="D128" s="27">
        <v>45952</v>
      </c>
      <c r="E128" s="27">
        <v>46346</v>
      </c>
      <c r="F128">
        <v>12.012568766999999</v>
      </c>
      <c r="G128">
        <v>282.51284540400002</v>
      </c>
      <c r="H128">
        <v>100.5158</v>
      </c>
      <c r="I128" t="s">
        <v>64</v>
      </c>
      <c r="J128">
        <v>20241120</v>
      </c>
      <c r="K128" t="s">
        <v>43</v>
      </c>
      <c r="L128" t="s">
        <v>43</v>
      </c>
      <c r="M128" t="s">
        <v>169</v>
      </c>
      <c r="N128" t="s">
        <v>43</v>
      </c>
      <c r="O128" t="s">
        <v>43</v>
      </c>
      <c r="P128" t="s">
        <v>251</v>
      </c>
      <c r="Q128">
        <v>2024</v>
      </c>
      <c r="S128" t="s">
        <v>169</v>
      </c>
      <c r="T128" t="s">
        <v>155</v>
      </c>
      <c r="U128" t="s">
        <v>27</v>
      </c>
    </row>
    <row r="129" spans="1:21" x14ac:dyDescent="0.25">
      <c r="A129" t="s">
        <v>748</v>
      </c>
      <c r="B129" t="s">
        <v>748</v>
      </c>
      <c r="C129">
        <v>9.4166014429999993</v>
      </c>
      <c r="D129" s="27">
        <v>45950</v>
      </c>
      <c r="E129" s="27">
        <v>46488</v>
      </c>
      <c r="F129">
        <v>12.264975538</v>
      </c>
      <c r="G129">
        <v>247.36838841700001</v>
      </c>
      <c r="H129">
        <v>100.181</v>
      </c>
      <c r="I129" t="s">
        <v>64</v>
      </c>
      <c r="J129">
        <v>20250411</v>
      </c>
      <c r="K129" t="s">
        <v>43</v>
      </c>
      <c r="L129" t="s">
        <v>43</v>
      </c>
      <c r="M129" t="s">
        <v>169</v>
      </c>
      <c r="N129" t="s">
        <v>43</v>
      </c>
      <c r="O129" t="s">
        <v>43</v>
      </c>
      <c r="P129" t="s">
        <v>251</v>
      </c>
      <c r="Q129">
        <v>2025</v>
      </c>
      <c r="S129" t="s">
        <v>169</v>
      </c>
      <c r="T129" t="s">
        <v>155</v>
      </c>
      <c r="U129" t="s">
        <v>27</v>
      </c>
    </row>
    <row r="130" spans="1:21" x14ac:dyDescent="0.25">
      <c r="A130" t="s">
        <v>783</v>
      </c>
      <c r="B130" t="s">
        <v>783</v>
      </c>
      <c r="C130">
        <v>5.7484801140000004</v>
      </c>
      <c r="D130" s="27">
        <v>45958</v>
      </c>
      <c r="E130" s="27">
        <v>45987</v>
      </c>
      <c r="F130">
        <v>12.779267519999999</v>
      </c>
      <c r="G130">
        <v>297.06337226400001</v>
      </c>
      <c r="H130">
        <v>100.13290000000001</v>
      </c>
      <c r="I130" t="s">
        <v>68</v>
      </c>
      <c r="J130">
        <v>20241126</v>
      </c>
      <c r="K130" t="s">
        <v>43</v>
      </c>
      <c r="L130" t="s">
        <v>785</v>
      </c>
      <c r="M130" t="s">
        <v>43</v>
      </c>
      <c r="N130" t="s">
        <v>43</v>
      </c>
      <c r="O130" t="s">
        <v>43</v>
      </c>
      <c r="P130" t="s">
        <v>422</v>
      </c>
      <c r="Q130">
        <v>2024</v>
      </c>
      <c r="S130" t="s">
        <v>785</v>
      </c>
      <c r="T130" t="s">
        <v>134</v>
      </c>
      <c r="U130" t="s">
        <v>27</v>
      </c>
    </row>
    <row r="131" spans="1:21" x14ac:dyDescent="0.25">
      <c r="A131" t="s">
        <v>558</v>
      </c>
      <c r="B131" t="s">
        <v>558</v>
      </c>
      <c r="C131">
        <v>8.2745265989999996</v>
      </c>
      <c r="D131" s="27">
        <v>45952</v>
      </c>
      <c r="E131" s="27">
        <v>46185</v>
      </c>
      <c r="F131">
        <v>18.026611926000001</v>
      </c>
      <c r="G131">
        <v>199.21466742600001</v>
      </c>
      <c r="H131">
        <v>100.3793</v>
      </c>
      <c r="I131" t="s">
        <v>165</v>
      </c>
      <c r="J131">
        <v>20240612</v>
      </c>
      <c r="K131" t="s">
        <v>23</v>
      </c>
      <c r="L131" t="s">
        <v>43</v>
      </c>
      <c r="M131" t="s">
        <v>43</v>
      </c>
      <c r="N131" t="s">
        <v>43</v>
      </c>
      <c r="O131" t="s">
        <v>43</v>
      </c>
      <c r="P131" t="s">
        <v>1536</v>
      </c>
      <c r="Q131">
        <v>2024</v>
      </c>
      <c r="S131" t="s">
        <v>23</v>
      </c>
      <c r="T131" t="s">
        <v>159</v>
      </c>
      <c r="U131" t="s">
        <v>23</v>
      </c>
    </row>
    <row r="132" spans="1:21" x14ac:dyDescent="0.25">
      <c r="A132" t="s">
        <v>750</v>
      </c>
      <c r="B132" t="s">
        <v>750</v>
      </c>
      <c r="C132">
        <v>8.8400926979999994</v>
      </c>
      <c r="D132" s="27">
        <v>45952</v>
      </c>
      <c r="E132" s="27">
        <v>46185</v>
      </c>
      <c r="F132">
        <v>12.02888422</v>
      </c>
      <c r="G132">
        <v>295.53740008699998</v>
      </c>
      <c r="H132">
        <v>100.2927</v>
      </c>
      <c r="I132" t="s">
        <v>165</v>
      </c>
      <c r="J132">
        <v>20240612</v>
      </c>
      <c r="K132" t="s">
        <v>169</v>
      </c>
      <c r="L132" t="s">
        <v>43</v>
      </c>
      <c r="M132" t="s">
        <v>43</v>
      </c>
      <c r="N132" t="s">
        <v>43</v>
      </c>
      <c r="O132" t="s">
        <v>43</v>
      </c>
      <c r="P132" t="s">
        <v>1536</v>
      </c>
      <c r="Q132">
        <v>2024</v>
      </c>
      <c r="S132" t="s">
        <v>169</v>
      </c>
      <c r="T132" t="s">
        <v>159</v>
      </c>
      <c r="U132" t="s">
        <v>27</v>
      </c>
    </row>
    <row r="133" spans="1:21" x14ac:dyDescent="0.25">
      <c r="A133" t="s">
        <v>559</v>
      </c>
      <c r="B133" t="s">
        <v>559</v>
      </c>
      <c r="C133">
        <v>8.0334814090000002</v>
      </c>
      <c r="D133" s="27">
        <v>45949</v>
      </c>
      <c r="E133" s="27">
        <v>46131</v>
      </c>
      <c r="F133">
        <v>17.915724614999998</v>
      </c>
      <c r="G133">
        <v>229.63817751600001</v>
      </c>
      <c r="H133">
        <v>100.6591</v>
      </c>
      <c r="I133" t="s">
        <v>165</v>
      </c>
      <c r="J133">
        <v>20240419</v>
      </c>
      <c r="K133" t="s">
        <v>23</v>
      </c>
      <c r="L133" t="s">
        <v>43</v>
      </c>
      <c r="M133" t="s">
        <v>43</v>
      </c>
      <c r="N133" t="s">
        <v>43</v>
      </c>
      <c r="O133" t="s">
        <v>43</v>
      </c>
      <c r="P133" t="s">
        <v>1536</v>
      </c>
      <c r="Q133">
        <v>2024</v>
      </c>
      <c r="S133" t="s">
        <v>23</v>
      </c>
      <c r="T133" t="s">
        <v>159</v>
      </c>
      <c r="U133" t="s">
        <v>23</v>
      </c>
    </row>
    <row r="134" spans="1:21" x14ac:dyDescent="0.25">
      <c r="A134" t="s">
        <v>752</v>
      </c>
      <c r="B134" t="s">
        <v>752</v>
      </c>
      <c r="C134">
        <v>8.6491277780000004</v>
      </c>
      <c r="D134" s="27">
        <v>45949</v>
      </c>
      <c r="E134" s="27">
        <v>46131</v>
      </c>
      <c r="F134">
        <v>11.909558123</v>
      </c>
      <c r="G134">
        <v>326.44972183900001</v>
      </c>
      <c r="H134">
        <v>100.8783</v>
      </c>
      <c r="I134" t="s">
        <v>165</v>
      </c>
      <c r="J134">
        <v>20240419</v>
      </c>
      <c r="K134" t="s">
        <v>169</v>
      </c>
      <c r="L134" t="s">
        <v>43</v>
      </c>
      <c r="M134" t="s">
        <v>43</v>
      </c>
      <c r="N134" t="s">
        <v>43</v>
      </c>
      <c r="O134" t="s">
        <v>43</v>
      </c>
      <c r="P134" t="s">
        <v>1536</v>
      </c>
      <c r="Q134">
        <v>2024</v>
      </c>
      <c r="S134" t="s">
        <v>169</v>
      </c>
      <c r="T134" t="s">
        <v>159</v>
      </c>
      <c r="U134" t="s">
        <v>27</v>
      </c>
    </row>
    <row r="135" spans="1:21" x14ac:dyDescent="0.25">
      <c r="A135" t="s">
        <v>761</v>
      </c>
      <c r="B135" t="s">
        <v>761</v>
      </c>
      <c r="C135">
        <v>6.3388070499999998</v>
      </c>
      <c r="D135" s="27">
        <v>45945</v>
      </c>
      <c r="E135" s="27">
        <v>45214</v>
      </c>
      <c r="F135">
        <v>11.001291799000001</v>
      </c>
      <c r="G135">
        <v>373.36840535499999</v>
      </c>
      <c r="H135">
        <v>100.3862</v>
      </c>
      <c r="I135" t="s">
        <v>66</v>
      </c>
      <c r="J135">
        <v>20210930</v>
      </c>
      <c r="K135" t="s">
        <v>43</v>
      </c>
      <c r="L135" t="s">
        <v>43</v>
      </c>
      <c r="M135" t="s">
        <v>763</v>
      </c>
      <c r="N135" t="s">
        <v>43</v>
      </c>
      <c r="O135" t="s">
        <v>43</v>
      </c>
      <c r="P135" t="s">
        <v>411</v>
      </c>
      <c r="Q135">
        <v>2021</v>
      </c>
      <c r="S135" t="s">
        <v>763</v>
      </c>
      <c r="T135" t="s">
        <v>155</v>
      </c>
      <c r="U135" t="s">
        <v>27</v>
      </c>
    </row>
    <row r="136" spans="1:21" x14ac:dyDescent="0.25">
      <c r="A136" t="s">
        <v>561</v>
      </c>
      <c r="B136" t="s">
        <v>561</v>
      </c>
      <c r="C136">
        <v>8.1799956120000008</v>
      </c>
      <c r="D136" s="27">
        <v>45945</v>
      </c>
      <c r="E136" s="27">
        <v>46227</v>
      </c>
      <c r="F136">
        <v>19.104526775</v>
      </c>
      <c r="G136">
        <v>225.52068916600001</v>
      </c>
      <c r="H136">
        <v>100.61190000000001</v>
      </c>
      <c r="I136" t="s">
        <v>66</v>
      </c>
      <c r="J136">
        <v>20240724</v>
      </c>
      <c r="K136" t="s">
        <v>43</v>
      </c>
      <c r="L136" t="s">
        <v>43</v>
      </c>
      <c r="M136" t="s">
        <v>23</v>
      </c>
      <c r="N136" t="s">
        <v>43</v>
      </c>
      <c r="O136" t="s">
        <v>43</v>
      </c>
      <c r="P136" t="s">
        <v>411</v>
      </c>
      <c r="Q136">
        <v>2024</v>
      </c>
      <c r="S136" t="s">
        <v>23</v>
      </c>
      <c r="T136" t="s">
        <v>155</v>
      </c>
      <c r="U136" t="s">
        <v>23</v>
      </c>
    </row>
    <row r="137" spans="1:21" x14ac:dyDescent="0.25">
      <c r="A137" t="s">
        <v>754</v>
      </c>
      <c r="B137" t="s">
        <v>754</v>
      </c>
      <c r="C137">
        <v>8.8331148559999999</v>
      </c>
      <c r="D137" s="27">
        <v>45945</v>
      </c>
      <c r="E137" s="27">
        <v>46227</v>
      </c>
      <c r="F137">
        <v>12.342366475</v>
      </c>
      <c r="G137">
        <v>352.91022696300001</v>
      </c>
      <c r="H137">
        <v>100.78570000000001</v>
      </c>
      <c r="I137" t="s">
        <v>66</v>
      </c>
      <c r="J137">
        <v>20240724</v>
      </c>
      <c r="K137" t="s">
        <v>43</v>
      </c>
      <c r="L137" t="s">
        <v>43</v>
      </c>
      <c r="M137" t="s">
        <v>169</v>
      </c>
      <c r="N137" t="s">
        <v>43</v>
      </c>
      <c r="O137" t="s">
        <v>43</v>
      </c>
      <c r="P137" t="s">
        <v>411</v>
      </c>
      <c r="Q137">
        <v>2024</v>
      </c>
      <c r="S137" t="s">
        <v>169</v>
      </c>
      <c r="T137" t="s">
        <v>155</v>
      </c>
      <c r="U137" t="s">
        <v>27</v>
      </c>
    </row>
    <row r="138" spans="1:21" x14ac:dyDescent="0.25">
      <c r="A138" t="s">
        <v>756</v>
      </c>
      <c r="B138" t="s">
        <v>756</v>
      </c>
      <c r="C138">
        <v>8.7565212839999997</v>
      </c>
      <c r="D138" s="27">
        <v>45952</v>
      </c>
      <c r="E138" s="27">
        <v>46197</v>
      </c>
      <c r="F138">
        <v>12.440063252</v>
      </c>
      <c r="G138">
        <v>361.62832750899997</v>
      </c>
      <c r="H138">
        <v>100.8629</v>
      </c>
      <c r="I138" t="s">
        <v>66</v>
      </c>
      <c r="J138">
        <v>20240624</v>
      </c>
      <c r="K138" t="s">
        <v>43</v>
      </c>
      <c r="L138" t="s">
        <v>43</v>
      </c>
      <c r="M138" t="s">
        <v>169</v>
      </c>
      <c r="N138" t="s">
        <v>43</v>
      </c>
      <c r="O138" t="s">
        <v>43</v>
      </c>
      <c r="P138" t="s">
        <v>411</v>
      </c>
      <c r="Q138">
        <v>2024</v>
      </c>
      <c r="S138" t="s">
        <v>169</v>
      </c>
      <c r="T138" t="s">
        <v>155</v>
      </c>
      <c r="U138" t="s">
        <v>27</v>
      </c>
    </row>
    <row r="139" spans="1:21" x14ac:dyDescent="0.25">
      <c r="A139" t="s">
        <v>758</v>
      </c>
      <c r="B139" t="s">
        <v>758</v>
      </c>
      <c r="C139">
        <v>6.0237551800000002</v>
      </c>
      <c r="D139" s="27">
        <v>45945</v>
      </c>
      <c r="E139" s="27">
        <v>45015</v>
      </c>
      <c r="F139">
        <v>11.148696661000001</v>
      </c>
      <c r="G139">
        <v>362.96682313100001</v>
      </c>
      <c r="H139">
        <v>100.39100000000001</v>
      </c>
      <c r="I139" t="s">
        <v>166</v>
      </c>
      <c r="J139">
        <v>20210330</v>
      </c>
      <c r="K139" t="s">
        <v>169</v>
      </c>
      <c r="L139" t="s">
        <v>43</v>
      </c>
      <c r="M139" t="s">
        <v>43</v>
      </c>
      <c r="N139" t="s">
        <v>43</v>
      </c>
      <c r="O139" t="s">
        <v>43</v>
      </c>
      <c r="P139" t="s">
        <v>411</v>
      </c>
      <c r="Q139">
        <v>2021</v>
      </c>
      <c r="S139" t="s">
        <v>169</v>
      </c>
      <c r="T139" t="s">
        <v>159</v>
      </c>
      <c r="U139" t="s">
        <v>27</v>
      </c>
    </row>
    <row r="140" spans="1:21" x14ac:dyDescent="0.25">
      <c r="A140" t="s">
        <v>570</v>
      </c>
      <c r="B140" t="s">
        <v>570</v>
      </c>
      <c r="C140">
        <v>6.6005668120000003</v>
      </c>
      <c r="D140" s="27">
        <v>45950</v>
      </c>
      <c r="E140" s="27">
        <v>46018</v>
      </c>
      <c r="F140">
        <v>17.742725965999998</v>
      </c>
      <c r="G140">
        <v>178.505259239</v>
      </c>
      <c r="H140">
        <v>100.3578</v>
      </c>
      <c r="I140" t="s">
        <v>67</v>
      </c>
      <c r="J140">
        <v>20241227</v>
      </c>
      <c r="K140" t="s">
        <v>43</v>
      </c>
      <c r="L140" t="s">
        <v>43</v>
      </c>
      <c r="M140" t="s">
        <v>573</v>
      </c>
      <c r="N140" t="s">
        <v>43</v>
      </c>
      <c r="O140" t="s">
        <v>43</v>
      </c>
      <c r="P140" t="s">
        <v>263</v>
      </c>
      <c r="Q140">
        <v>2024</v>
      </c>
      <c r="S140" t="s">
        <v>573</v>
      </c>
      <c r="T140" t="s">
        <v>155</v>
      </c>
      <c r="U140" t="s">
        <v>23</v>
      </c>
    </row>
    <row r="141" spans="1:21" x14ac:dyDescent="0.25">
      <c r="A141" t="s">
        <v>769</v>
      </c>
      <c r="B141" t="s">
        <v>769</v>
      </c>
      <c r="C141">
        <v>7.0697700780000003</v>
      </c>
      <c r="D141" s="27">
        <v>45950</v>
      </c>
      <c r="E141" s="27">
        <v>46018</v>
      </c>
      <c r="F141">
        <v>11.723901036999999</v>
      </c>
      <c r="G141">
        <v>272.62172294800001</v>
      </c>
      <c r="H141">
        <v>100.12909999999999</v>
      </c>
      <c r="I141" t="s">
        <v>67</v>
      </c>
      <c r="J141">
        <v>20241227</v>
      </c>
      <c r="K141" t="s">
        <v>43</v>
      </c>
      <c r="L141" t="s">
        <v>43</v>
      </c>
      <c r="M141" t="s">
        <v>763</v>
      </c>
      <c r="N141" t="s">
        <v>43</v>
      </c>
      <c r="O141" t="s">
        <v>43</v>
      </c>
      <c r="P141" t="s">
        <v>263</v>
      </c>
      <c r="Q141">
        <v>2024</v>
      </c>
      <c r="S141" t="s">
        <v>763</v>
      </c>
      <c r="T141" t="s">
        <v>155</v>
      </c>
      <c r="U141" t="s">
        <v>27</v>
      </c>
    </row>
    <row r="142" spans="1:21" x14ac:dyDescent="0.25">
      <c r="A142" t="s">
        <v>771</v>
      </c>
      <c r="B142" t="s">
        <v>771</v>
      </c>
      <c r="C142">
        <v>4.6776646770000001</v>
      </c>
      <c r="D142" s="27">
        <v>45950</v>
      </c>
      <c r="E142" s="27">
        <v>45651</v>
      </c>
      <c r="F142">
        <v>12.038467710999999</v>
      </c>
      <c r="G142">
        <v>270.26455466599998</v>
      </c>
      <c r="H142">
        <v>100.1861</v>
      </c>
      <c r="I142" t="s">
        <v>167</v>
      </c>
      <c r="J142">
        <v>20240625</v>
      </c>
      <c r="K142" t="s">
        <v>169</v>
      </c>
      <c r="L142" t="s">
        <v>43</v>
      </c>
      <c r="M142" t="s">
        <v>43</v>
      </c>
      <c r="N142" t="s">
        <v>43</v>
      </c>
      <c r="O142" t="s">
        <v>43</v>
      </c>
      <c r="P142" t="s">
        <v>263</v>
      </c>
      <c r="Q142">
        <v>2024</v>
      </c>
      <c r="S142" t="s">
        <v>169</v>
      </c>
      <c r="T142" t="s">
        <v>159</v>
      </c>
      <c r="U142" t="s">
        <v>27</v>
      </c>
    </row>
    <row r="143" spans="1:21" x14ac:dyDescent="0.25">
      <c r="A143" t="s">
        <v>773</v>
      </c>
      <c r="B143" t="s">
        <v>773</v>
      </c>
      <c r="C143">
        <v>9.1320602490000002</v>
      </c>
      <c r="D143" s="27">
        <v>45950</v>
      </c>
      <c r="E143" s="27">
        <v>46316</v>
      </c>
      <c r="F143">
        <v>11.735818284</v>
      </c>
      <c r="G143">
        <v>295.82525389300002</v>
      </c>
      <c r="H143">
        <v>100.2803</v>
      </c>
      <c r="I143" t="s">
        <v>67</v>
      </c>
      <c r="J143">
        <v>20241021</v>
      </c>
      <c r="K143" t="s">
        <v>43</v>
      </c>
      <c r="L143" t="s">
        <v>43</v>
      </c>
      <c r="M143" t="s">
        <v>169</v>
      </c>
      <c r="N143" t="s">
        <v>43</v>
      </c>
      <c r="O143" t="s">
        <v>43</v>
      </c>
      <c r="P143" t="s">
        <v>263</v>
      </c>
      <c r="Q143">
        <v>2024</v>
      </c>
      <c r="S143" t="s">
        <v>169</v>
      </c>
      <c r="T143" t="s">
        <v>155</v>
      </c>
      <c r="U143" t="s">
        <v>27</v>
      </c>
    </row>
    <row r="144" spans="1:21" x14ac:dyDescent="0.25">
      <c r="A144" t="s">
        <v>777</v>
      </c>
      <c r="B144" t="s">
        <v>777</v>
      </c>
      <c r="C144">
        <v>8.5484472290000006</v>
      </c>
      <c r="D144" s="27">
        <v>45956</v>
      </c>
      <c r="E144" s="27">
        <v>46100</v>
      </c>
      <c r="F144">
        <v>12.542421632</v>
      </c>
      <c r="G144">
        <v>330.26119481500001</v>
      </c>
      <c r="H144">
        <v>100.62390000000001</v>
      </c>
      <c r="I144" t="s">
        <v>67</v>
      </c>
      <c r="J144">
        <v>20240319</v>
      </c>
      <c r="K144" t="s">
        <v>43</v>
      </c>
      <c r="L144" t="s">
        <v>43</v>
      </c>
      <c r="M144" t="s">
        <v>169</v>
      </c>
      <c r="N144" t="s">
        <v>43</v>
      </c>
      <c r="O144" t="s">
        <v>43</v>
      </c>
      <c r="P144" t="s">
        <v>263</v>
      </c>
      <c r="Q144">
        <v>2024</v>
      </c>
      <c r="S144" t="s">
        <v>169</v>
      </c>
      <c r="T144" t="s">
        <v>155</v>
      </c>
      <c r="U144" t="s">
        <v>27</v>
      </c>
    </row>
    <row r="145" spans="1:21" x14ac:dyDescent="0.25">
      <c r="A145" t="s">
        <v>781</v>
      </c>
      <c r="B145" t="s">
        <v>781</v>
      </c>
      <c r="C145">
        <v>9.6992957729999993</v>
      </c>
      <c r="D145" s="27">
        <v>45950</v>
      </c>
      <c r="E145" s="27">
        <v>46536</v>
      </c>
      <c r="F145">
        <v>11.764292093</v>
      </c>
      <c r="G145">
        <v>345.64255368200003</v>
      </c>
      <c r="H145">
        <v>100.2848</v>
      </c>
      <c r="I145" t="s">
        <v>67</v>
      </c>
      <c r="J145">
        <v>20250529</v>
      </c>
      <c r="K145" t="s">
        <v>43</v>
      </c>
      <c r="L145" t="s">
        <v>43</v>
      </c>
      <c r="M145" t="s">
        <v>169</v>
      </c>
      <c r="N145" t="s">
        <v>43</v>
      </c>
      <c r="O145" t="s">
        <v>43</v>
      </c>
      <c r="P145" t="s">
        <v>263</v>
      </c>
      <c r="Q145">
        <v>2025</v>
      </c>
      <c r="S145" t="s">
        <v>169</v>
      </c>
      <c r="T145" t="s">
        <v>155</v>
      </c>
      <c r="U145" t="s">
        <v>27</v>
      </c>
    </row>
    <row r="146" spans="1:21" x14ac:dyDescent="0.25">
      <c r="A146" t="s">
        <v>574</v>
      </c>
      <c r="B146" t="s">
        <v>574</v>
      </c>
      <c r="C146">
        <v>8.7332148689999993</v>
      </c>
      <c r="D146" s="27">
        <v>45950</v>
      </c>
      <c r="E146" s="27">
        <v>46407</v>
      </c>
      <c r="F146">
        <v>18.016242340000002</v>
      </c>
      <c r="G146">
        <v>173.176592089</v>
      </c>
      <c r="H146">
        <v>100.1223</v>
      </c>
      <c r="I146" t="s">
        <v>67</v>
      </c>
      <c r="J146">
        <v>20250129</v>
      </c>
      <c r="K146" t="s">
        <v>43</v>
      </c>
      <c r="L146" t="s">
        <v>43</v>
      </c>
      <c r="M146" t="s">
        <v>573</v>
      </c>
      <c r="N146" t="s">
        <v>43</v>
      </c>
      <c r="O146" t="s">
        <v>43</v>
      </c>
      <c r="P146" t="s">
        <v>263</v>
      </c>
      <c r="Q146">
        <v>2025</v>
      </c>
      <c r="S146" t="s">
        <v>573</v>
      </c>
      <c r="T146" t="s">
        <v>155</v>
      </c>
      <c r="U146" t="s">
        <v>23</v>
      </c>
    </row>
    <row r="147" spans="1:21" x14ac:dyDescent="0.25">
      <c r="A147" t="s">
        <v>779</v>
      </c>
      <c r="B147" t="s">
        <v>779</v>
      </c>
      <c r="C147">
        <v>9.254495082</v>
      </c>
      <c r="D147" s="27">
        <v>45950</v>
      </c>
      <c r="E147" s="27">
        <v>46407</v>
      </c>
      <c r="F147">
        <v>12.017430804</v>
      </c>
      <c r="G147">
        <v>256.21663535499999</v>
      </c>
      <c r="H147">
        <v>100.2611</v>
      </c>
      <c r="I147" t="s">
        <v>67</v>
      </c>
      <c r="J147">
        <v>20250129</v>
      </c>
      <c r="K147" t="s">
        <v>43</v>
      </c>
      <c r="L147" t="s">
        <v>43</v>
      </c>
      <c r="M147" t="s">
        <v>27</v>
      </c>
      <c r="N147" t="s">
        <v>43</v>
      </c>
      <c r="O147" t="s">
        <v>43</v>
      </c>
      <c r="P147" t="s">
        <v>263</v>
      </c>
      <c r="Q147">
        <v>2025</v>
      </c>
      <c r="S147" t="s">
        <v>27</v>
      </c>
      <c r="T147" t="s">
        <v>155</v>
      </c>
      <c r="U147" t="s">
        <v>27</v>
      </c>
    </row>
    <row r="148" spans="1:21" x14ac:dyDescent="0.25">
      <c r="A148" t="s">
        <v>775</v>
      </c>
      <c r="B148" t="s">
        <v>775</v>
      </c>
      <c r="C148">
        <v>9.0925476589999992</v>
      </c>
      <c r="D148" s="27">
        <v>45956</v>
      </c>
      <c r="E148" s="27">
        <v>46321</v>
      </c>
      <c r="F148">
        <v>11.810121729</v>
      </c>
      <c r="G148">
        <v>280.18418309800001</v>
      </c>
      <c r="H148">
        <v>100.32680000000001</v>
      </c>
      <c r="I148" t="s">
        <v>67</v>
      </c>
      <c r="J148">
        <v>20241028</v>
      </c>
      <c r="K148" t="s">
        <v>43</v>
      </c>
      <c r="L148" t="s">
        <v>43</v>
      </c>
      <c r="M148" t="s">
        <v>169</v>
      </c>
      <c r="N148" t="s">
        <v>43</v>
      </c>
      <c r="O148" t="s">
        <v>43</v>
      </c>
      <c r="P148" t="s">
        <v>263</v>
      </c>
      <c r="Q148">
        <v>2024</v>
      </c>
      <c r="S148" t="s">
        <v>169</v>
      </c>
      <c r="T148" t="s">
        <v>155</v>
      </c>
      <c r="U148" t="s">
        <v>27</v>
      </c>
    </row>
    <row r="149" spans="1:21" x14ac:dyDescent="0.25">
      <c r="A149" t="s">
        <v>576</v>
      </c>
      <c r="B149" t="s">
        <v>576</v>
      </c>
      <c r="C149">
        <v>8.764060787</v>
      </c>
      <c r="D149" s="27">
        <v>45955</v>
      </c>
      <c r="E149" s="27">
        <v>46412</v>
      </c>
      <c r="F149">
        <v>18.297687215</v>
      </c>
      <c r="G149">
        <v>168.056914517</v>
      </c>
      <c r="H149">
        <v>100.1317</v>
      </c>
      <c r="I149" t="s">
        <v>68</v>
      </c>
      <c r="J149">
        <v>20250206</v>
      </c>
      <c r="K149" t="s">
        <v>43</v>
      </c>
      <c r="L149" t="s">
        <v>43</v>
      </c>
      <c r="M149" t="s">
        <v>23</v>
      </c>
      <c r="N149" t="s">
        <v>43</v>
      </c>
      <c r="O149" t="s">
        <v>43</v>
      </c>
      <c r="P149" t="s">
        <v>422</v>
      </c>
      <c r="Q149">
        <v>2025</v>
      </c>
      <c r="S149" t="s">
        <v>23</v>
      </c>
      <c r="T149" t="s">
        <v>155</v>
      </c>
      <c r="U149" t="s">
        <v>23</v>
      </c>
    </row>
    <row r="150" spans="1:21" x14ac:dyDescent="0.25">
      <c r="A150" t="s">
        <v>802</v>
      </c>
      <c r="B150" t="s">
        <v>802</v>
      </c>
      <c r="C150">
        <v>9.2831910499999992</v>
      </c>
      <c r="D150" s="27">
        <v>45955</v>
      </c>
      <c r="E150" s="27">
        <v>46412</v>
      </c>
      <c r="F150">
        <v>12.319469206999999</v>
      </c>
      <c r="G150">
        <v>260.60747225</v>
      </c>
      <c r="H150">
        <v>99.949299999999994</v>
      </c>
      <c r="I150" t="s">
        <v>68</v>
      </c>
      <c r="J150">
        <v>20250206</v>
      </c>
      <c r="K150" t="s">
        <v>43</v>
      </c>
      <c r="L150" t="s">
        <v>43</v>
      </c>
      <c r="M150" t="s">
        <v>169</v>
      </c>
      <c r="N150" t="s">
        <v>43</v>
      </c>
      <c r="O150" t="s">
        <v>43</v>
      </c>
      <c r="P150" t="s">
        <v>422</v>
      </c>
      <c r="Q150">
        <v>2025</v>
      </c>
      <c r="S150" t="s">
        <v>169</v>
      </c>
      <c r="T150" t="s">
        <v>155</v>
      </c>
      <c r="U150" t="s">
        <v>27</v>
      </c>
    </row>
    <row r="151" spans="1:21" x14ac:dyDescent="0.25">
      <c r="A151" t="s">
        <v>581</v>
      </c>
      <c r="B151" t="s">
        <v>581</v>
      </c>
      <c r="C151">
        <v>8.7414526759999998</v>
      </c>
      <c r="D151" s="27">
        <v>45945</v>
      </c>
      <c r="E151" s="27">
        <v>46402</v>
      </c>
      <c r="F151">
        <v>18.025175648000001</v>
      </c>
      <c r="G151">
        <v>180.638801527</v>
      </c>
      <c r="H151">
        <v>100.3</v>
      </c>
      <c r="I151" t="s">
        <v>68</v>
      </c>
      <c r="J151">
        <v>20250115</v>
      </c>
      <c r="K151" t="s">
        <v>43</v>
      </c>
      <c r="L151" t="s">
        <v>43</v>
      </c>
      <c r="M151" t="s">
        <v>23</v>
      </c>
      <c r="N151" t="s">
        <v>43</v>
      </c>
      <c r="O151" t="s">
        <v>43</v>
      </c>
      <c r="P151" t="s">
        <v>422</v>
      </c>
      <c r="Q151">
        <v>2025</v>
      </c>
      <c r="S151" t="s">
        <v>23</v>
      </c>
      <c r="T151" t="s">
        <v>155</v>
      </c>
      <c r="U151" t="s">
        <v>23</v>
      </c>
    </row>
    <row r="152" spans="1:21" x14ac:dyDescent="0.25">
      <c r="A152" t="s">
        <v>810</v>
      </c>
      <c r="B152" t="s">
        <v>810</v>
      </c>
      <c r="C152">
        <v>9.2397407549999997</v>
      </c>
      <c r="D152" s="27">
        <v>45945</v>
      </c>
      <c r="E152" s="27">
        <v>46402</v>
      </c>
      <c r="F152">
        <v>12.027017768</v>
      </c>
      <c r="G152">
        <v>266.53895710699999</v>
      </c>
      <c r="H152">
        <v>100.94289999999999</v>
      </c>
      <c r="I152" t="s">
        <v>68</v>
      </c>
      <c r="J152">
        <v>20250115</v>
      </c>
      <c r="K152" t="s">
        <v>43</v>
      </c>
      <c r="L152" t="s">
        <v>43</v>
      </c>
      <c r="M152" t="s">
        <v>169</v>
      </c>
      <c r="N152" t="s">
        <v>43</v>
      </c>
      <c r="O152" t="s">
        <v>43</v>
      </c>
      <c r="P152" t="s">
        <v>422</v>
      </c>
      <c r="Q152">
        <v>2025</v>
      </c>
      <c r="S152" t="s">
        <v>169</v>
      </c>
      <c r="T152" t="s">
        <v>155</v>
      </c>
      <c r="U152" t="s">
        <v>27</v>
      </c>
    </row>
    <row r="153" spans="1:21" x14ac:dyDescent="0.25">
      <c r="A153" t="s">
        <v>804</v>
      </c>
      <c r="B153" t="s">
        <v>804</v>
      </c>
      <c r="C153">
        <v>7.9824591739999997</v>
      </c>
      <c r="D153" s="27">
        <v>45955</v>
      </c>
      <c r="E153" s="27">
        <v>45955</v>
      </c>
      <c r="F153">
        <v>12.286926706999999</v>
      </c>
      <c r="G153">
        <v>440.29024374300002</v>
      </c>
      <c r="H153">
        <v>100.5634</v>
      </c>
      <c r="I153" t="s">
        <v>170</v>
      </c>
      <c r="J153">
        <v>20231110</v>
      </c>
      <c r="K153" t="s">
        <v>43</v>
      </c>
      <c r="L153" t="s">
        <v>43</v>
      </c>
      <c r="M153" t="s">
        <v>27</v>
      </c>
      <c r="N153" t="s">
        <v>43</v>
      </c>
      <c r="O153" t="s">
        <v>43</v>
      </c>
      <c r="P153" t="s">
        <v>422</v>
      </c>
      <c r="Q153">
        <v>2023</v>
      </c>
      <c r="S153" t="s">
        <v>27</v>
      </c>
      <c r="T153" t="s">
        <v>155</v>
      </c>
      <c r="U153" t="s">
        <v>27</v>
      </c>
    </row>
    <row r="154" spans="1:21" x14ac:dyDescent="0.25">
      <c r="A154" t="s">
        <v>808</v>
      </c>
      <c r="B154" t="s">
        <v>808</v>
      </c>
      <c r="C154">
        <v>8.6684641829999993</v>
      </c>
      <c r="D154" s="27">
        <v>45945</v>
      </c>
      <c r="E154" s="27">
        <v>46096</v>
      </c>
      <c r="F154">
        <v>11.931603516999999</v>
      </c>
      <c r="G154">
        <v>351.19647409100003</v>
      </c>
      <c r="H154">
        <v>100.56310000000001</v>
      </c>
      <c r="I154" t="s">
        <v>68</v>
      </c>
      <c r="J154">
        <v>20240315</v>
      </c>
      <c r="K154" t="s">
        <v>43</v>
      </c>
      <c r="L154" t="s">
        <v>43</v>
      </c>
      <c r="M154" t="s">
        <v>169</v>
      </c>
      <c r="N154" t="s">
        <v>43</v>
      </c>
      <c r="O154" t="s">
        <v>43</v>
      </c>
      <c r="P154" t="s">
        <v>422</v>
      </c>
      <c r="Q154">
        <v>2024</v>
      </c>
      <c r="S154" t="s">
        <v>169</v>
      </c>
      <c r="T154" t="s">
        <v>155</v>
      </c>
      <c r="U154" t="s">
        <v>27</v>
      </c>
    </row>
    <row r="155" spans="1:21" x14ac:dyDescent="0.25">
      <c r="A155" t="s">
        <v>786</v>
      </c>
      <c r="B155" t="s">
        <v>786</v>
      </c>
      <c r="C155">
        <v>5.1649049729999996</v>
      </c>
      <c r="D155" s="27">
        <v>45947</v>
      </c>
      <c r="E155" s="27">
        <v>45764</v>
      </c>
      <c r="F155">
        <v>10.381565534</v>
      </c>
      <c r="G155">
        <v>332.84788634300003</v>
      </c>
      <c r="H155">
        <v>100.1378</v>
      </c>
      <c r="I155" t="s">
        <v>68</v>
      </c>
      <c r="J155">
        <v>20200320</v>
      </c>
      <c r="K155" t="s">
        <v>169</v>
      </c>
      <c r="L155" t="s">
        <v>43</v>
      </c>
      <c r="M155" t="s">
        <v>43</v>
      </c>
      <c r="N155" t="s">
        <v>43</v>
      </c>
      <c r="O155" t="s">
        <v>43</v>
      </c>
      <c r="P155" t="s">
        <v>422</v>
      </c>
      <c r="Q155">
        <v>2020</v>
      </c>
      <c r="S155" t="s">
        <v>169</v>
      </c>
      <c r="T155" t="s">
        <v>159</v>
      </c>
      <c r="U155" t="s">
        <v>27</v>
      </c>
    </row>
    <row r="156" spans="1:21" x14ac:dyDescent="0.25">
      <c r="A156" t="s">
        <v>790</v>
      </c>
      <c r="B156" t="s">
        <v>790</v>
      </c>
      <c r="C156">
        <v>5.7848788879999997</v>
      </c>
      <c r="D156" s="27">
        <v>45945</v>
      </c>
      <c r="E156" s="27">
        <v>45031</v>
      </c>
      <c r="F156">
        <v>12.015698607999999</v>
      </c>
      <c r="H156">
        <v>100.005</v>
      </c>
      <c r="I156" t="s">
        <v>68</v>
      </c>
      <c r="J156">
        <v>20210429</v>
      </c>
      <c r="K156" t="s">
        <v>169</v>
      </c>
      <c r="L156" t="s">
        <v>43</v>
      </c>
      <c r="M156" t="s">
        <v>43</v>
      </c>
      <c r="N156" t="s">
        <v>43</v>
      </c>
      <c r="O156" t="s">
        <v>43</v>
      </c>
      <c r="P156" t="s">
        <v>422</v>
      </c>
      <c r="Q156">
        <v>2021</v>
      </c>
      <c r="S156" t="s">
        <v>169</v>
      </c>
      <c r="T156" t="s">
        <v>159</v>
      </c>
      <c r="U156" t="s">
        <v>27</v>
      </c>
    </row>
    <row r="157" spans="1:21" x14ac:dyDescent="0.25">
      <c r="A157" t="s">
        <v>788</v>
      </c>
      <c r="B157" t="s">
        <v>788</v>
      </c>
      <c r="C157">
        <v>9.246522637</v>
      </c>
      <c r="D157" s="27">
        <v>45945</v>
      </c>
      <c r="E157" s="27">
        <v>46402</v>
      </c>
      <c r="F157">
        <v>12.664802861</v>
      </c>
      <c r="G157">
        <v>286.215967842</v>
      </c>
      <c r="H157">
        <v>100.95740000000001</v>
      </c>
      <c r="I157" t="s">
        <v>68</v>
      </c>
      <c r="J157">
        <v>20241212</v>
      </c>
      <c r="K157" t="s">
        <v>43</v>
      </c>
      <c r="L157" t="s">
        <v>43</v>
      </c>
      <c r="M157" t="s">
        <v>169</v>
      </c>
      <c r="N157" t="s">
        <v>43</v>
      </c>
      <c r="O157" t="s">
        <v>43</v>
      </c>
      <c r="P157" t="s">
        <v>422</v>
      </c>
      <c r="Q157">
        <v>2024</v>
      </c>
      <c r="S157" t="s">
        <v>169</v>
      </c>
      <c r="T157" t="s">
        <v>155</v>
      </c>
      <c r="U157" t="s">
        <v>27</v>
      </c>
    </row>
    <row r="158" spans="1:21" x14ac:dyDescent="0.25">
      <c r="A158" t="s">
        <v>796</v>
      </c>
      <c r="B158" t="s">
        <v>796</v>
      </c>
      <c r="C158">
        <v>5.8614029460000001</v>
      </c>
      <c r="D158" s="27">
        <v>45955</v>
      </c>
      <c r="E158" s="27">
        <v>45041</v>
      </c>
      <c r="F158">
        <v>11.048598092000001</v>
      </c>
      <c r="G158">
        <v>332.193811251</v>
      </c>
      <c r="H158">
        <v>100.42149999999999</v>
      </c>
      <c r="I158" t="s">
        <v>68</v>
      </c>
      <c r="J158">
        <v>20210415</v>
      </c>
      <c r="K158" t="s">
        <v>169</v>
      </c>
      <c r="L158" t="s">
        <v>43</v>
      </c>
      <c r="M158" t="s">
        <v>43</v>
      </c>
      <c r="N158" t="s">
        <v>43</v>
      </c>
      <c r="O158" t="s">
        <v>43</v>
      </c>
      <c r="P158" t="s">
        <v>422</v>
      </c>
      <c r="Q158">
        <v>2021</v>
      </c>
      <c r="S158" t="s">
        <v>169</v>
      </c>
      <c r="T158" t="s">
        <v>159</v>
      </c>
      <c r="U158" t="s">
        <v>27</v>
      </c>
    </row>
    <row r="159" spans="1:21" x14ac:dyDescent="0.25">
      <c r="A159" t="s">
        <v>794</v>
      </c>
      <c r="B159" t="s">
        <v>794</v>
      </c>
      <c r="C159">
        <v>9.2682575049999993</v>
      </c>
      <c r="D159" s="27">
        <v>45955</v>
      </c>
      <c r="E159" s="27">
        <v>46412</v>
      </c>
      <c r="F159">
        <v>12.419289269</v>
      </c>
      <c r="G159">
        <v>279.52014735099999</v>
      </c>
      <c r="H159">
        <v>100.3777</v>
      </c>
      <c r="I159" t="s">
        <v>68</v>
      </c>
      <c r="J159">
        <v>20250127</v>
      </c>
      <c r="K159" t="s">
        <v>43</v>
      </c>
      <c r="L159" t="s">
        <v>43</v>
      </c>
      <c r="M159" t="s">
        <v>169</v>
      </c>
      <c r="N159" t="s">
        <v>43</v>
      </c>
      <c r="O159" t="s">
        <v>43</v>
      </c>
      <c r="P159" t="s">
        <v>422</v>
      </c>
      <c r="Q159">
        <v>2025</v>
      </c>
      <c r="S159" t="s">
        <v>169</v>
      </c>
      <c r="T159" t="s">
        <v>155</v>
      </c>
      <c r="U159" t="s">
        <v>27</v>
      </c>
    </row>
    <row r="160" spans="1:21" x14ac:dyDescent="0.25">
      <c r="A160" t="s">
        <v>798</v>
      </c>
      <c r="B160" t="s">
        <v>798</v>
      </c>
      <c r="C160">
        <v>8.6960655219999996</v>
      </c>
      <c r="D160" s="27">
        <v>45950</v>
      </c>
      <c r="E160" s="27">
        <v>46132</v>
      </c>
      <c r="F160">
        <v>11.675918960000001</v>
      </c>
      <c r="G160">
        <v>376.67665521700002</v>
      </c>
      <c r="H160">
        <v>100.8493</v>
      </c>
      <c r="I160" t="s">
        <v>68</v>
      </c>
      <c r="J160">
        <v>20240415</v>
      </c>
      <c r="K160" t="s">
        <v>169</v>
      </c>
      <c r="L160" t="s">
        <v>43</v>
      </c>
      <c r="M160" t="s">
        <v>43</v>
      </c>
      <c r="N160" t="s">
        <v>43</v>
      </c>
      <c r="O160" t="s">
        <v>43</v>
      </c>
      <c r="P160" t="s">
        <v>422</v>
      </c>
      <c r="Q160">
        <v>2024</v>
      </c>
      <c r="S160" t="s">
        <v>169</v>
      </c>
      <c r="T160" t="s">
        <v>159</v>
      </c>
      <c r="U160" t="s">
        <v>27</v>
      </c>
    </row>
    <row r="161" spans="1:21" x14ac:dyDescent="0.25">
      <c r="A161" t="s">
        <v>792</v>
      </c>
      <c r="B161" t="s">
        <v>792</v>
      </c>
      <c r="C161">
        <v>8.6515573440000004</v>
      </c>
      <c r="D161" s="27">
        <v>45945</v>
      </c>
      <c r="E161" s="27">
        <v>46310</v>
      </c>
      <c r="F161">
        <v>12.538363794</v>
      </c>
      <c r="G161">
        <v>302.22790723100002</v>
      </c>
      <c r="H161">
        <v>100.83710000000001</v>
      </c>
      <c r="I161" t="s">
        <v>68</v>
      </c>
      <c r="J161">
        <v>20241114</v>
      </c>
      <c r="K161" t="s">
        <v>43</v>
      </c>
      <c r="L161" t="s">
        <v>43</v>
      </c>
      <c r="M161" t="s">
        <v>169</v>
      </c>
      <c r="N161" t="s">
        <v>43</v>
      </c>
      <c r="O161" t="s">
        <v>43</v>
      </c>
      <c r="P161" t="s">
        <v>422</v>
      </c>
      <c r="Q161">
        <v>2024</v>
      </c>
      <c r="S161" t="s">
        <v>169</v>
      </c>
      <c r="T161" t="s">
        <v>155</v>
      </c>
      <c r="U161" t="s">
        <v>27</v>
      </c>
    </row>
    <row r="162" spans="1:21" x14ac:dyDescent="0.25">
      <c r="A162" t="s">
        <v>800</v>
      </c>
      <c r="B162" t="s">
        <v>800</v>
      </c>
      <c r="C162">
        <v>7.6701939509999999</v>
      </c>
      <c r="D162" s="27">
        <v>45955</v>
      </c>
      <c r="E162" s="27">
        <v>45892</v>
      </c>
      <c r="F162">
        <v>12.350789731000001</v>
      </c>
      <c r="G162">
        <v>485.99715747699997</v>
      </c>
      <c r="H162">
        <v>100.77930000000001</v>
      </c>
      <c r="I162" t="s">
        <v>68</v>
      </c>
      <c r="J162">
        <v>20230823</v>
      </c>
      <c r="K162" t="s">
        <v>43</v>
      </c>
      <c r="L162" t="s">
        <v>43</v>
      </c>
      <c r="M162" t="s">
        <v>169</v>
      </c>
      <c r="N162" t="s">
        <v>43</v>
      </c>
      <c r="O162" t="s">
        <v>43</v>
      </c>
      <c r="P162" t="s">
        <v>422</v>
      </c>
      <c r="Q162">
        <v>2023</v>
      </c>
      <c r="S162" t="s">
        <v>169</v>
      </c>
      <c r="T162" t="s">
        <v>155</v>
      </c>
      <c r="U162" t="s">
        <v>27</v>
      </c>
    </row>
    <row r="163" spans="1:21" x14ac:dyDescent="0.25">
      <c r="A163" t="s">
        <v>579</v>
      </c>
      <c r="B163" t="s">
        <v>579</v>
      </c>
      <c r="C163">
        <v>7.3271128210000001</v>
      </c>
      <c r="D163" s="27">
        <v>45945</v>
      </c>
      <c r="E163" s="27">
        <v>45945</v>
      </c>
      <c r="F163">
        <v>18.667793511999999</v>
      </c>
      <c r="G163">
        <v>300.137485529</v>
      </c>
      <c r="H163">
        <v>100.5684</v>
      </c>
      <c r="I163" t="s">
        <v>68</v>
      </c>
      <c r="J163">
        <v>20231117</v>
      </c>
      <c r="K163" t="s">
        <v>43</v>
      </c>
      <c r="L163" t="s">
        <v>43</v>
      </c>
      <c r="M163" t="s">
        <v>23</v>
      </c>
      <c r="N163" t="s">
        <v>43</v>
      </c>
      <c r="O163" t="s">
        <v>43</v>
      </c>
      <c r="P163" t="s">
        <v>422</v>
      </c>
      <c r="Q163">
        <v>2023</v>
      </c>
      <c r="S163" t="s">
        <v>23</v>
      </c>
      <c r="T163" t="s">
        <v>155</v>
      </c>
      <c r="U163" t="s">
        <v>23</v>
      </c>
    </row>
    <row r="164" spans="1:21" x14ac:dyDescent="0.25">
      <c r="A164" t="s">
        <v>806</v>
      </c>
      <c r="B164" t="s">
        <v>806</v>
      </c>
      <c r="C164">
        <v>7.9490822019999996</v>
      </c>
      <c r="D164" s="27">
        <v>45945</v>
      </c>
      <c r="E164" s="27">
        <v>45945</v>
      </c>
      <c r="F164">
        <v>12.276510721999999</v>
      </c>
      <c r="G164">
        <v>453.36464827100002</v>
      </c>
      <c r="H164">
        <v>100.8484</v>
      </c>
      <c r="I164" t="s">
        <v>68</v>
      </c>
      <c r="J164">
        <v>20231117</v>
      </c>
      <c r="K164" t="s">
        <v>43</v>
      </c>
      <c r="L164" t="s">
        <v>43</v>
      </c>
      <c r="M164" t="s">
        <v>169</v>
      </c>
      <c r="N164" t="s">
        <v>43</v>
      </c>
      <c r="O164" t="s">
        <v>43</v>
      </c>
      <c r="P164" t="s">
        <v>422</v>
      </c>
      <c r="Q164">
        <v>2023</v>
      </c>
      <c r="S164" t="s">
        <v>169</v>
      </c>
      <c r="T164" t="s">
        <v>155</v>
      </c>
      <c r="U164" t="s">
        <v>27</v>
      </c>
    </row>
    <row r="165" spans="1:21" x14ac:dyDescent="0.25">
      <c r="A165" t="s">
        <v>583</v>
      </c>
      <c r="B165" t="s">
        <v>583</v>
      </c>
      <c r="C165">
        <v>8.6883225379999995</v>
      </c>
      <c r="D165" s="27">
        <v>45954</v>
      </c>
      <c r="E165" s="27">
        <v>46411</v>
      </c>
      <c r="F165">
        <v>18.029357945000001</v>
      </c>
      <c r="G165">
        <v>179.33428810999999</v>
      </c>
      <c r="H165">
        <v>100.39</v>
      </c>
      <c r="I165" t="s">
        <v>68</v>
      </c>
      <c r="J165">
        <v>20250131</v>
      </c>
      <c r="K165" t="s">
        <v>43</v>
      </c>
      <c r="L165" t="s">
        <v>43</v>
      </c>
      <c r="M165" t="s">
        <v>23</v>
      </c>
      <c r="N165" t="s">
        <v>43</v>
      </c>
      <c r="O165" t="s">
        <v>43</v>
      </c>
      <c r="P165" t="s">
        <v>422</v>
      </c>
      <c r="Q165">
        <v>2025</v>
      </c>
      <c r="S165" t="s">
        <v>23</v>
      </c>
      <c r="T165" t="s">
        <v>155</v>
      </c>
      <c r="U165" t="s">
        <v>23</v>
      </c>
    </row>
    <row r="166" spans="1:21" x14ac:dyDescent="0.25">
      <c r="A166" t="s">
        <v>812</v>
      </c>
      <c r="B166" t="s">
        <v>812</v>
      </c>
      <c r="C166">
        <v>9.2225401340000008</v>
      </c>
      <c r="D166" s="27">
        <v>45954</v>
      </c>
      <c r="E166" s="27">
        <v>46411</v>
      </c>
      <c r="F166">
        <v>12.031506088</v>
      </c>
      <c r="G166">
        <v>255.79665686600001</v>
      </c>
      <c r="H166">
        <v>100.6444</v>
      </c>
      <c r="I166" t="s">
        <v>68</v>
      </c>
      <c r="J166">
        <v>20250131</v>
      </c>
      <c r="K166" t="s">
        <v>43</v>
      </c>
      <c r="L166" t="s">
        <v>43</v>
      </c>
      <c r="M166" t="s">
        <v>169</v>
      </c>
      <c r="N166" t="s">
        <v>43</v>
      </c>
      <c r="O166" t="s">
        <v>43</v>
      </c>
      <c r="P166" t="s">
        <v>422</v>
      </c>
      <c r="Q166">
        <v>2025</v>
      </c>
      <c r="S166" t="s">
        <v>169</v>
      </c>
      <c r="T166" t="s">
        <v>155</v>
      </c>
      <c r="U166" t="s">
        <v>27</v>
      </c>
    </row>
    <row r="167" spans="1:21" x14ac:dyDescent="0.25">
      <c r="A167" t="s">
        <v>846</v>
      </c>
      <c r="B167" t="s">
        <v>846</v>
      </c>
      <c r="C167">
        <v>7.751804023</v>
      </c>
      <c r="D167" s="27">
        <v>45950</v>
      </c>
      <c r="E167" s="27">
        <v>45950</v>
      </c>
      <c r="F167">
        <v>11.482027244999999</v>
      </c>
      <c r="G167">
        <v>459.111432052</v>
      </c>
      <c r="H167">
        <v>100.90260000000001</v>
      </c>
      <c r="I167" t="s">
        <v>171</v>
      </c>
      <c r="J167">
        <v>20231020</v>
      </c>
      <c r="K167" t="s">
        <v>43</v>
      </c>
      <c r="L167" t="s">
        <v>43</v>
      </c>
      <c r="M167" t="s">
        <v>27</v>
      </c>
      <c r="N167" t="s">
        <v>43</v>
      </c>
      <c r="O167" t="s">
        <v>43</v>
      </c>
      <c r="P167" t="s">
        <v>271</v>
      </c>
      <c r="Q167">
        <v>2023</v>
      </c>
      <c r="S167" t="s">
        <v>27</v>
      </c>
      <c r="T167" t="s">
        <v>155</v>
      </c>
      <c r="U167" t="s">
        <v>27</v>
      </c>
    </row>
    <row r="168" spans="1:21" x14ac:dyDescent="0.25">
      <c r="A168" t="s">
        <v>849</v>
      </c>
      <c r="B168" t="s">
        <v>849</v>
      </c>
      <c r="C168">
        <v>6.1968193359999999</v>
      </c>
      <c r="D168" s="27">
        <v>45951</v>
      </c>
      <c r="E168" s="27">
        <v>46004</v>
      </c>
      <c r="F168">
        <v>10.319951941999999</v>
      </c>
      <c r="G168">
        <v>295.95036360300003</v>
      </c>
      <c r="H168">
        <v>99.942999999999998</v>
      </c>
      <c r="I168" t="s">
        <v>171</v>
      </c>
      <c r="J168">
        <v>20241213</v>
      </c>
      <c r="K168" t="s">
        <v>43</v>
      </c>
      <c r="L168" t="s">
        <v>785</v>
      </c>
      <c r="M168" t="s">
        <v>43</v>
      </c>
      <c r="N168" t="s">
        <v>43</v>
      </c>
      <c r="O168" t="s">
        <v>43</v>
      </c>
      <c r="P168" t="s">
        <v>271</v>
      </c>
      <c r="Q168">
        <v>2024</v>
      </c>
      <c r="S168" t="s">
        <v>785</v>
      </c>
      <c r="T168" t="s">
        <v>134</v>
      </c>
      <c r="U168" t="s">
        <v>27</v>
      </c>
    </row>
    <row r="169" spans="1:21" x14ac:dyDescent="0.25">
      <c r="A169" t="s">
        <v>851</v>
      </c>
      <c r="B169" t="s">
        <v>851</v>
      </c>
      <c r="C169">
        <v>8.0449414650000008</v>
      </c>
      <c r="D169" s="27">
        <v>45951</v>
      </c>
      <c r="E169" s="27">
        <v>45951</v>
      </c>
      <c r="F169">
        <v>11.828150875</v>
      </c>
      <c r="G169">
        <v>490.905803322</v>
      </c>
      <c r="H169">
        <v>100.51730000000001</v>
      </c>
      <c r="I169" t="s">
        <v>72</v>
      </c>
      <c r="J169">
        <v>20230926</v>
      </c>
      <c r="K169" t="s">
        <v>43</v>
      </c>
      <c r="L169" t="s">
        <v>43</v>
      </c>
      <c r="M169" t="s">
        <v>169</v>
      </c>
      <c r="N169" t="s">
        <v>43</v>
      </c>
      <c r="O169" t="s">
        <v>43</v>
      </c>
      <c r="P169" t="s">
        <v>271</v>
      </c>
      <c r="Q169">
        <v>2023</v>
      </c>
      <c r="S169" t="s">
        <v>169</v>
      </c>
      <c r="T169" t="s">
        <v>155</v>
      </c>
      <c r="U169" t="s">
        <v>27</v>
      </c>
    </row>
    <row r="170" spans="1:21" x14ac:dyDescent="0.25">
      <c r="A170" t="s">
        <v>835</v>
      </c>
      <c r="B170" t="s">
        <v>835</v>
      </c>
      <c r="C170">
        <v>6.5891017080000003</v>
      </c>
      <c r="D170" s="27">
        <v>45950</v>
      </c>
      <c r="E170" s="27">
        <v>45402</v>
      </c>
      <c r="F170">
        <v>10.549980198</v>
      </c>
      <c r="G170">
        <v>341.600877588</v>
      </c>
      <c r="H170">
        <v>100.4365</v>
      </c>
      <c r="I170" t="s">
        <v>73</v>
      </c>
      <c r="J170">
        <v>20220407</v>
      </c>
      <c r="K170" t="s">
        <v>169</v>
      </c>
      <c r="L170" t="s">
        <v>43</v>
      </c>
      <c r="M170" t="s">
        <v>43</v>
      </c>
      <c r="N170" t="s">
        <v>43</v>
      </c>
      <c r="O170" t="s">
        <v>43</v>
      </c>
      <c r="P170" t="s">
        <v>74</v>
      </c>
      <c r="Q170">
        <v>2022</v>
      </c>
      <c r="S170" t="s">
        <v>169</v>
      </c>
      <c r="T170" t="s">
        <v>159</v>
      </c>
      <c r="U170" t="s">
        <v>27</v>
      </c>
    </row>
    <row r="171" spans="1:21" x14ac:dyDescent="0.25">
      <c r="A171" t="s">
        <v>832</v>
      </c>
      <c r="B171" t="s">
        <v>832</v>
      </c>
      <c r="C171">
        <v>9.4884474700000005</v>
      </c>
      <c r="D171" s="27">
        <v>45950</v>
      </c>
      <c r="E171" s="27">
        <v>46459</v>
      </c>
      <c r="F171">
        <v>11.801929190999999</v>
      </c>
      <c r="G171">
        <v>296.88243915200002</v>
      </c>
      <c r="H171">
        <v>98.436300000000003</v>
      </c>
      <c r="I171" t="s">
        <v>73</v>
      </c>
      <c r="J171">
        <v>20250313</v>
      </c>
      <c r="K171" t="s">
        <v>169</v>
      </c>
      <c r="L171" t="s">
        <v>43</v>
      </c>
      <c r="M171" t="s">
        <v>43</v>
      </c>
      <c r="N171" t="s">
        <v>43</v>
      </c>
      <c r="O171" t="s">
        <v>43</v>
      </c>
      <c r="P171" t="s">
        <v>74</v>
      </c>
      <c r="Q171">
        <v>2025</v>
      </c>
      <c r="S171" t="s">
        <v>169</v>
      </c>
      <c r="T171" t="s">
        <v>159</v>
      </c>
      <c r="U171" t="s">
        <v>27</v>
      </c>
    </row>
    <row r="172" spans="1:21" x14ac:dyDescent="0.25">
      <c r="A172" t="s">
        <v>837</v>
      </c>
      <c r="B172" t="s">
        <v>837</v>
      </c>
      <c r="C172">
        <v>6.1038457599999996</v>
      </c>
      <c r="D172" s="27">
        <v>45955</v>
      </c>
      <c r="E172" s="27">
        <v>45234</v>
      </c>
      <c r="F172">
        <v>13.502359915</v>
      </c>
      <c r="G172">
        <v>368.74097886200002</v>
      </c>
      <c r="H172">
        <v>99.663700000000006</v>
      </c>
      <c r="I172" t="s">
        <v>172</v>
      </c>
      <c r="J172">
        <v>20211104</v>
      </c>
      <c r="K172" t="s">
        <v>43</v>
      </c>
      <c r="L172" t="s">
        <v>785</v>
      </c>
      <c r="M172" t="s">
        <v>43</v>
      </c>
      <c r="N172" t="s">
        <v>43</v>
      </c>
      <c r="O172" t="s">
        <v>43</v>
      </c>
      <c r="P172" t="s">
        <v>838</v>
      </c>
      <c r="Q172">
        <v>2021</v>
      </c>
      <c r="S172" t="s">
        <v>785</v>
      </c>
      <c r="T172" t="s">
        <v>134</v>
      </c>
      <c r="U172" t="s">
        <v>27</v>
      </c>
    </row>
    <row r="173" spans="1:21" x14ac:dyDescent="0.25">
      <c r="A173" t="s">
        <v>817</v>
      </c>
      <c r="B173" t="s">
        <v>817</v>
      </c>
      <c r="C173">
        <v>5.8917479899999998</v>
      </c>
      <c r="D173" s="27">
        <v>45945</v>
      </c>
      <c r="E173" s="27">
        <v>45031</v>
      </c>
      <c r="F173">
        <v>10.483372728999999</v>
      </c>
      <c r="G173">
        <v>385.47442456099998</v>
      </c>
      <c r="H173">
        <v>100.2608</v>
      </c>
      <c r="I173" t="s">
        <v>173</v>
      </c>
      <c r="J173">
        <v>20210422</v>
      </c>
      <c r="K173" t="s">
        <v>169</v>
      </c>
      <c r="L173" t="s">
        <v>43</v>
      </c>
      <c r="M173" t="s">
        <v>43</v>
      </c>
      <c r="N173" t="s">
        <v>43</v>
      </c>
      <c r="O173" t="s">
        <v>43</v>
      </c>
      <c r="P173" t="s">
        <v>1537</v>
      </c>
      <c r="Q173">
        <v>2021</v>
      </c>
      <c r="S173" t="s">
        <v>169</v>
      </c>
      <c r="T173" t="s">
        <v>159</v>
      </c>
      <c r="U173" t="s">
        <v>27</v>
      </c>
    </row>
    <row r="174" spans="1:21" x14ac:dyDescent="0.25">
      <c r="A174" t="s">
        <v>819</v>
      </c>
      <c r="B174" t="s">
        <v>819</v>
      </c>
      <c r="C174">
        <v>5.9726698110000003</v>
      </c>
      <c r="D174" s="27">
        <v>45945</v>
      </c>
      <c r="E174" s="27">
        <v>45122</v>
      </c>
      <c r="F174">
        <v>11.390424251000001</v>
      </c>
      <c r="G174">
        <v>327.47682120000002</v>
      </c>
      <c r="H174">
        <v>100.66200000000001</v>
      </c>
      <c r="I174" t="s">
        <v>173</v>
      </c>
      <c r="J174">
        <v>20210818</v>
      </c>
      <c r="K174" t="s">
        <v>43</v>
      </c>
      <c r="L174" t="s">
        <v>785</v>
      </c>
      <c r="M174" t="s">
        <v>43</v>
      </c>
      <c r="N174" t="s">
        <v>43</v>
      </c>
      <c r="O174" t="s">
        <v>43</v>
      </c>
      <c r="P174" t="s">
        <v>1537</v>
      </c>
      <c r="Q174">
        <v>2021</v>
      </c>
      <c r="S174" t="s">
        <v>785</v>
      </c>
      <c r="T174" t="s">
        <v>134</v>
      </c>
      <c r="U174" t="s">
        <v>27</v>
      </c>
    </row>
    <row r="175" spans="1:21" x14ac:dyDescent="0.25">
      <c r="A175" t="s">
        <v>591</v>
      </c>
      <c r="B175" t="s">
        <v>591</v>
      </c>
      <c r="C175">
        <v>7.0784279249999997</v>
      </c>
      <c r="D175" s="27">
        <v>45950</v>
      </c>
      <c r="E175" s="27">
        <v>45858</v>
      </c>
      <c r="F175">
        <v>18.470714267999998</v>
      </c>
      <c r="G175">
        <v>298.23239691499998</v>
      </c>
      <c r="H175">
        <v>100.377</v>
      </c>
      <c r="I175" t="s">
        <v>173</v>
      </c>
      <c r="J175">
        <v>20230713</v>
      </c>
      <c r="K175" t="s">
        <v>43</v>
      </c>
      <c r="L175" t="s">
        <v>43</v>
      </c>
      <c r="M175" t="s">
        <v>23</v>
      </c>
      <c r="N175" t="s">
        <v>43</v>
      </c>
      <c r="O175" t="s">
        <v>43</v>
      </c>
      <c r="P175" t="s">
        <v>1537</v>
      </c>
      <c r="Q175">
        <v>2023</v>
      </c>
      <c r="S175" t="s">
        <v>23</v>
      </c>
      <c r="T175" t="s">
        <v>155</v>
      </c>
      <c r="U175" t="s">
        <v>23</v>
      </c>
    </row>
    <row r="176" spans="1:21" x14ac:dyDescent="0.25">
      <c r="A176" t="s">
        <v>824</v>
      </c>
      <c r="B176" t="s">
        <v>824</v>
      </c>
      <c r="C176">
        <v>7.6626210439999998</v>
      </c>
      <c r="D176" s="27">
        <v>45950</v>
      </c>
      <c r="E176" s="27">
        <v>45858</v>
      </c>
      <c r="F176">
        <v>12.468558263</v>
      </c>
      <c r="G176">
        <v>515.22103468800003</v>
      </c>
      <c r="H176">
        <v>100.5331</v>
      </c>
      <c r="I176" t="s">
        <v>173</v>
      </c>
      <c r="J176">
        <v>20230713</v>
      </c>
      <c r="K176" t="s">
        <v>43</v>
      </c>
      <c r="L176" t="s">
        <v>43</v>
      </c>
      <c r="M176" t="s">
        <v>169</v>
      </c>
      <c r="N176" t="s">
        <v>43</v>
      </c>
      <c r="O176" t="s">
        <v>43</v>
      </c>
      <c r="P176" t="s">
        <v>1537</v>
      </c>
      <c r="Q176">
        <v>2023</v>
      </c>
      <c r="S176" t="s">
        <v>169</v>
      </c>
      <c r="T176" t="s">
        <v>155</v>
      </c>
      <c r="U176" t="s">
        <v>27</v>
      </c>
    </row>
    <row r="177" spans="1:21" x14ac:dyDescent="0.25">
      <c r="A177" t="s">
        <v>822</v>
      </c>
      <c r="B177" t="s">
        <v>822</v>
      </c>
      <c r="C177">
        <v>9.1109611570000002</v>
      </c>
      <c r="D177" s="27">
        <v>45950</v>
      </c>
      <c r="E177" s="27">
        <v>46315</v>
      </c>
      <c r="F177">
        <v>11.899227127</v>
      </c>
      <c r="G177">
        <v>317.682202195</v>
      </c>
      <c r="H177">
        <v>100.4909</v>
      </c>
      <c r="I177" t="s">
        <v>173</v>
      </c>
      <c r="J177">
        <v>20241021</v>
      </c>
      <c r="K177" t="s">
        <v>43</v>
      </c>
      <c r="L177" t="s">
        <v>43</v>
      </c>
      <c r="M177" t="s">
        <v>169</v>
      </c>
      <c r="N177" t="s">
        <v>43</v>
      </c>
      <c r="O177" t="s">
        <v>43</v>
      </c>
      <c r="P177" t="s">
        <v>1537</v>
      </c>
      <c r="Q177">
        <v>2024</v>
      </c>
      <c r="S177" t="s">
        <v>169</v>
      </c>
      <c r="T177" t="s">
        <v>155</v>
      </c>
      <c r="U177" t="s">
        <v>27</v>
      </c>
    </row>
    <row r="178" spans="1:21" x14ac:dyDescent="0.25">
      <c r="A178" t="s">
        <v>826</v>
      </c>
      <c r="B178" t="s">
        <v>826</v>
      </c>
      <c r="C178">
        <v>8.3829586420000002</v>
      </c>
      <c r="D178" s="27">
        <v>45950</v>
      </c>
      <c r="E178" s="27">
        <v>46042</v>
      </c>
      <c r="F178">
        <v>12.018616809999999</v>
      </c>
      <c r="G178">
        <v>433.081205657</v>
      </c>
      <c r="H178">
        <v>101.02670000000001</v>
      </c>
      <c r="I178" t="s">
        <v>173</v>
      </c>
      <c r="J178">
        <v>20240117</v>
      </c>
      <c r="K178" t="s">
        <v>169</v>
      </c>
      <c r="L178" t="s">
        <v>43</v>
      </c>
      <c r="M178" t="s">
        <v>43</v>
      </c>
      <c r="N178" t="s">
        <v>43</v>
      </c>
      <c r="O178" t="s">
        <v>43</v>
      </c>
      <c r="P178" t="s">
        <v>1537</v>
      </c>
      <c r="Q178">
        <v>2024</v>
      </c>
      <c r="S178" t="s">
        <v>169</v>
      </c>
      <c r="T178" t="s">
        <v>159</v>
      </c>
      <c r="U178" t="s">
        <v>27</v>
      </c>
    </row>
    <row r="179" spans="1:21" x14ac:dyDescent="0.25">
      <c r="A179" t="s">
        <v>830</v>
      </c>
      <c r="B179" t="s">
        <v>830</v>
      </c>
      <c r="C179">
        <v>9.4260733030000008</v>
      </c>
      <c r="D179" s="27">
        <v>45950</v>
      </c>
      <c r="E179" s="27">
        <v>46474</v>
      </c>
      <c r="F179">
        <v>12.141440124000001</v>
      </c>
      <c r="G179">
        <v>250.865982145</v>
      </c>
      <c r="H179">
        <v>100.636</v>
      </c>
      <c r="I179" t="s">
        <v>173</v>
      </c>
      <c r="J179">
        <v>20250328</v>
      </c>
      <c r="K179" t="s">
        <v>169</v>
      </c>
      <c r="L179" t="s">
        <v>43</v>
      </c>
      <c r="M179" t="s">
        <v>43</v>
      </c>
      <c r="N179" t="s">
        <v>43</v>
      </c>
      <c r="O179" t="s">
        <v>43</v>
      </c>
      <c r="P179" t="s">
        <v>1537</v>
      </c>
      <c r="Q179">
        <v>2025</v>
      </c>
      <c r="S179" t="s">
        <v>169</v>
      </c>
      <c r="T179" t="s">
        <v>159</v>
      </c>
      <c r="U179" t="s">
        <v>27</v>
      </c>
    </row>
    <row r="180" spans="1:21" x14ac:dyDescent="0.25">
      <c r="A180" t="s">
        <v>594</v>
      </c>
      <c r="B180" t="s">
        <v>594</v>
      </c>
      <c r="C180">
        <v>8.3332714289999998</v>
      </c>
      <c r="D180" s="27">
        <v>45945</v>
      </c>
      <c r="E180" s="27">
        <v>46214</v>
      </c>
      <c r="F180">
        <v>17.905876299999999</v>
      </c>
      <c r="G180">
        <v>194.31970694099999</v>
      </c>
      <c r="H180">
        <v>100.3749</v>
      </c>
      <c r="I180" t="s">
        <v>173</v>
      </c>
      <c r="J180">
        <v>20240711</v>
      </c>
      <c r="K180" t="s">
        <v>43</v>
      </c>
      <c r="L180" t="s">
        <v>43</v>
      </c>
      <c r="M180" t="s">
        <v>23</v>
      </c>
      <c r="N180" t="s">
        <v>43</v>
      </c>
      <c r="O180" t="s">
        <v>43</v>
      </c>
      <c r="P180" t="s">
        <v>1537</v>
      </c>
      <c r="Q180">
        <v>2024</v>
      </c>
      <c r="S180" t="s">
        <v>23</v>
      </c>
      <c r="T180" t="s">
        <v>155</v>
      </c>
      <c r="U180" t="s">
        <v>23</v>
      </c>
    </row>
    <row r="181" spans="1:21" x14ac:dyDescent="0.25">
      <c r="A181" t="s">
        <v>828</v>
      </c>
      <c r="B181" t="s">
        <v>828</v>
      </c>
      <c r="C181">
        <v>8.8988028799999999</v>
      </c>
      <c r="D181" s="27">
        <v>45945</v>
      </c>
      <c r="E181" s="27">
        <v>46214</v>
      </c>
      <c r="F181">
        <v>11.898989200000001</v>
      </c>
      <c r="G181">
        <v>309.16787931800002</v>
      </c>
      <c r="H181">
        <v>100.3844</v>
      </c>
      <c r="I181" t="s">
        <v>173</v>
      </c>
      <c r="J181">
        <v>20240711</v>
      </c>
      <c r="K181" t="s">
        <v>43</v>
      </c>
      <c r="L181" t="s">
        <v>43</v>
      </c>
      <c r="M181" t="s">
        <v>169</v>
      </c>
      <c r="N181" t="s">
        <v>43</v>
      </c>
      <c r="O181" t="s">
        <v>43</v>
      </c>
      <c r="P181" t="s">
        <v>1537</v>
      </c>
      <c r="Q181">
        <v>2024</v>
      </c>
      <c r="S181" t="s">
        <v>169</v>
      </c>
      <c r="T181" t="s">
        <v>155</v>
      </c>
      <c r="U181" t="s">
        <v>27</v>
      </c>
    </row>
    <row r="182" spans="1:21" x14ac:dyDescent="0.25">
      <c r="A182" t="s">
        <v>843</v>
      </c>
      <c r="B182" t="s">
        <v>843</v>
      </c>
      <c r="C182">
        <v>6.4729215379999996</v>
      </c>
      <c r="D182" s="27">
        <v>45950</v>
      </c>
      <c r="E182" s="27">
        <v>45311</v>
      </c>
      <c r="F182">
        <v>10.371734890999999</v>
      </c>
      <c r="G182">
        <v>439.31658472599997</v>
      </c>
      <c r="H182">
        <v>96.460300000000004</v>
      </c>
      <c r="I182" t="s">
        <v>174</v>
      </c>
      <c r="J182">
        <v>20211130</v>
      </c>
      <c r="K182" t="s">
        <v>43</v>
      </c>
      <c r="L182" t="s">
        <v>785</v>
      </c>
      <c r="M182" t="s">
        <v>43</v>
      </c>
      <c r="N182" t="s">
        <v>43</v>
      </c>
      <c r="O182" t="s">
        <v>43</v>
      </c>
      <c r="P182" t="s">
        <v>1538</v>
      </c>
      <c r="Q182">
        <v>2021</v>
      </c>
      <c r="S182" t="s">
        <v>785</v>
      </c>
      <c r="T182" t="s">
        <v>134</v>
      </c>
      <c r="U182" t="s">
        <v>27</v>
      </c>
    </row>
    <row r="183" spans="1:21" x14ac:dyDescent="0.25">
      <c r="A183" t="s">
        <v>840</v>
      </c>
      <c r="B183" t="s">
        <v>840</v>
      </c>
      <c r="C183">
        <v>5.6713935390000003</v>
      </c>
      <c r="D183" s="27">
        <v>45954</v>
      </c>
      <c r="E183" s="27">
        <v>45040</v>
      </c>
      <c r="F183">
        <v>9.9509341589999991</v>
      </c>
      <c r="G183">
        <v>430.27955936900003</v>
      </c>
      <c r="H183">
        <v>98.172899999999998</v>
      </c>
      <c r="I183" t="s">
        <v>174</v>
      </c>
      <c r="J183">
        <v>20210426</v>
      </c>
      <c r="K183" t="s">
        <v>43</v>
      </c>
      <c r="L183" t="s">
        <v>785</v>
      </c>
      <c r="M183" t="s">
        <v>43</v>
      </c>
      <c r="N183" t="s">
        <v>43</v>
      </c>
      <c r="O183" t="s">
        <v>43</v>
      </c>
      <c r="P183" t="s">
        <v>1538</v>
      </c>
      <c r="Q183">
        <v>2021</v>
      </c>
      <c r="S183" t="s">
        <v>785</v>
      </c>
      <c r="T183" t="s">
        <v>134</v>
      </c>
      <c r="U183" t="s">
        <v>27</v>
      </c>
    </row>
    <row r="184" spans="1:21" x14ac:dyDescent="0.25">
      <c r="A184" t="s">
        <v>881</v>
      </c>
      <c r="B184" t="s">
        <v>881</v>
      </c>
      <c r="C184">
        <v>7.0815850380000001</v>
      </c>
      <c r="D184" s="27">
        <v>45955</v>
      </c>
      <c r="E184" s="27">
        <v>46047</v>
      </c>
      <c r="F184">
        <v>12.287612697</v>
      </c>
      <c r="G184">
        <v>411.24271999400003</v>
      </c>
      <c r="H184">
        <v>100.7431</v>
      </c>
      <c r="I184" t="s">
        <v>175</v>
      </c>
      <c r="J184">
        <v>20240123</v>
      </c>
      <c r="K184" t="s">
        <v>169</v>
      </c>
      <c r="L184" t="s">
        <v>43</v>
      </c>
      <c r="M184" t="s">
        <v>43</v>
      </c>
      <c r="N184" t="s">
        <v>43</v>
      </c>
      <c r="O184" t="s">
        <v>43</v>
      </c>
      <c r="P184" t="s">
        <v>1539</v>
      </c>
      <c r="Q184">
        <v>2024</v>
      </c>
      <c r="S184" t="s">
        <v>169</v>
      </c>
      <c r="T184" t="s">
        <v>159</v>
      </c>
      <c r="U184" t="s">
        <v>27</v>
      </c>
    </row>
    <row r="185" spans="1:21" x14ac:dyDescent="0.25">
      <c r="A185" t="s">
        <v>871</v>
      </c>
      <c r="B185" t="s">
        <v>871</v>
      </c>
      <c r="C185">
        <v>8.2237173099999996</v>
      </c>
      <c r="D185" s="27">
        <v>45950</v>
      </c>
      <c r="E185" s="27">
        <v>46289</v>
      </c>
      <c r="F185">
        <v>12.32505007</v>
      </c>
      <c r="G185">
        <v>316.56079368000002</v>
      </c>
      <c r="H185">
        <v>100.52589999999999</v>
      </c>
      <c r="I185" t="s">
        <v>176</v>
      </c>
      <c r="J185">
        <v>20240924</v>
      </c>
      <c r="K185" t="s">
        <v>169</v>
      </c>
      <c r="L185" t="s">
        <v>43</v>
      </c>
      <c r="M185" t="s">
        <v>43</v>
      </c>
      <c r="N185" t="s">
        <v>43</v>
      </c>
      <c r="O185" t="s">
        <v>43</v>
      </c>
      <c r="P185" t="s">
        <v>1539</v>
      </c>
      <c r="Q185">
        <v>2024</v>
      </c>
      <c r="S185" t="s">
        <v>169</v>
      </c>
      <c r="T185" t="s">
        <v>159</v>
      </c>
      <c r="U185" t="s">
        <v>27</v>
      </c>
    </row>
    <row r="186" spans="1:21" x14ac:dyDescent="0.25">
      <c r="A186" t="s">
        <v>873</v>
      </c>
      <c r="B186" t="s">
        <v>873</v>
      </c>
      <c r="C186">
        <v>8.9742748680000002</v>
      </c>
      <c r="D186" s="27">
        <v>45945</v>
      </c>
      <c r="E186" s="27">
        <v>46310</v>
      </c>
      <c r="F186">
        <v>12.381905386</v>
      </c>
      <c r="G186">
        <v>306.26486671999999</v>
      </c>
      <c r="H186">
        <v>100.5843</v>
      </c>
      <c r="I186" t="s">
        <v>175</v>
      </c>
      <c r="J186">
        <v>20241015</v>
      </c>
      <c r="K186" t="s">
        <v>43</v>
      </c>
      <c r="L186" t="s">
        <v>43</v>
      </c>
      <c r="M186" t="s">
        <v>27</v>
      </c>
      <c r="N186" t="s">
        <v>43</v>
      </c>
      <c r="O186" t="s">
        <v>43</v>
      </c>
      <c r="P186" t="s">
        <v>1539</v>
      </c>
      <c r="Q186">
        <v>2024</v>
      </c>
      <c r="S186" t="s">
        <v>27</v>
      </c>
      <c r="T186" t="s">
        <v>155</v>
      </c>
      <c r="U186" t="s">
        <v>27</v>
      </c>
    </row>
    <row r="187" spans="1:21" x14ac:dyDescent="0.25">
      <c r="A187" t="s">
        <v>867</v>
      </c>
      <c r="B187" t="s">
        <v>867</v>
      </c>
      <c r="C187">
        <v>9.4256779539999993</v>
      </c>
      <c r="D187" s="27">
        <v>45950</v>
      </c>
      <c r="E187" s="27">
        <v>46467</v>
      </c>
      <c r="F187">
        <v>12.240683215000001</v>
      </c>
      <c r="G187">
        <v>261.55272108899999</v>
      </c>
      <c r="H187">
        <v>100.59910000000001</v>
      </c>
      <c r="I187" t="s">
        <v>176</v>
      </c>
      <c r="J187">
        <v>20250321</v>
      </c>
      <c r="K187" t="s">
        <v>169</v>
      </c>
      <c r="L187" t="s">
        <v>43</v>
      </c>
      <c r="M187" t="s">
        <v>43</v>
      </c>
      <c r="N187" t="s">
        <v>43</v>
      </c>
      <c r="O187" t="s">
        <v>43</v>
      </c>
      <c r="P187" t="s">
        <v>1539</v>
      </c>
      <c r="Q187">
        <v>2025</v>
      </c>
      <c r="S187" t="s">
        <v>169</v>
      </c>
      <c r="T187" t="s">
        <v>159</v>
      </c>
      <c r="U187" t="s">
        <v>27</v>
      </c>
    </row>
    <row r="188" spans="1:21" x14ac:dyDescent="0.25">
      <c r="A188" t="s">
        <v>877</v>
      </c>
      <c r="B188" t="s">
        <v>877</v>
      </c>
      <c r="C188">
        <v>6.0773598829999997</v>
      </c>
      <c r="D188" s="27">
        <v>45950</v>
      </c>
      <c r="E188" s="27">
        <v>46106</v>
      </c>
      <c r="F188">
        <v>12.605303451999999</v>
      </c>
      <c r="G188">
        <v>245.93692035500001</v>
      </c>
      <c r="H188">
        <v>99.688800000000001</v>
      </c>
      <c r="I188" t="s">
        <v>175</v>
      </c>
      <c r="J188">
        <v>20250325</v>
      </c>
      <c r="K188" t="s">
        <v>43</v>
      </c>
      <c r="L188" t="s">
        <v>785</v>
      </c>
      <c r="M188" t="s">
        <v>43</v>
      </c>
      <c r="N188" t="s">
        <v>43</v>
      </c>
      <c r="O188" t="s">
        <v>43</v>
      </c>
      <c r="P188" t="s">
        <v>1539</v>
      </c>
      <c r="Q188">
        <v>2025</v>
      </c>
      <c r="S188" t="s">
        <v>785</v>
      </c>
      <c r="T188" t="s">
        <v>134</v>
      </c>
      <c r="U188" t="s">
        <v>27</v>
      </c>
    </row>
    <row r="189" spans="1:21" x14ac:dyDescent="0.25">
      <c r="A189" t="s">
        <v>604</v>
      </c>
      <c r="B189" t="s">
        <v>604</v>
      </c>
      <c r="C189">
        <v>8.008476902</v>
      </c>
      <c r="D189" s="27">
        <v>45955</v>
      </c>
      <c r="E189" s="27">
        <v>46179</v>
      </c>
      <c r="F189">
        <v>18.159148835</v>
      </c>
      <c r="G189">
        <v>219.75974915899999</v>
      </c>
      <c r="H189">
        <v>100.6519</v>
      </c>
      <c r="I189" t="s">
        <v>175</v>
      </c>
      <c r="J189">
        <v>20240606</v>
      </c>
      <c r="K189" t="s">
        <v>23</v>
      </c>
      <c r="L189" t="s">
        <v>43</v>
      </c>
      <c r="M189" t="s">
        <v>43</v>
      </c>
      <c r="N189" t="s">
        <v>43</v>
      </c>
      <c r="O189" t="s">
        <v>43</v>
      </c>
      <c r="P189" t="s">
        <v>1539</v>
      </c>
      <c r="Q189">
        <v>2024</v>
      </c>
      <c r="S189" t="s">
        <v>23</v>
      </c>
      <c r="T189" t="s">
        <v>159</v>
      </c>
      <c r="U189" t="s">
        <v>23</v>
      </c>
    </row>
    <row r="190" spans="1:21" x14ac:dyDescent="0.25">
      <c r="A190" t="s">
        <v>883</v>
      </c>
      <c r="B190" t="s">
        <v>883</v>
      </c>
      <c r="C190">
        <v>8.5944441279999992</v>
      </c>
      <c r="D190" s="27">
        <v>45955</v>
      </c>
      <c r="E190" s="27">
        <v>46179</v>
      </c>
      <c r="F190">
        <v>12.170793872000001</v>
      </c>
      <c r="G190">
        <v>323.31099872700003</v>
      </c>
      <c r="H190">
        <v>100.4272</v>
      </c>
      <c r="I190" t="s">
        <v>175</v>
      </c>
      <c r="J190">
        <v>20240606</v>
      </c>
      <c r="K190" t="s">
        <v>169</v>
      </c>
      <c r="L190" t="s">
        <v>43</v>
      </c>
      <c r="M190" t="s">
        <v>43</v>
      </c>
      <c r="N190" t="s">
        <v>43</v>
      </c>
      <c r="O190" t="s">
        <v>43</v>
      </c>
      <c r="P190" t="s">
        <v>1539</v>
      </c>
      <c r="Q190">
        <v>2024</v>
      </c>
      <c r="S190" t="s">
        <v>169</v>
      </c>
      <c r="T190" t="s">
        <v>159</v>
      </c>
      <c r="U190" t="s">
        <v>27</v>
      </c>
    </row>
    <row r="191" spans="1:21" x14ac:dyDescent="0.25">
      <c r="A191" t="s">
        <v>879</v>
      </c>
      <c r="B191" t="s">
        <v>879</v>
      </c>
      <c r="C191">
        <v>9.2198360860000008</v>
      </c>
      <c r="D191" s="27">
        <v>45955</v>
      </c>
      <c r="E191" s="27">
        <v>46412</v>
      </c>
      <c r="F191">
        <v>12.143598327999999</v>
      </c>
      <c r="G191">
        <v>249.55739058699999</v>
      </c>
      <c r="H191">
        <v>100.37869999999999</v>
      </c>
      <c r="I191" t="s">
        <v>175</v>
      </c>
      <c r="J191">
        <v>20250205</v>
      </c>
      <c r="K191" t="s">
        <v>169</v>
      </c>
      <c r="L191" t="s">
        <v>43</v>
      </c>
      <c r="M191" t="s">
        <v>43</v>
      </c>
      <c r="N191" t="s">
        <v>43</v>
      </c>
      <c r="O191" t="s">
        <v>43</v>
      </c>
      <c r="P191" t="s">
        <v>1539</v>
      </c>
      <c r="Q191">
        <v>2025</v>
      </c>
      <c r="S191" t="s">
        <v>169</v>
      </c>
      <c r="T191" t="s">
        <v>159</v>
      </c>
      <c r="U191" t="s">
        <v>27</v>
      </c>
    </row>
    <row r="192" spans="1:21" x14ac:dyDescent="0.25">
      <c r="A192" t="s">
        <v>875</v>
      </c>
      <c r="B192" t="s">
        <v>875</v>
      </c>
      <c r="C192">
        <v>6.0971576990000003</v>
      </c>
      <c r="D192" s="27">
        <v>45945</v>
      </c>
      <c r="E192" s="27">
        <v>45214</v>
      </c>
      <c r="F192">
        <v>12.741485473999999</v>
      </c>
      <c r="G192">
        <v>353.72934695999999</v>
      </c>
      <c r="H192">
        <v>100.3593</v>
      </c>
      <c r="I192" t="s">
        <v>175</v>
      </c>
      <c r="J192">
        <v>20210914</v>
      </c>
      <c r="K192" t="s">
        <v>169</v>
      </c>
      <c r="L192" t="s">
        <v>43</v>
      </c>
      <c r="M192" t="s">
        <v>43</v>
      </c>
      <c r="N192" t="s">
        <v>43</v>
      </c>
      <c r="O192" t="s">
        <v>43</v>
      </c>
      <c r="P192" t="s">
        <v>1539</v>
      </c>
      <c r="Q192">
        <v>2021</v>
      </c>
      <c r="S192" t="s">
        <v>169</v>
      </c>
      <c r="T192" t="s">
        <v>159</v>
      </c>
      <c r="U192" t="s">
        <v>27</v>
      </c>
    </row>
    <row r="193" spans="1:21" x14ac:dyDescent="0.25">
      <c r="A193" t="s">
        <v>869</v>
      </c>
      <c r="B193" t="s">
        <v>869</v>
      </c>
      <c r="C193">
        <v>8.2262426130000001</v>
      </c>
      <c r="D193" s="27">
        <v>45945</v>
      </c>
      <c r="E193" s="27">
        <v>46256</v>
      </c>
      <c r="F193">
        <v>12.294817003</v>
      </c>
      <c r="G193">
        <v>297.03343017100002</v>
      </c>
      <c r="H193">
        <v>100.50020000000001</v>
      </c>
      <c r="I193" t="s">
        <v>176</v>
      </c>
      <c r="J193">
        <v>20240822</v>
      </c>
      <c r="K193" t="s">
        <v>169</v>
      </c>
      <c r="L193" t="s">
        <v>43</v>
      </c>
      <c r="M193" t="s">
        <v>43</v>
      </c>
      <c r="N193" t="s">
        <v>43</v>
      </c>
      <c r="O193" t="s">
        <v>43</v>
      </c>
      <c r="P193" t="s">
        <v>1539</v>
      </c>
      <c r="Q193">
        <v>2024</v>
      </c>
      <c r="S193" t="s">
        <v>169</v>
      </c>
      <c r="T193" t="s">
        <v>159</v>
      </c>
      <c r="U193" t="s">
        <v>27</v>
      </c>
    </row>
    <row r="194" spans="1:21" x14ac:dyDescent="0.25">
      <c r="A194" t="s">
        <v>607</v>
      </c>
      <c r="B194" t="s">
        <v>607</v>
      </c>
      <c r="C194">
        <v>8.6746584640000002</v>
      </c>
      <c r="D194" s="27">
        <v>45955</v>
      </c>
      <c r="E194" s="27">
        <v>46412</v>
      </c>
      <c r="F194">
        <v>18.228025176999999</v>
      </c>
      <c r="G194">
        <v>184.31276813599999</v>
      </c>
      <c r="H194">
        <v>100.389</v>
      </c>
      <c r="I194" t="s">
        <v>176</v>
      </c>
      <c r="J194">
        <v>20241204</v>
      </c>
      <c r="K194" t="s">
        <v>43</v>
      </c>
      <c r="L194" t="s">
        <v>43</v>
      </c>
      <c r="M194" t="s">
        <v>573</v>
      </c>
      <c r="N194" t="s">
        <v>43</v>
      </c>
      <c r="O194" t="s">
        <v>43</v>
      </c>
      <c r="P194" t="s">
        <v>1539</v>
      </c>
      <c r="Q194">
        <v>2024</v>
      </c>
      <c r="S194" t="s">
        <v>573</v>
      </c>
      <c r="T194" t="s">
        <v>155</v>
      </c>
      <c r="U194" t="s">
        <v>23</v>
      </c>
    </row>
    <row r="195" spans="1:21" x14ac:dyDescent="0.25">
      <c r="A195" t="s">
        <v>885</v>
      </c>
      <c r="B195" t="s">
        <v>885</v>
      </c>
      <c r="C195">
        <v>9.1957404359999995</v>
      </c>
      <c r="D195" s="27">
        <v>45955</v>
      </c>
      <c r="E195" s="27">
        <v>46412</v>
      </c>
      <c r="F195">
        <v>12.244709946</v>
      </c>
      <c r="G195">
        <v>284.97664206899998</v>
      </c>
      <c r="H195">
        <v>100.6908</v>
      </c>
      <c r="I195" t="s">
        <v>176</v>
      </c>
      <c r="J195">
        <v>20241204</v>
      </c>
      <c r="K195" t="s">
        <v>43</v>
      </c>
      <c r="L195" t="s">
        <v>43</v>
      </c>
      <c r="M195" t="s">
        <v>27</v>
      </c>
      <c r="N195" t="s">
        <v>43</v>
      </c>
      <c r="O195" t="s">
        <v>43</v>
      </c>
      <c r="P195" t="s">
        <v>1539</v>
      </c>
      <c r="Q195">
        <v>2024</v>
      </c>
      <c r="S195" t="s">
        <v>27</v>
      </c>
      <c r="T195" t="s">
        <v>155</v>
      </c>
      <c r="U195" t="s">
        <v>27</v>
      </c>
    </row>
    <row r="196" spans="1:21" x14ac:dyDescent="0.25">
      <c r="A196" t="s">
        <v>609</v>
      </c>
      <c r="B196" t="s">
        <v>609</v>
      </c>
      <c r="C196">
        <v>8.8324970579999995</v>
      </c>
      <c r="D196" s="27">
        <v>45945</v>
      </c>
      <c r="E196" s="27">
        <v>46459</v>
      </c>
      <c r="F196">
        <v>18.771923314999999</v>
      </c>
      <c r="G196">
        <v>163.68526963299999</v>
      </c>
      <c r="H196">
        <v>100.4365</v>
      </c>
      <c r="I196" t="s">
        <v>176</v>
      </c>
      <c r="J196">
        <v>20250313</v>
      </c>
      <c r="K196" t="s">
        <v>43</v>
      </c>
      <c r="L196" t="s">
        <v>43</v>
      </c>
      <c r="M196" t="s">
        <v>573</v>
      </c>
      <c r="N196" t="s">
        <v>43</v>
      </c>
      <c r="O196" t="s">
        <v>43</v>
      </c>
      <c r="P196" t="s">
        <v>1539</v>
      </c>
      <c r="Q196">
        <v>2025</v>
      </c>
      <c r="S196" t="s">
        <v>573</v>
      </c>
      <c r="T196" t="s">
        <v>155</v>
      </c>
      <c r="U196" t="s">
        <v>23</v>
      </c>
    </row>
    <row r="197" spans="1:21" x14ac:dyDescent="0.25">
      <c r="A197" t="s">
        <v>887</v>
      </c>
      <c r="B197" t="s">
        <v>887</v>
      </c>
      <c r="C197">
        <v>9.3559513990000003</v>
      </c>
      <c r="D197" s="27">
        <v>45945</v>
      </c>
      <c r="E197" s="27">
        <v>46459</v>
      </c>
      <c r="F197">
        <v>12.828405509</v>
      </c>
      <c r="G197">
        <v>252.18056983700001</v>
      </c>
      <c r="H197">
        <v>100.182</v>
      </c>
      <c r="I197" t="s">
        <v>176</v>
      </c>
      <c r="J197">
        <v>20250313</v>
      </c>
      <c r="K197" t="s">
        <v>43</v>
      </c>
      <c r="L197" t="s">
        <v>43</v>
      </c>
      <c r="M197" t="s">
        <v>763</v>
      </c>
      <c r="N197" t="s">
        <v>43</v>
      </c>
      <c r="O197" t="s">
        <v>43</v>
      </c>
      <c r="P197" t="s">
        <v>1539</v>
      </c>
      <c r="Q197">
        <v>2025</v>
      </c>
      <c r="S197" t="s">
        <v>763</v>
      </c>
      <c r="T197" t="s">
        <v>155</v>
      </c>
      <c r="U197" t="s">
        <v>27</v>
      </c>
    </row>
    <row r="198" spans="1:21" x14ac:dyDescent="0.25">
      <c r="A198" t="s">
        <v>856</v>
      </c>
      <c r="B198" t="s">
        <v>856</v>
      </c>
      <c r="C198">
        <v>8.8606200590000004</v>
      </c>
      <c r="D198" s="27">
        <v>45945</v>
      </c>
      <c r="E198" s="27">
        <v>46194</v>
      </c>
      <c r="F198">
        <v>12.264243928000001</v>
      </c>
      <c r="G198">
        <v>315.64964186899999</v>
      </c>
      <c r="H198">
        <v>100.2825</v>
      </c>
      <c r="I198" t="s">
        <v>75</v>
      </c>
      <c r="J198">
        <v>20240621</v>
      </c>
      <c r="K198" t="s">
        <v>43</v>
      </c>
      <c r="L198" t="s">
        <v>43</v>
      </c>
      <c r="M198" t="s">
        <v>169</v>
      </c>
      <c r="N198" t="s">
        <v>43</v>
      </c>
      <c r="O198" t="s">
        <v>43</v>
      </c>
      <c r="P198" t="s">
        <v>442</v>
      </c>
      <c r="Q198">
        <v>2024</v>
      </c>
      <c r="S198" t="s">
        <v>169</v>
      </c>
      <c r="T198" t="s">
        <v>155</v>
      </c>
      <c r="U198" t="s">
        <v>27</v>
      </c>
    </row>
    <row r="199" spans="1:21" x14ac:dyDescent="0.25">
      <c r="A199" t="s">
        <v>853</v>
      </c>
      <c r="B199" t="s">
        <v>853</v>
      </c>
      <c r="C199">
        <v>9.0704570459999996</v>
      </c>
      <c r="D199" s="27">
        <v>45949</v>
      </c>
      <c r="E199" s="27">
        <v>46269</v>
      </c>
      <c r="F199">
        <v>12.235358856</v>
      </c>
      <c r="G199">
        <v>309.500057997</v>
      </c>
      <c r="H199">
        <v>100.3673</v>
      </c>
      <c r="I199" t="s">
        <v>75</v>
      </c>
      <c r="J199">
        <v>20240904</v>
      </c>
      <c r="K199" t="s">
        <v>43</v>
      </c>
      <c r="L199" t="s">
        <v>43</v>
      </c>
      <c r="M199" t="s">
        <v>169</v>
      </c>
      <c r="N199" t="s">
        <v>43</v>
      </c>
      <c r="O199" t="s">
        <v>43</v>
      </c>
      <c r="P199" t="s">
        <v>442</v>
      </c>
      <c r="Q199">
        <v>2024</v>
      </c>
      <c r="S199" t="s">
        <v>169</v>
      </c>
      <c r="T199" t="s">
        <v>155</v>
      </c>
      <c r="U199" t="s">
        <v>27</v>
      </c>
    </row>
    <row r="200" spans="1:21" x14ac:dyDescent="0.25">
      <c r="A200" t="s">
        <v>858</v>
      </c>
      <c r="B200" t="s">
        <v>858</v>
      </c>
      <c r="C200">
        <v>9.4552336169999993</v>
      </c>
      <c r="D200" s="27">
        <v>45952</v>
      </c>
      <c r="E200" s="27">
        <v>46481</v>
      </c>
      <c r="F200">
        <v>12.202786765000001</v>
      </c>
      <c r="G200">
        <v>270.335801178</v>
      </c>
      <c r="H200">
        <v>100.31180000000001</v>
      </c>
      <c r="I200" t="s">
        <v>75</v>
      </c>
      <c r="J200">
        <v>20250404</v>
      </c>
      <c r="K200" t="s">
        <v>43</v>
      </c>
      <c r="L200" t="s">
        <v>43</v>
      </c>
      <c r="M200" t="s">
        <v>169</v>
      </c>
      <c r="N200" t="s">
        <v>43</v>
      </c>
      <c r="O200" t="s">
        <v>43</v>
      </c>
      <c r="P200" t="s">
        <v>442</v>
      </c>
      <c r="Q200">
        <v>2025</v>
      </c>
      <c r="S200" t="s">
        <v>169</v>
      </c>
      <c r="T200" t="s">
        <v>155</v>
      </c>
      <c r="U200" t="s">
        <v>27</v>
      </c>
    </row>
    <row r="201" spans="1:21" x14ac:dyDescent="0.25">
      <c r="A201" t="s">
        <v>596</v>
      </c>
      <c r="B201" t="s">
        <v>596</v>
      </c>
      <c r="C201">
        <v>7.4787454569999996</v>
      </c>
      <c r="D201" s="27">
        <v>45950</v>
      </c>
      <c r="E201" s="27">
        <v>46497</v>
      </c>
      <c r="F201">
        <v>23.226536855999999</v>
      </c>
      <c r="G201">
        <v>292.40153467599998</v>
      </c>
      <c r="H201">
        <v>100.1463</v>
      </c>
      <c r="I201" t="s">
        <v>160</v>
      </c>
      <c r="J201">
        <v>20250421</v>
      </c>
      <c r="K201" t="s">
        <v>23</v>
      </c>
      <c r="L201" t="s">
        <v>43</v>
      </c>
      <c r="M201" t="s">
        <v>43</v>
      </c>
      <c r="N201" t="s">
        <v>43</v>
      </c>
      <c r="O201" t="s">
        <v>43</v>
      </c>
      <c r="P201" t="s">
        <v>390</v>
      </c>
      <c r="Q201">
        <v>2025</v>
      </c>
      <c r="S201" t="s">
        <v>23</v>
      </c>
      <c r="T201" t="s">
        <v>159</v>
      </c>
      <c r="U201" t="s">
        <v>23</v>
      </c>
    </row>
    <row r="202" spans="1:21" x14ac:dyDescent="0.25">
      <c r="A202" t="s">
        <v>601</v>
      </c>
      <c r="B202" t="s">
        <v>601</v>
      </c>
      <c r="C202">
        <v>3.1294006460000001</v>
      </c>
      <c r="D202" s="27">
        <v>45950</v>
      </c>
      <c r="E202" s="27">
        <v>45585</v>
      </c>
      <c r="F202">
        <v>28.709955553</v>
      </c>
      <c r="G202">
        <v>398.828619817</v>
      </c>
      <c r="H202">
        <v>100.29519999999999</v>
      </c>
      <c r="I202" t="s">
        <v>160</v>
      </c>
      <c r="J202">
        <v>20231024</v>
      </c>
      <c r="K202" t="s">
        <v>23</v>
      </c>
      <c r="L202" t="s">
        <v>43</v>
      </c>
      <c r="M202" t="s">
        <v>43</v>
      </c>
      <c r="N202" t="s">
        <v>43</v>
      </c>
      <c r="O202" t="s">
        <v>43</v>
      </c>
      <c r="P202" t="s">
        <v>390</v>
      </c>
      <c r="Q202">
        <v>2023</v>
      </c>
      <c r="S202" t="s">
        <v>23</v>
      </c>
      <c r="T202" t="s">
        <v>159</v>
      </c>
      <c r="U202" t="s">
        <v>23</v>
      </c>
    </row>
    <row r="203" spans="1:21" x14ac:dyDescent="0.25">
      <c r="A203" t="s">
        <v>599</v>
      </c>
      <c r="B203" t="s">
        <v>599</v>
      </c>
      <c r="C203">
        <v>8.2323538490000008</v>
      </c>
      <c r="D203" s="27">
        <v>45945</v>
      </c>
      <c r="E203" s="27">
        <v>46367</v>
      </c>
      <c r="F203">
        <v>23.064157009999999</v>
      </c>
      <c r="G203">
        <v>254.042459791</v>
      </c>
      <c r="H203">
        <v>98.751300000000001</v>
      </c>
      <c r="I203" t="s">
        <v>160</v>
      </c>
      <c r="J203">
        <v>20241219</v>
      </c>
      <c r="K203" t="s">
        <v>23</v>
      </c>
      <c r="L203" t="s">
        <v>43</v>
      </c>
      <c r="M203" t="s">
        <v>43</v>
      </c>
      <c r="N203" t="s">
        <v>43</v>
      </c>
      <c r="O203" t="s">
        <v>43</v>
      </c>
      <c r="P203" t="s">
        <v>390</v>
      </c>
      <c r="Q203">
        <v>2024</v>
      </c>
      <c r="S203" t="s">
        <v>23</v>
      </c>
      <c r="T203" t="s">
        <v>159</v>
      </c>
      <c r="U203" t="s">
        <v>23</v>
      </c>
    </row>
    <row r="204" spans="1:21" x14ac:dyDescent="0.25">
      <c r="A204" t="s">
        <v>862</v>
      </c>
      <c r="B204" t="s">
        <v>862</v>
      </c>
      <c r="C204">
        <v>8.7429402809999992</v>
      </c>
      <c r="D204" s="27">
        <v>45945</v>
      </c>
      <c r="E204" s="27">
        <v>46367</v>
      </c>
      <c r="F204">
        <v>16.950050281999999</v>
      </c>
      <c r="G204">
        <v>412.36305529800001</v>
      </c>
      <c r="H204">
        <v>98.556299999999993</v>
      </c>
      <c r="I204" t="s">
        <v>160</v>
      </c>
      <c r="J204">
        <v>20241219</v>
      </c>
      <c r="K204" t="s">
        <v>169</v>
      </c>
      <c r="L204" t="s">
        <v>43</v>
      </c>
      <c r="M204" t="s">
        <v>43</v>
      </c>
      <c r="N204" t="s">
        <v>43</v>
      </c>
      <c r="O204" t="s">
        <v>43</v>
      </c>
      <c r="P204" t="s">
        <v>390</v>
      </c>
      <c r="Q204">
        <v>2024</v>
      </c>
      <c r="S204" t="s">
        <v>169</v>
      </c>
      <c r="T204" t="s">
        <v>159</v>
      </c>
      <c r="U204" t="s">
        <v>27</v>
      </c>
    </row>
    <row r="205" spans="1:21" x14ac:dyDescent="0.25">
      <c r="A205" t="s">
        <v>864</v>
      </c>
      <c r="B205" t="s">
        <v>864</v>
      </c>
      <c r="C205">
        <v>6.035785229</v>
      </c>
      <c r="D205" s="27">
        <v>45949</v>
      </c>
      <c r="E205" s="27">
        <v>45035</v>
      </c>
      <c r="F205">
        <v>12.503135475000001</v>
      </c>
      <c r="G205">
        <v>329.24995327099998</v>
      </c>
      <c r="H205">
        <v>99.838300000000004</v>
      </c>
      <c r="I205" t="s">
        <v>177</v>
      </c>
      <c r="J205">
        <v>20210604</v>
      </c>
      <c r="K205" t="s">
        <v>169</v>
      </c>
      <c r="L205" t="s">
        <v>43</v>
      </c>
      <c r="M205" t="s">
        <v>43</v>
      </c>
      <c r="N205" t="s">
        <v>43</v>
      </c>
      <c r="O205" t="s">
        <v>43</v>
      </c>
      <c r="P205" t="s">
        <v>1540</v>
      </c>
      <c r="Q205">
        <v>2021</v>
      </c>
      <c r="S205" t="s">
        <v>169</v>
      </c>
      <c r="T205" t="s">
        <v>159</v>
      </c>
      <c r="U205" t="s">
        <v>27</v>
      </c>
    </row>
    <row r="206" spans="1:21" x14ac:dyDescent="0.25">
      <c r="A206" t="s">
        <v>904</v>
      </c>
      <c r="B206" t="s">
        <v>904</v>
      </c>
      <c r="C206">
        <v>6.1117025890000001</v>
      </c>
      <c r="D206" s="27">
        <v>45947</v>
      </c>
      <c r="E206" s="27">
        <v>45124</v>
      </c>
      <c r="F206">
        <v>10.992361961</v>
      </c>
      <c r="G206">
        <v>372.16351089400001</v>
      </c>
      <c r="H206">
        <v>100.1884</v>
      </c>
      <c r="I206" t="s">
        <v>77</v>
      </c>
      <c r="J206">
        <v>20210719</v>
      </c>
      <c r="K206" t="s">
        <v>43</v>
      </c>
      <c r="L206" t="s">
        <v>785</v>
      </c>
      <c r="M206" t="s">
        <v>43</v>
      </c>
      <c r="N206" t="s">
        <v>43</v>
      </c>
      <c r="O206" t="s">
        <v>43</v>
      </c>
      <c r="P206" t="s">
        <v>76</v>
      </c>
      <c r="Q206">
        <v>2021</v>
      </c>
      <c r="S206" t="s">
        <v>785</v>
      </c>
      <c r="T206" t="s">
        <v>134</v>
      </c>
      <c r="U206" t="s">
        <v>27</v>
      </c>
    </row>
    <row r="207" spans="1:21" x14ac:dyDescent="0.25">
      <c r="A207" t="s">
        <v>901</v>
      </c>
      <c r="B207" t="s">
        <v>901</v>
      </c>
      <c r="C207">
        <v>5.9506012559999997</v>
      </c>
      <c r="D207" s="27">
        <v>45947</v>
      </c>
      <c r="E207" s="27">
        <v>45124</v>
      </c>
      <c r="F207">
        <v>11.314653119999999</v>
      </c>
      <c r="G207">
        <v>356.928036394</v>
      </c>
      <c r="H207">
        <v>100.19799999999999</v>
      </c>
      <c r="I207" t="s">
        <v>77</v>
      </c>
      <c r="J207">
        <v>20210624</v>
      </c>
      <c r="K207" t="s">
        <v>43</v>
      </c>
      <c r="L207" t="s">
        <v>785</v>
      </c>
      <c r="M207" t="s">
        <v>43</v>
      </c>
      <c r="N207" t="s">
        <v>43</v>
      </c>
      <c r="O207" t="s">
        <v>43</v>
      </c>
      <c r="P207" t="s">
        <v>76</v>
      </c>
      <c r="Q207">
        <v>2021</v>
      </c>
      <c r="S207" t="s">
        <v>785</v>
      </c>
      <c r="T207" t="s">
        <v>134</v>
      </c>
      <c r="U207" t="s">
        <v>27</v>
      </c>
    </row>
    <row r="208" spans="1:21" x14ac:dyDescent="0.25">
      <c r="A208" t="s">
        <v>548</v>
      </c>
      <c r="B208" t="s">
        <v>548</v>
      </c>
      <c r="C208">
        <v>2.6908278320000001</v>
      </c>
      <c r="D208" s="27">
        <v>45947</v>
      </c>
      <c r="E208" s="27">
        <v>43938</v>
      </c>
      <c r="F208">
        <v>32.774316255999999</v>
      </c>
      <c r="G208">
        <v>196.60919201199999</v>
      </c>
      <c r="H208">
        <v>100.1052</v>
      </c>
      <c r="I208" t="s">
        <v>76</v>
      </c>
      <c r="J208">
        <v>20180329</v>
      </c>
      <c r="K208" t="s">
        <v>43</v>
      </c>
      <c r="L208" t="s">
        <v>139</v>
      </c>
      <c r="M208" t="s">
        <v>43</v>
      </c>
      <c r="N208" t="s">
        <v>43</v>
      </c>
      <c r="O208" t="s">
        <v>43</v>
      </c>
      <c r="P208" t="s">
        <v>275</v>
      </c>
      <c r="Q208">
        <v>2018</v>
      </c>
      <c r="S208" t="s">
        <v>139</v>
      </c>
      <c r="T208" t="s">
        <v>134</v>
      </c>
      <c r="U208" t="s">
        <v>19</v>
      </c>
    </row>
    <row r="209" spans="1:21" x14ac:dyDescent="0.25">
      <c r="A209" t="s">
        <v>913</v>
      </c>
      <c r="B209" t="s">
        <v>913</v>
      </c>
      <c r="C209">
        <v>3.02864588</v>
      </c>
      <c r="D209" s="27">
        <v>45947</v>
      </c>
      <c r="E209" s="27">
        <v>43938</v>
      </c>
      <c r="F209">
        <v>20.414325230999999</v>
      </c>
      <c r="G209">
        <v>259.61456228999998</v>
      </c>
      <c r="H209">
        <v>100.44199999999999</v>
      </c>
      <c r="I209" t="s">
        <v>76</v>
      </c>
      <c r="J209">
        <v>20180329</v>
      </c>
      <c r="K209" t="s">
        <v>43</v>
      </c>
      <c r="L209" t="s">
        <v>915</v>
      </c>
      <c r="M209" t="s">
        <v>43</v>
      </c>
      <c r="N209" t="s">
        <v>43</v>
      </c>
      <c r="O209" t="s">
        <v>43</v>
      </c>
      <c r="P209" t="s">
        <v>275</v>
      </c>
      <c r="Q209">
        <v>2018</v>
      </c>
      <c r="S209" t="s">
        <v>915</v>
      </c>
      <c r="T209" t="s">
        <v>134</v>
      </c>
      <c r="U209" t="s">
        <v>27</v>
      </c>
    </row>
    <row r="210" spans="1:21" x14ac:dyDescent="0.25">
      <c r="A210" t="s">
        <v>543</v>
      </c>
      <c r="B210" t="s">
        <v>543</v>
      </c>
      <c r="C210">
        <v>2.5091379690000002</v>
      </c>
      <c r="D210" s="27">
        <v>45950</v>
      </c>
      <c r="E210" s="27">
        <v>44032</v>
      </c>
      <c r="F210">
        <v>36.395021110999998</v>
      </c>
      <c r="G210">
        <v>171.24414171399999</v>
      </c>
      <c r="H210">
        <v>100.3219</v>
      </c>
      <c r="I210" t="s">
        <v>76</v>
      </c>
      <c r="J210">
        <v>20180712</v>
      </c>
      <c r="K210" t="s">
        <v>43</v>
      </c>
      <c r="L210" t="s">
        <v>545</v>
      </c>
      <c r="M210" t="s">
        <v>43</v>
      </c>
      <c r="N210" t="s">
        <v>43</v>
      </c>
      <c r="O210" t="s">
        <v>43</v>
      </c>
      <c r="P210" t="s">
        <v>76</v>
      </c>
      <c r="Q210">
        <v>2018</v>
      </c>
      <c r="S210" t="s">
        <v>545</v>
      </c>
      <c r="T210" t="s">
        <v>134</v>
      </c>
      <c r="U210" t="s">
        <v>15</v>
      </c>
    </row>
    <row r="211" spans="1:21" x14ac:dyDescent="0.25">
      <c r="A211" t="s">
        <v>546</v>
      </c>
      <c r="B211" t="s">
        <v>546</v>
      </c>
      <c r="C211">
        <v>2.933313965</v>
      </c>
      <c r="D211" s="27">
        <v>45950</v>
      </c>
      <c r="E211" s="27">
        <v>44032</v>
      </c>
      <c r="F211">
        <v>27.816617996000002</v>
      </c>
      <c r="G211">
        <v>209.711357316</v>
      </c>
      <c r="H211">
        <v>100.16249999999999</v>
      </c>
      <c r="I211" t="s">
        <v>76</v>
      </c>
      <c r="J211">
        <v>20180712</v>
      </c>
      <c r="K211" t="s">
        <v>43</v>
      </c>
      <c r="L211" t="s">
        <v>139</v>
      </c>
      <c r="M211" t="s">
        <v>43</v>
      </c>
      <c r="N211" t="s">
        <v>43</v>
      </c>
      <c r="O211" t="s">
        <v>43</v>
      </c>
      <c r="P211" t="s">
        <v>76</v>
      </c>
      <c r="Q211">
        <v>2018</v>
      </c>
      <c r="S211" t="s">
        <v>139</v>
      </c>
      <c r="T211" t="s">
        <v>134</v>
      </c>
      <c r="U211" t="s">
        <v>19</v>
      </c>
    </row>
    <row r="212" spans="1:21" x14ac:dyDescent="0.25">
      <c r="A212" t="s">
        <v>906</v>
      </c>
      <c r="B212" t="s">
        <v>906</v>
      </c>
      <c r="C212">
        <v>3.2730261939999998</v>
      </c>
      <c r="D212" s="27">
        <v>45950</v>
      </c>
      <c r="E212" s="27">
        <v>44032</v>
      </c>
      <c r="F212">
        <v>16.656365398999998</v>
      </c>
      <c r="G212">
        <v>298.87447825700002</v>
      </c>
      <c r="H212">
        <v>100.20059999999999</v>
      </c>
      <c r="I212" t="s">
        <v>76</v>
      </c>
      <c r="J212">
        <v>20180712</v>
      </c>
      <c r="K212" t="s">
        <v>43</v>
      </c>
      <c r="L212" t="s">
        <v>908</v>
      </c>
      <c r="M212" t="s">
        <v>43</v>
      </c>
      <c r="N212" t="s">
        <v>43</v>
      </c>
      <c r="O212" t="s">
        <v>43</v>
      </c>
      <c r="P212" t="s">
        <v>76</v>
      </c>
      <c r="Q212">
        <v>2018</v>
      </c>
      <c r="S212" t="s">
        <v>908</v>
      </c>
      <c r="T212" t="s">
        <v>134</v>
      </c>
      <c r="U212" t="s">
        <v>27</v>
      </c>
    </row>
    <row r="213" spans="1:21" x14ac:dyDescent="0.25">
      <c r="A213" t="s">
        <v>916</v>
      </c>
      <c r="B213" t="s">
        <v>916</v>
      </c>
      <c r="C213">
        <v>9.2648249749999998</v>
      </c>
      <c r="D213" s="27">
        <v>45945</v>
      </c>
      <c r="E213" s="27">
        <v>46492</v>
      </c>
      <c r="F213">
        <v>14.268389124</v>
      </c>
      <c r="G213">
        <v>372.106840686</v>
      </c>
      <c r="H213">
        <v>100.17140000000001</v>
      </c>
      <c r="I213" t="s">
        <v>76</v>
      </c>
      <c r="J213">
        <v>20250430</v>
      </c>
      <c r="K213" t="s">
        <v>43</v>
      </c>
      <c r="L213" t="s">
        <v>43</v>
      </c>
      <c r="M213" t="s">
        <v>763</v>
      </c>
      <c r="N213" t="s">
        <v>43</v>
      </c>
      <c r="O213" t="s">
        <v>43</v>
      </c>
      <c r="P213" t="s">
        <v>275</v>
      </c>
      <c r="Q213">
        <v>2025</v>
      </c>
      <c r="S213" t="s">
        <v>763</v>
      </c>
      <c r="T213" t="s">
        <v>155</v>
      </c>
      <c r="U213" t="s">
        <v>27</v>
      </c>
    </row>
    <row r="214" spans="1:21" x14ac:dyDescent="0.25">
      <c r="A214" t="s">
        <v>918</v>
      </c>
      <c r="B214" t="s">
        <v>918</v>
      </c>
      <c r="C214">
        <v>9.5529454479999991</v>
      </c>
      <c r="D214" s="27">
        <v>45945</v>
      </c>
      <c r="E214" s="27">
        <v>46492</v>
      </c>
      <c r="F214">
        <v>12.523850530000001</v>
      </c>
      <c r="G214">
        <v>567.33707069499997</v>
      </c>
      <c r="H214">
        <v>102.0389</v>
      </c>
      <c r="I214" t="s">
        <v>76</v>
      </c>
      <c r="J214">
        <v>20250430</v>
      </c>
      <c r="K214" t="s">
        <v>43</v>
      </c>
      <c r="L214" t="s">
        <v>43</v>
      </c>
      <c r="M214" t="s">
        <v>169</v>
      </c>
      <c r="N214" t="s">
        <v>43</v>
      </c>
      <c r="O214" t="s">
        <v>43</v>
      </c>
      <c r="P214" t="s">
        <v>275</v>
      </c>
      <c r="Q214">
        <v>2025</v>
      </c>
      <c r="S214" t="s">
        <v>169</v>
      </c>
      <c r="T214" t="s">
        <v>155</v>
      </c>
      <c r="U214" t="s">
        <v>27</v>
      </c>
    </row>
    <row r="215" spans="1:21" x14ac:dyDescent="0.25">
      <c r="A215" t="s">
        <v>923</v>
      </c>
      <c r="B215" t="s">
        <v>923</v>
      </c>
      <c r="C215">
        <v>6.4179559399999997</v>
      </c>
      <c r="D215" s="27">
        <v>45950</v>
      </c>
      <c r="E215" s="27">
        <v>45275</v>
      </c>
      <c r="F215">
        <v>10.835524230000001</v>
      </c>
      <c r="G215">
        <v>395.84944849200002</v>
      </c>
      <c r="H215">
        <v>99.19</v>
      </c>
      <c r="I215" t="s">
        <v>180</v>
      </c>
      <c r="J215">
        <v>20211215</v>
      </c>
      <c r="K215" t="s">
        <v>169</v>
      </c>
      <c r="L215" t="s">
        <v>43</v>
      </c>
      <c r="M215" t="s">
        <v>43</v>
      </c>
      <c r="N215" t="s">
        <v>43</v>
      </c>
      <c r="O215" t="s">
        <v>43</v>
      </c>
      <c r="P215" t="s">
        <v>1541</v>
      </c>
      <c r="Q215">
        <v>2021</v>
      </c>
      <c r="S215" t="s">
        <v>169</v>
      </c>
      <c r="T215" t="s">
        <v>159</v>
      </c>
      <c r="U215" t="s">
        <v>27</v>
      </c>
    </row>
    <row r="216" spans="1:21" x14ac:dyDescent="0.25">
      <c r="A216" t="s">
        <v>948</v>
      </c>
      <c r="B216" t="s">
        <v>948</v>
      </c>
      <c r="C216">
        <v>8.1791668590000004</v>
      </c>
      <c r="D216" s="27">
        <v>45947</v>
      </c>
      <c r="E216" s="27">
        <v>46220</v>
      </c>
      <c r="F216">
        <v>11.440713245</v>
      </c>
      <c r="G216">
        <v>314.99478045900003</v>
      </c>
      <c r="H216">
        <v>100.6246</v>
      </c>
      <c r="I216" t="s">
        <v>181</v>
      </c>
      <c r="J216">
        <v>20240712</v>
      </c>
      <c r="K216" t="s">
        <v>43</v>
      </c>
      <c r="L216" t="s">
        <v>43</v>
      </c>
      <c r="M216" t="s">
        <v>169</v>
      </c>
      <c r="N216" t="s">
        <v>43</v>
      </c>
      <c r="O216" t="s">
        <v>43</v>
      </c>
      <c r="P216" t="s">
        <v>949</v>
      </c>
      <c r="Q216">
        <v>2024</v>
      </c>
      <c r="S216" t="s">
        <v>169</v>
      </c>
      <c r="T216" t="s">
        <v>155</v>
      </c>
      <c r="U216" t="s">
        <v>27</v>
      </c>
    </row>
    <row r="217" spans="1:21" x14ac:dyDescent="0.25">
      <c r="A217" t="s">
        <v>951</v>
      </c>
      <c r="B217" t="s">
        <v>951</v>
      </c>
      <c r="C217">
        <v>8.4638888889999997</v>
      </c>
      <c r="D217" s="27">
        <v>45947</v>
      </c>
      <c r="E217" s="27">
        <v>46220</v>
      </c>
      <c r="F217">
        <v>10.434357714000001</v>
      </c>
      <c r="G217">
        <v>473.93626813899999</v>
      </c>
      <c r="H217">
        <v>100.96680000000001</v>
      </c>
      <c r="I217" t="s">
        <v>181</v>
      </c>
      <c r="J217">
        <v>20240712</v>
      </c>
      <c r="K217" t="s">
        <v>43</v>
      </c>
      <c r="L217" t="s">
        <v>43</v>
      </c>
      <c r="M217" t="s">
        <v>169</v>
      </c>
      <c r="N217" t="s">
        <v>43</v>
      </c>
      <c r="O217" t="s">
        <v>43</v>
      </c>
      <c r="P217" t="s">
        <v>949</v>
      </c>
      <c r="Q217">
        <v>2024</v>
      </c>
      <c r="S217" t="s">
        <v>169</v>
      </c>
      <c r="T217" t="s">
        <v>155</v>
      </c>
      <c r="U217" t="s">
        <v>27</v>
      </c>
    </row>
    <row r="218" spans="1:21" x14ac:dyDescent="0.25">
      <c r="A218" t="s">
        <v>955</v>
      </c>
      <c r="B218" t="s">
        <v>955</v>
      </c>
      <c r="C218">
        <v>8.4375997060000003</v>
      </c>
      <c r="D218" s="27">
        <v>45946</v>
      </c>
      <c r="E218" s="27">
        <v>46184</v>
      </c>
      <c r="F218">
        <v>11.708914276</v>
      </c>
      <c r="G218">
        <v>316.69259890799998</v>
      </c>
      <c r="H218">
        <v>100.85209999999999</v>
      </c>
      <c r="I218" t="s">
        <v>181</v>
      </c>
      <c r="J218">
        <v>20240611</v>
      </c>
      <c r="K218" t="s">
        <v>43</v>
      </c>
      <c r="L218" t="s">
        <v>43</v>
      </c>
      <c r="M218" t="s">
        <v>169</v>
      </c>
      <c r="N218" t="s">
        <v>43</v>
      </c>
      <c r="O218" t="s">
        <v>43</v>
      </c>
      <c r="P218" t="s">
        <v>949</v>
      </c>
      <c r="Q218">
        <v>2024</v>
      </c>
      <c r="S218" t="s">
        <v>169</v>
      </c>
      <c r="T218" t="s">
        <v>155</v>
      </c>
      <c r="U218" t="s">
        <v>27</v>
      </c>
    </row>
    <row r="219" spans="1:21" x14ac:dyDescent="0.25">
      <c r="A219" t="s">
        <v>957</v>
      </c>
      <c r="B219" t="s">
        <v>957</v>
      </c>
      <c r="C219">
        <v>6.2533369509999996</v>
      </c>
      <c r="D219" s="27">
        <v>45950</v>
      </c>
      <c r="E219" s="27">
        <v>45219</v>
      </c>
      <c r="F219">
        <v>11.756399758000001</v>
      </c>
      <c r="G219">
        <v>326.49885373199999</v>
      </c>
      <c r="H219">
        <v>100.4868</v>
      </c>
      <c r="I219" t="s">
        <v>181</v>
      </c>
      <c r="J219">
        <v>20211115</v>
      </c>
      <c r="K219" t="s">
        <v>169</v>
      </c>
      <c r="L219" t="s">
        <v>43</v>
      </c>
      <c r="M219" t="s">
        <v>43</v>
      </c>
      <c r="N219" t="s">
        <v>43</v>
      </c>
      <c r="O219" t="s">
        <v>43</v>
      </c>
      <c r="P219" t="s">
        <v>949</v>
      </c>
      <c r="Q219">
        <v>2021</v>
      </c>
      <c r="S219" t="s">
        <v>169</v>
      </c>
      <c r="T219" t="s">
        <v>159</v>
      </c>
      <c r="U219" t="s">
        <v>27</v>
      </c>
    </row>
    <row r="220" spans="1:21" x14ac:dyDescent="0.25">
      <c r="A220" t="s">
        <v>959</v>
      </c>
      <c r="B220" t="s">
        <v>959</v>
      </c>
      <c r="C220">
        <v>9.1877874459999997</v>
      </c>
      <c r="D220" s="27">
        <v>45945</v>
      </c>
      <c r="E220" s="27">
        <v>46374</v>
      </c>
      <c r="F220">
        <v>12.180015922999999</v>
      </c>
      <c r="G220">
        <v>274.52920969100001</v>
      </c>
      <c r="H220">
        <v>100.3753</v>
      </c>
      <c r="I220" t="s">
        <v>181</v>
      </c>
      <c r="J220">
        <v>20241218</v>
      </c>
      <c r="K220" t="s">
        <v>43</v>
      </c>
      <c r="L220" t="s">
        <v>43</v>
      </c>
      <c r="M220" t="s">
        <v>169</v>
      </c>
      <c r="N220" t="s">
        <v>43</v>
      </c>
      <c r="O220" t="s">
        <v>43</v>
      </c>
      <c r="P220" t="s">
        <v>949</v>
      </c>
      <c r="Q220">
        <v>2024</v>
      </c>
      <c r="S220" t="s">
        <v>169</v>
      </c>
      <c r="T220" t="s">
        <v>155</v>
      </c>
      <c r="U220" t="s">
        <v>27</v>
      </c>
    </row>
    <row r="221" spans="1:21" x14ac:dyDescent="0.25">
      <c r="A221" t="s">
        <v>961</v>
      </c>
      <c r="B221" t="s">
        <v>961</v>
      </c>
      <c r="C221">
        <v>8.8329233269999996</v>
      </c>
      <c r="D221" s="27">
        <v>45955</v>
      </c>
      <c r="E221" s="27">
        <v>46194</v>
      </c>
      <c r="F221">
        <v>11.715350948999999</v>
      </c>
      <c r="G221">
        <v>306.8425105</v>
      </c>
      <c r="H221">
        <v>100.538</v>
      </c>
      <c r="I221" t="s">
        <v>181</v>
      </c>
      <c r="J221">
        <v>20240621</v>
      </c>
      <c r="K221" t="s">
        <v>43</v>
      </c>
      <c r="L221" t="s">
        <v>43</v>
      </c>
      <c r="M221" t="s">
        <v>169</v>
      </c>
      <c r="N221" t="s">
        <v>43</v>
      </c>
      <c r="O221" t="s">
        <v>43</v>
      </c>
      <c r="P221" t="s">
        <v>949</v>
      </c>
      <c r="Q221">
        <v>2024</v>
      </c>
      <c r="S221" t="s">
        <v>169</v>
      </c>
      <c r="T221" t="s">
        <v>155</v>
      </c>
      <c r="U221" t="s">
        <v>27</v>
      </c>
    </row>
    <row r="222" spans="1:21" x14ac:dyDescent="0.25">
      <c r="A222" t="s">
        <v>963</v>
      </c>
      <c r="B222" t="s">
        <v>963</v>
      </c>
      <c r="C222">
        <v>6.0957346230000002</v>
      </c>
      <c r="D222" s="27">
        <v>45945</v>
      </c>
      <c r="E222" s="27">
        <v>45081</v>
      </c>
      <c r="F222">
        <v>11.543052691</v>
      </c>
      <c r="G222">
        <v>316.75026647700003</v>
      </c>
      <c r="H222">
        <v>100.4653</v>
      </c>
      <c r="I222" t="s">
        <v>181</v>
      </c>
      <c r="J222">
        <v>20210604</v>
      </c>
      <c r="K222" t="s">
        <v>169</v>
      </c>
      <c r="L222" t="s">
        <v>43</v>
      </c>
      <c r="M222" t="s">
        <v>43</v>
      </c>
      <c r="N222" t="s">
        <v>43</v>
      </c>
      <c r="O222" t="s">
        <v>43</v>
      </c>
      <c r="P222" t="s">
        <v>949</v>
      </c>
      <c r="Q222">
        <v>2021</v>
      </c>
      <c r="S222" t="s">
        <v>169</v>
      </c>
      <c r="T222" t="s">
        <v>159</v>
      </c>
      <c r="U222" t="s">
        <v>27</v>
      </c>
    </row>
    <row r="223" spans="1:21" x14ac:dyDescent="0.25">
      <c r="A223" t="s">
        <v>966</v>
      </c>
      <c r="B223" t="s">
        <v>966</v>
      </c>
      <c r="C223">
        <v>6.3854852409999996</v>
      </c>
      <c r="D223" s="27">
        <v>45953</v>
      </c>
      <c r="E223" s="27">
        <v>45260</v>
      </c>
      <c r="F223">
        <v>11.648184853</v>
      </c>
      <c r="G223">
        <v>316.45862257300001</v>
      </c>
      <c r="H223">
        <v>100.499</v>
      </c>
      <c r="I223" t="s">
        <v>181</v>
      </c>
      <c r="J223">
        <v>20211130</v>
      </c>
      <c r="K223" t="s">
        <v>169</v>
      </c>
      <c r="L223" t="s">
        <v>43</v>
      </c>
      <c r="M223" t="s">
        <v>43</v>
      </c>
      <c r="N223" t="s">
        <v>43</v>
      </c>
      <c r="O223" t="s">
        <v>43</v>
      </c>
      <c r="P223" t="s">
        <v>949</v>
      </c>
      <c r="Q223">
        <v>2021</v>
      </c>
      <c r="S223" t="s">
        <v>169</v>
      </c>
      <c r="T223" t="s">
        <v>159</v>
      </c>
      <c r="U223" t="s">
        <v>27</v>
      </c>
    </row>
    <row r="224" spans="1:21" x14ac:dyDescent="0.25">
      <c r="A224" t="s">
        <v>970</v>
      </c>
      <c r="B224" t="s">
        <v>970</v>
      </c>
      <c r="C224">
        <v>8.5114692129999998</v>
      </c>
      <c r="D224" s="27">
        <v>45948</v>
      </c>
      <c r="E224" s="27">
        <v>46130</v>
      </c>
      <c r="F224">
        <v>12.087895805</v>
      </c>
      <c r="G224">
        <v>355.17960926400002</v>
      </c>
      <c r="H224">
        <v>100.9395</v>
      </c>
      <c r="I224" t="s">
        <v>181</v>
      </c>
      <c r="J224">
        <v>20240404</v>
      </c>
      <c r="K224" t="s">
        <v>43</v>
      </c>
      <c r="L224" t="s">
        <v>43</v>
      </c>
      <c r="M224" t="s">
        <v>169</v>
      </c>
      <c r="N224" t="s">
        <v>43</v>
      </c>
      <c r="O224" t="s">
        <v>43</v>
      </c>
      <c r="P224" t="s">
        <v>949</v>
      </c>
      <c r="Q224">
        <v>2024</v>
      </c>
      <c r="S224" t="s">
        <v>169</v>
      </c>
      <c r="T224" t="s">
        <v>155</v>
      </c>
      <c r="U224" t="s">
        <v>27</v>
      </c>
    </row>
    <row r="225" spans="1:21" x14ac:dyDescent="0.25">
      <c r="A225" t="s">
        <v>968</v>
      </c>
      <c r="B225" t="s">
        <v>968</v>
      </c>
      <c r="C225">
        <v>8.3143012810000005</v>
      </c>
      <c r="D225" s="27">
        <v>45946</v>
      </c>
      <c r="E225" s="27">
        <v>46038</v>
      </c>
      <c r="F225">
        <v>12.120484361000001</v>
      </c>
      <c r="G225">
        <v>379.06448589600001</v>
      </c>
      <c r="H225">
        <v>100.6716</v>
      </c>
      <c r="I225" t="s">
        <v>181</v>
      </c>
      <c r="J225">
        <v>20240209</v>
      </c>
      <c r="K225" t="s">
        <v>43</v>
      </c>
      <c r="L225" t="s">
        <v>43</v>
      </c>
      <c r="M225" t="s">
        <v>169</v>
      </c>
      <c r="N225" t="s">
        <v>43</v>
      </c>
      <c r="O225" t="s">
        <v>43</v>
      </c>
      <c r="P225" t="s">
        <v>949</v>
      </c>
      <c r="Q225">
        <v>2024</v>
      </c>
      <c r="S225" t="s">
        <v>169</v>
      </c>
      <c r="T225" t="s">
        <v>155</v>
      </c>
      <c r="U225" t="s">
        <v>27</v>
      </c>
    </row>
    <row r="226" spans="1:21" x14ac:dyDescent="0.25">
      <c r="A226" t="s">
        <v>616</v>
      </c>
      <c r="B226" t="s">
        <v>616</v>
      </c>
      <c r="C226">
        <v>8.8342951270000007</v>
      </c>
      <c r="D226" s="27">
        <v>45953</v>
      </c>
      <c r="E226" s="27">
        <v>46459</v>
      </c>
      <c r="F226">
        <v>18.160428862</v>
      </c>
      <c r="G226">
        <v>169.24193471800001</v>
      </c>
      <c r="H226">
        <v>100.0397</v>
      </c>
      <c r="I226" t="s">
        <v>181</v>
      </c>
      <c r="J226">
        <v>20250313</v>
      </c>
      <c r="K226" t="s">
        <v>43</v>
      </c>
      <c r="L226" t="s">
        <v>43</v>
      </c>
      <c r="M226" t="s">
        <v>23</v>
      </c>
      <c r="N226" t="s">
        <v>43</v>
      </c>
      <c r="O226" t="s">
        <v>43</v>
      </c>
      <c r="P226" t="s">
        <v>949</v>
      </c>
      <c r="Q226">
        <v>2025</v>
      </c>
      <c r="S226" t="s">
        <v>23</v>
      </c>
      <c r="T226" t="s">
        <v>155</v>
      </c>
      <c r="U226" t="s">
        <v>23</v>
      </c>
    </row>
    <row r="227" spans="1:21" x14ac:dyDescent="0.25">
      <c r="A227" t="s">
        <v>974</v>
      </c>
      <c r="B227" t="s">
        <v>974</v>
      </c>
      <c r="C227">
        <v>9.4038470479999994</v>
      </c>
      <c r="D227" s="27">
        <v>45953</v>
      </c>
      <c r="E227" s="27">
        <v>46459</v>
      </c>
      <c r="F227">
        <v>12.17216756</v>
      </c>
      <c r="G227">
        <v>247.26417668900001</v>
      </c>
      <c r="H227">
        <v>100.176</v>
      </c>
      <c r="I227" t="s">
        <v>181</v>
      </c>
      <c r="J227">
        <v>20250313</v>
      </c>
      <c r="K227" t="s">
        <v>43</v>
      </c>
      <c r="L227" t="s">
        <v>43</v>
      </c>
      <c r="M227" t="s">
        <v>169</v>
      </c>
      <c r="N227" t="s">
        <v>43</v>
      </c>
      <c r="O227" t="s">
        <v>43</v>
      </c>
      <c r="P227" t="s">
        <v>949</v>
      </c>
      <c r="Q227">
        <v>2025</v>
      </c>
      <c r="S227" t="s">
        <v>169</v>
      </c>
      <c r="T227" t="s">
        <v>155</v>
      </c>
      <c r="U227" t="s">
        <v>27</v>
      </c>
    </row>
    <row r="228" spans="1:21" x14ac:dyDescent="0.25">
      <c r="A228" t="s">
        <v>896</v>
      </c>
      <c r="B228" t="s">
        <v>896</v>
      </c>
      <c r="C228">
        <v>6.0435283450000004</v>
      </c>
      <c r="D228" s="27">
        <v>45945</v>
      </c>
      <c r="E228" s="27">
        <v>46218</v>
      </c>
      <c r="F228">
        <v>11.41797012</v>
      </c>
      <c r="H228">
        <v>100.19110000000001</v>
      </c>
      <c r="I228" t="s">
        <v>182</v>
      </c>
      <c r="J228">
        <v>20210629</v>
      </c>
      <c r="K228" t="s">
        <v>169</v>
      </c>
      <c r="L228" t="s">
        <v>43</v>
      </c>
      <c r="M228" t="s">
        <v>43</v>
      </c>
      <c r="N228" t="s">
        <v>43</v>
      </c>
      <c r="O228" t="s">
        <v>43</v>
      </c>
      <c r="P228" t="s">
        <v>1542</v>
      </c>
      <c r="Q228">
        <v>2021</v>
      </c>
      <c r="S228" t="s">
        <v>169</v>
      </c>
      <c r="T228" t="s">
        <v>159</v>
      </c>
      <c r="U228" t="s">
        <v>27</v>
      </c>
    </row>
    <row r="229" spans="1:21" x14ac:dyDescent="0.25">
      <c r="A229" t="s">
        <v>894</v>
      </c>
      <c r="B229" t="s">
        <v>894</v>
      </c>
      <c r="C229">
        <v>5.7851950810000004</v>
      </c>
      <c r="D229" s="27">
        <v>45945</v>
      </c>
      <c r="E229" s="27">
        <v>45031</v>
      </c>
      <c r="F229">
        <v>11.381811727000001</v>
      </c>
      <c r="G229">
        <v>356.83061153199998</v>
      </c>
      <c r="H229">
        <v>100.1951</v>
      </c>
      <c r="I229" t="s">
        <v>182</v>
      </c>
      <c r="J229">
        <v>20210506</v>
      </c>
      <c r="K229" t="s">
        <v>43</v>
      </c>
      <c r="L229" t="s">
        <v>785</v>
      </c>
      <c r="M229" t="s">
        <v>43</v>
      </c>
      <c r="N229" t="s">
        <v>43</v>
      </c>
      <c r="O229" t="s">
        <v>43</v>
      </c>
      <c r="P229" t="s">
        <v>890</v>
      </c>
      <c r="Q229">
        <v>2021</v>
      </c>
      <c r="S229" t="s">
        <v>785</v>
      </c>
      <c r="T229" t="s">
        <v>134</v>
      </c>
      <c r="U229" t="s">
        <v>27</v>
      </c>
    </row>
    <row r="230" spans="1:21" x14ac:dyDescent="0.25">
      <c r="A230" t="s">
        <v>889</v>
      </c>
      <c r="B230" t="s">
        <v>889</v>
      </c>
      <c r="C230">
        <v>8.7783984359999998</v>
      </c>
      <c r="D230" s="27">
        <v>45945</v>
      </c>
      <c r="E230" s="27">
        <v>46218</v>
      </c>
      <c r="F230">
        <v>12.774802819</v>
      </c>
      <c r="G230">
        <v>351.20959434399998</v>
      </c>
      <c r="H230">
        <v>100.89579999999999</v>
      </c>
      <c r="I230" t="s">
        <v>182</v>
      </c>
      <c r="J230">
        <v>20240715</v>
      </c>
      <c r="K230" t="s">
        <v>27</v>
      </c>
      <c r="L230" t="s">
        <v>43</v>
      </c>
      <c r="M230" t="s">
        <v>43</v>
      </c>
      <c r="N230" t="s">
        <v>43</v>
      </c>
      <c r="O230" t="s">
        <v>43</v>
      </c>
      <c r="P230" t="s">
        <v>890</v>
      </c>
      <c r="Q230">
        <v>2024</v>
      </c>
      <c r="S230" t="s">
        <v>27</v>
      </c>
      <c r="T230" t="s">
        <v>159</v>
      </c>
      <c r="U230" t="s">
        <v>27</v>
      </c>
    </row>
    <row r="231" spans="1:21" x14ac:dyDescent="0.25">
      <c r="A231" t="s">
        <v>892</v>
      </c>
      <c r="B231" t="s">
        <v>892</v>
      </c>
      <c r="C231">
        <v>9.1088963750000005</v>
      </c>
      <c r="D231" s="27">
        <v>45945</v>
      </c>
      <c r="E231" s="27">
        <v>46218</v>
      </c>
      <c r="F231">
        <v>10.769625872000001</v>
      </c>
      <c r="G231">
        <v>500.24838342300001</v>
      </c>
      <c r="H231">
        <v>100.922</v>
      </c>
      <c r="I231" t="s">
        <v>182</v>
      </c>
      <c r="J231">
        <v>20240715</v>
      </c>
      <c r="K231" t="s">
        <v>169</v>
      </c>
      <c r="L231" t="s">
        <v>43</v>
      </c>
      <c r="M231" t="s">
        <v>43</v>
      </c>
      <c r="N231" t="s">
        <v>43</v>
      </c>
      <c r="O231" t="s">
        <v>43</v>
      </c>
      <c r="P231" t="s">
        <v>890</v>
      </c>
      <c r="Q231">
        <v>2024</v>
      </c>
      <c r="S231" t="s">
        <v>169</v>
      </c>
      <c r="T231" t="s">
        <v>159</v>
      </c>
      <c r="U231" t="s">
        <v>27</v>
      </c>
    </row>
    <row r="232" spans="1:21" x14ac:dyDescent="0.25">
      <c r="A232" t="s">
        <v>899</v>
      </c>
      <c r="B232" t="s">
        <v>899</v>
      </c>
      <c r="C232">
        <v>9.4424039149999999</v>
      </c>
      <c r="D232" s="27">
        <v>45945</v>
      </c>
      <c r="E232" s="27">
        <v>46473</v>
      </c>
      <c r="F232">
        <v>11.971866487</v>
      </c>
      <c r="G232">
        <v>266.67058556199999</v>
      </c>
      <c r="H232">
        <v>100.56829999999999</v>
      </c>
      <c r="I232" t="s">
        <v>183</v>
      </c>
      <c r="J232">
        <v>20250327</v>
      </c>
      <c r="K232" t="s">
        <v>43</v>
      </c>
      <c r="L232" t="s">
        <v>43</v>
      </c>
      <c r="M232" t="s">
        <v>169</v>
      </c>
      <c r="N232" t="s">
        <v>43</v>
      </c>
      <c r="O232" t="s">
        <v>43</v>
      </c>
      <c r="P232" t="s">
        <v>890</v>
      </c>
      <c r="Q232">
        <v>2025</v>
      </c>
      <c r="S232" t="s">
        <v>169</v>
      </c>
      <c r="T232" t="s">
        <v>155</v>
      </c>
      <c r="U232" t="s">
        <v>27</v>
      </c>
    </row>
    <row r="233" spans="1:21" x14ac:dyDescent="0.25">
      <c r="A233" t="s">
        <v>624</v>
      </c>
      <c r="B233" t="s">
        <v>624</v>
      </c>
      <c r="C233">
        <v>8.2162902980000005</v>
      </c>
      <c r="D233" s="27">
        <v>45950</v>
      </c>
      <c r="E233" s="27">
        <v>46171</v>
      </c>
      <c r="F233">
        <v>18.030044478000001</v>
      </c>
      <c r="G233">
        <v>220.09591254200001</v>
      </c>
      <c r="H233">
        <v>100.64409999999999</v>
      </c>
      <c r="I233" t="s">
        <v>101</v>
      </c>
      <c r="J233">
        <v>20240529</v>
      </c>
      <c r="K233" t="s">
        <v>23</v>
      </c>
      <c r="L233" t="s">
        <v>43</v>
      </c>
      <c r="M233" t="s">
        <v>43</v>
      </c>
      <c r="N233" t="s">
        <v>43</v>
      </c>
      <c r="O233" t="s">
        <v>43</v>
      </c>
      <c r="P233" t="s">
        <v>625</v>
      </c>
      <c r="Q233">
        <v>2024</v>
      </c>
      <c r="S233" t="s">
        <v>23</v>
      </c>
      <c r="T233" t="s">
        <v>159</v>
      </c>
      <c r="U233" t="s">
        <v>23</v>
      </c>
    </row>
    <row r="234" spans="1:21" x14ac:dyDescent="0.25">
      <c r="A234" t="s">
        <v>978</v>
      </c>
      <c r="B234" t="s">
        <v>978</v>
      </c>
      <c r="C234">
        <v>8.8070333250000008</v>
      </c>
      <c r="D234" s="27">
        <v>45950</v>
      </c>
      <c r="E234" s="27">
        <v>46171</v>
      </c>
      <c r="F234">
        <v>12.032242854</v>
      </c>
      <c r="G234">
        <v>313.43340656599997</v>
      </c>
      <c r="H234">
        <v>100.76349999999999</v>
      </c>
      <c r="I234" t="s">
        <v>101</v>
      </c>
      <c r="J234">
        <v>20240529</v>
      </c>
      <c r="K234" t="s">
        <v>169</v>
      </c>
      <c r="L234" t="s">
        <v>43</v>
      </c>
      <c r="M234" t="s">
        <v>43</v>
      </c>
      <c r="N234" t="s">
        <v>43</v>
      </c>
      <c r="O234" t="s">
        <v>43</v>
      </c>
      <c r="P234" t="s">
        <v>625</v>
      </c>
      <c r="Q234">
        <v>2024</v>
      </c>
      <c r="S234" t="s">
        <v>169</v>
      </c>
      <c r="T234" t="s">
        <v>159</v>
      </c>
      <c r="U234" t="s">
        <v>27</v>
      </c>
    </row>
    <row r="235" spans="1:21" x14ac:dyDescent="0.25">
      <c r="A235" t="s">
        <v>926</v>
      </c>
      <c r="B235" t="s">
        <v>926</v>
      </c>
      <c r="C235">
        <v>5.7513620699999999</v>
      </c>
      <c r="D235" s="27">
        <v>45950</v>
      </c>
      <c r="E235" s="27">
        <v>46002</v>
      </c>
      <c r="F235">
        <v>12.347343806</v>
      </c>
      <c r="G235">
        <v>280.77000808499997</v>
      </c>
      <c r="H235">
        <v>100.1968</v>
      </c>
      <c r="I235" t="s">
        <v>82</v>
      </c>
      <c r="J235">
        <v>20241212</v>
      </c>
      <c r="K235" t="s">
        <v>43</v>
      </c>
      <c r="L235" t="s">
        <v>785</v>
      </c>
      <c r="M235" t="s">
        <v>43</v>
      </c>
      <c r="N235" t="s">
        <v>43</v>
      </c>
      <c r="O235" t="s">
        <v>43</v>
      </c>
      <c r="P235" t="s">
        <v>286</v>
      </c>
      <c r="Q235">
        <v>2024</v>
      </c>
      <c r="S235" t="s">
        <v>785</v>
      </c>
      <c r="T235" t="s">
        <v>134</v>
      </c>
      <c r="U235" t="s">
        <v>27</v>
      </c>
    </row>
    <row r="236" spans="1:21" x14ac:dyDescent="0.25">
      <c r="A236" t="s">
        <v>944</v>
      </c>
      <c r="B236" t="s">
        <v>944</v>
      </c>
      <c r="C236">
        <v>6.2373314479999999</v>
      </c>
      <c r="D236" s="27">
        <v>45945</v>
      </c>
      <c r="E236" s="27">
        <v>45198</v>
      </c>
      <c r="F236">
        <v>11.364339883</v>
      </c>
      <c r="G236">
        <v>336.90264866699999</v>
      </c>
      <c r="H236">
        <v>100.4648</v>
      </c>
      <c r="I236" t="s">
        <v>82</v>
      </c>
      <c r="J236">
        <v>20210929</v>
      </c>
      <c r="K236" t="s">
        <v>169</v>
      </c>
      <c r="L236" t="s">
        <v>43</v>
      </c>
      <c r="M236" t="s">
        <v>43</v>
      </c>
      <c r="N236" t="s">
        <v>43</v>
      </c>
      <c r="O236" t="s">
        <v>43</v>
      </c>
      <c r="P236" t="s">
        <v>286</v>
      </c>
      <c r="Q236">
        <v>2021</v>
      </c>
      <c r="S236" t="s">
        <v>169</v>
      </c>
      <c r="T236" t="s">
        <v>159</v>
      </c>
      <c r="U236" t="s">
        <v>27</v>
      </c>
    </row>
    <row r="237" spans="1:21" x14ac:dyDescent="0.25">
      <c r="A237" t="s">
        <v>940</v>
      </c>
      <c r="B237" t="s">
        <v>940</v>
      </c>
      <c r="C237">
        <v>9.2116972350000008</v>
      </c>
      <c r="D237" s="27">
        <v>45945</v>
      </c>
      <c r="E237" s="27">
        <v>46402</v>
      </c>
      <c r="F237">
        <v>11.999701872999999</v>
      </c>
      <c r="G237">
        <v>277.36573066400001</v>
      </c>
      <c r="H237">
        <v>100.1765</v>
      </c>
      <c r="I237" t="s">
        <v>82</v>
      </c>
      <c r="J237">
        <v>20250106</v>
      </c>
      <c r="K237" t="s">
        <v>43</v>
      </c>
      <c r="L237" t="s">
        <v>43</v>
      </c>
      <c r="M237" t="s">
        <v>169</v>
      </c>
      <c r="N237" t="s">
        <v>43</v>
      </c>
      <c r="O237" t="s">
        <v>43</v>
      </c>
      <c r="P237" t="s">
        <v>286</v>
      </c>
      <c r="Q237">
        <v>2025</v>
      </c>
      <c r="S237" t="s">
        <v>169</v>
      </c>
      <c r="T237" t="s">
        <v>155</v>
      </c>
      <c r="U237" t="s">
        <v>27</v>
      </c>
    </row>
    <row r="238" spans="1:21" x14ac:dyDescent="0.25">
      <c r="A238" t="s">
        <v>928</v>
      </c>
      <c r="B238" t="s">
        <v>928</v>
      </c>
      <c r="C238">
        <v>8.9596891700000008</v>
      </c>
      <c r="D238" s="27">
        <v>45951</v>
      </c>
      <c r="E238" s="27">
        <v>46316</v>
      </c>
      <c r="F238">
        <v>13.206590641</v>
      </c>
      <c r="G238">
        <v>315.30647880200002</v>
      </c>
      <c r="H238">
        <v>100.30800000000001</v>
      </c>
      <c r="I238" t="s">
        <v>82</v>
      </c>
      <c r="J238">
        <v>20240905</v>
      </c>
      <c r="K238" t="s">
        <v>43</v>
      </c>
      <c r="L238" t="s">
        <v>43</v>
      </c>
      <c r="M238" t="s">
        <v>169</v>
      </c>
      <c r="N238" t="s">
        <v>43</v>
      </c>
      <c r="O238" t="s">
        <v>43</v>
      </c>
      <c r="P238" t="s">
        <v>286</v>
      </c>
      <c r="Q238">
        <v>2024</v>
      </c>
      <c r="S238" t="s">
        <v>169</v>
      </c>
      <c r="T238" t="s">
        <v>155</v>
      </c>
      <c r="U238" t="s">
        <v>27</v>
      </c>
    </row>
    <row r="239" spans="1:21" x14ac:dyDescent="0.25">
      <c r="A239" t="s">
        <v>930</v>
      </c>
      <c r="B239" t="s">
        <v>930</v>
      </c>
      <c r="C239">
        <v>9.0108154599999999</v>
      </c>
      <c r="D239" s="27">
        <v>45947</v>
      </c>
      <c r="E239" s="27">
        <v>46270</v>
      </c>
      <c r="F239">
        <v>13.000684429</v>
      </c>
      <c r="G239">
        <v>305.03384157300002</v>
      </c>
      <c r="H239">
        <v>100.32940000000001</v>
      </c>
      <c r="I239" t="s">
        <v>82</v>
      </c>
      <c r="J239">
        <v>20240905</v>
      </c>
      <c r="K239" t="s">
        <v>43</v>
      </c>
      <c r="L239" t="s">
        <v>43</v>
      </c>
      <c r="M239" t="s">
        <v>27</v>
      </c>
      <c r="N239" t="s">
        <v>43</v>
      </c>
      <c r="O239" t="s">
        <v>43</v>
      </c>
      <c r="P239" t="s">
        <v>286</v>
      </c>
      <c r="Q239">
        <v>2024</v>
      </c>
      <c r="S239" t="s">
        <v>27</v>
      </c>
      <c r="T239" t="s">
        <v>155</v>
      </c>
      <c r="U239" t="s">
        <v>27</v>
      </c>
    </row>
    <row r="240" spans="1:21" x14ac:dyDescent="0.25">
      <c r="A240" t="s">
        <v>932</v>
      </c>
      <c r="B240" t="s">
        <v>932</v>
      </c>
      <c r="C240">
        <v>3.977338697</v>
      </c>
      <c r="D240" s="27">
        <v>45950</v>
      </c>
      <c r="E240" s="27">
        <v>44854</v>
      </c>
      <c r="F240">
        <v>13.993135511</v>
      </c>
      <c r="H240">
        <v>101.0224</v>
      </c>
      <c r="I240" t="s">
        <v>82</v>
      </c>
      <c r="J240">
        <v>20211020</v>
      </c>
      <c r="K240" t="s">
        <v>43</v>
      </c>
      <c r="L240" t="s">
        <v>785</v>
      </c>
      <c r="M240" t="s">
        <v>43</v>
      </c>
      <c r="N240" t="s">
        <v>43</v>
      </c>
      <c r="O240" t="s">
        <v>43</v>
      </c>
      <c r="P240" t="s">
        <v>286</v>
      </c>
      <c r="Q240">
        <v>2021</v>
      </c>
      <c r="S240" t="s">
        <v>785</v>
      </c>
      <c r="T240" t="s">
        <v>134</v>
      </c>
      <c r="U240" t="s">
        <v>27</v>
      </c>
    </row>
    <row r="241" spans="1:21" x14ac:dyDescent="0.25">
      <c r="A241" t="s">
        <v>614</v>
      </c>
      <c r="B241" t="s">
        <v>614</v>
      </c>
      <c r="C241">
        <v>8.6852708710000002</v>
      </c>
      <c r="D241" s="27">
        <v>45945</v>
      </c>
      <c r="E241" s="27">
        <v>46332</v>
      </c>
      <c r="F241">
        <v>18.024104885</v>
      </c>
      <c r="G241">
        <v>193.15048997100001</v>
      </c>
      <c r="H241">
        <v>100.4688</v>
      </c>
      <c r="I241" t="s">
        <v>82</v>
      </c>
      <c r="J241">
        <v>20241106</v>
      </c>
      <c r="K241" t="s">
        <v>43</v>
      </c>
      <c r="L241" t="s">
        <v>43</v>
      </c>
      <c r="M241" t="s">
        <v>23</v>
      </c>
      <c r="N241" t="s">
        <v>43</v>
      </c>
      <c r="O241" t="s">
        <v>43</v>
      </c>
      <c r="P241" t="s">
        <v>286</v>
      </c>
      <c r="Q241">
        <v>2024</v>
      </c>
      <c r="S241" t="s">
        <v>23</v>
      </c>
      <c r="T241" t="s">
        <v>155</v>
      </c>
      <c r="U241" t="s">
        <v>23</v>
      </c>
    </row>
    <row r="242" spans="1:21" x14ac:dyDescent="0.25">
      <c r="A242" t="s">
        <v>942</v>
      </c>
      <c r="B242" t="s">
        <v>942</v>
      </c>
      <c r="C242">
        <v>9.0139624010000006</v>
      </c>
      <c r="D242" s="27">
        <v>45945</v>
      </c>
      <c r="E242" s="27">
        <v>46472</v>
      </c>
      <c r="F242">
        <v>12.001464342</v>
      </c>
      <c r="G242">
        <v>296.646368924</v>
      </c>
      <c r="H242">
        <v>100.22110000000001</v>
      </c>
      <c r="I242" t="s">
        <v>82</v>
      </c>
      <c r="J242">
        <v>20250326</v>
      </c>
      <c r="K242" t="s">
        <v>43</v>
      </c>
      <c r="L242" t="s">
        <v>43</v>
      </c>
      <c r="M242" t="s">
        <v>169</v>
      </c>
      <c r="N242" t="s">
        <v>43</v>
      </c>
      <c r="O242" t="s">
        <v>43</v>
      </c>
      <c r="P242" t="s">
        <v>286</v>
      </c>
      <c r="Q242">
        <v>2025</v>
      </c>
      <c r="S242" t="s">
        <v>169</v>
      </c>
      <c r="T242" t="s">
        <v>155</v>
      </c>
      <c r="U242" t="s">
        <v>27</v>
      </c>
    </row>
    <row r="243" spans="1:21" x14ac:dyDescent="0.25">
      <c r="A243" t="s">
        <v>611</v>
      </c>
      <c r="B243" t="s">
        <v>611</v>
      </c>
      <c r="C243">
        <v>8.7343042020000006</v>
      </c>
      <c r="D243" s="27">
        <v>45950</v>
      </c>
      <c r="E243" s="27">
        <v>46374</v>
      </c>
      <c r="F243">
        <v>17.796846942999998</v>
      </c>
      <c r="G243">
        <v>183.712084729</v>
      </c>
      <c r="H243">
        <v>100.4335</v>
      </c>
      <c r="I243" t="s">
        <v>82</v>
      </c>
      <c r="J243">
        <v>20241218</v>
      </c>
      <c r="K243" t="s">
        <v>43</v>
      </c>
      <c r="L243" t="s">
        <v>43</v>
      </c>
      <c r="M243" t="s">
        <v>23</v>
      </c>
      <c r="N243" t="s">
        <v>43</v>
      </c>
      <c r="O243" t="s">
        <v>43</v>
      </c>
      <c r="P243" t="s">
        <v>286</v>
      </c>
      <c r="Q243">
        <v>2024</v>
      </c>
      <c r="S243" t="s">
        <v>23</v>
      </c>
      <c r="T243" t="s">
        <v>155</v>
      </c>
      <c r="U243" t="s">
        <v>23</v>
      </c>
    </row>
    <row r="244" spans="1:21" x14ac:dyDescent="0.25">
      <c r="A244" t="s">
        <v>936</v>
      </c>
      <c r="B244" t="s">
        <v>936</v>
      </c>
      <c r="C244">
        <v>9.2623294180000002</v>
      </c>
      <c r="D244" s="27">
        <v>45950</v>
      </c>
      <c r="E244" s="27">
        <v>46374</v>
      </c>
      <c r="F244">
        <v>11.781982084999999</v>
      </c>
      <c r="G244">
        <v>282.17949535999998</v>
      </c>
      <c r="H244">
        <v>100.19</v>
      </c>
      <c r="I244" t="s">
        <v>82</v>
      </c>
      <c r="J244">
        <v>20241218</v>
      </c>
      <c r="K244" t="s">
        <v>43</v>
      </c>
      <c r="L244" t="s">
        <v>43</v>
      </c>
      <c r="M244" t="s">
        <v>169</v>
      </c>
      <c r="N244" t="s">
        <v>43</v>
      </c>
      <c r="O244" t="s">
        <v>43</v>
      </c>
      <c r="P244" t="s">
        <v>286</v>
      </c>
      <c r="Q244">
        <v>2024</v>
      </c>
      <c r="S244" t="s">
        <v>169</v>
      </c>
      <c r="T244" t="s">
        <v>155</v>
      </c>
      <c r="U244" t="s">
        <v>27</v>
      </c>
    </row>
    <row r="245" spans="1:21" x14ac:dyDescent="0.25">
      <c r="A245" t="s">
        <v>934</v>
      </c>
      <c r="B245" t="s">
        <v>934</v>
      </c>
      <c r="C245">
        <v>9.2559145669999996</v>
      </c>
      <c r="D245" s="27">
        <v>45950</v>
      </c>
      <c r="E245" s="27">
        <v>46425</v>
      </c>
      <c r="F245">
        <v>11.966862362000001</v>
      </c>
      <c r="G245">
        <v>261.38632077699998</v>
      </c>
      <c r="H245">
        <v>100.2482</v>
      </c>
      <c r="I245" t="s">
        <v>82</v>
      </c>
      <c r="J245">
        <v>20250207</v>
      </c>
      <c r="K245" t="s">
        <v>43</v>
      </c>
      <c r="L245" t="s">
        <v>43</v>
      </c>
      <c r="M245" t="s">
        <v>169</v>
      </c>
      <c r="N245" t="s">
        <v>43</v>
      </c>
      <c r="O245" t="s">
        <v>43</v>
      </c>
      <c r="P245" t="s">
        <v>1543</v>
      </c>
      <c r="Q245">
        <v>2025</v>
      </c>
      <c r="S245" t="s">
        <v>169</v>
      </c>
      <c r="T245" t="s">
        <v>155</v>
      </c>
      <c r="U245" t="s">
        <v>27</v>
      </c>
    </row>
    <row r="246" spans="1:21" x14ac:dyDescent="0.25">
      <c r="A246" t="s">
        <v>938</v>
      </c>
      <c r="B246" t="s">
        <v>938</v>
      </c>
      <c r="C246">
        <v>6.0425476720000004</v>
      </c>
      <c r="D246" s="27">
        <v>45950</v>
      </c>
      <c r="E246" s="27">
        <v>45127</v>
      </c>
      <c r="F246">
        <v>12.293046219000001</v>
      </c>
      <c r="H246">
        <v>100.005</v>
      </c>
      <c r="I246" t="s">
        <v>82</v>
      </c>
      <c r="J246">
        <v>20210708</v>
      </c>
      <c r="K246" t="s">
        <v>43</v>
      </c>
      <c r="L246" t="s">
        <v>785</v>
      </c>
      <c r="M246" t="s">
        <v>43</v>
      </c>
      <c r="N246" t="s">
        <v>43</v>
      </c>
      <c r="O246" t="s">
        <v>43</v>
      </c>
      <c r="P246" t="s">
        <v>286</v>
      </c>
      <c r="Q246">
        <v>2021</v>
      </c>
      <c r="S246" t="s">
        <v>785</v>
      </c>
      <c r="T246" t="s">
        <v>134</v>
      </c>
      <c r="U246" t="s">
        <v>27</v>
      </c>
    </row>
    <row r="247" spans="1:21" x14ac:dyDescent="0.25">
      <c r="A247" t="s">
        <v>946</v>
      </c>
      <c r="B247" t="s">
        <v>946</v>
      </c>
      <c r="C247">
        <v>7.9298229300000003</v>
      </c>
      <c r="D247" s="27">
        <v>45955</v>
      </c>
      <c r="E247" s="27">
        <v>45955</v>
      </c>
      <c r="F247">
        <v>11.712671621</v>
      </c>
      <c r="G247">
        <v>402.62050410099999</v>
      </c>
      <c r="H247">
        <v>100.42910000000001</v>
      </c>
      <c r="I247" t="s">
        <v>82</v>
      </c>
      <c r="J247">
        <v>20231102</v>
      </c>
      <c r="K247" t="s">
        <v>43</v>
      </c>
      <c r="L247" t="s">
        <v>43</v>
      </c>
      <c r="M247" t="s">
        <v>169</v>
      </c>
      <c r="N247" t="s">
        <v>43</v>
      </c>
      <c r="O247" t="s">
        <v>43</v>
      </c>
      <c r="P247" t="s">
        <v>286</v>
      </c>
      <c r="Q247">
        <v>2023</v>
      </c>
      <c r="S247" t="s">
        <v>169</v>
      </c>
      <c r="T247" t="s">
        <v>155</v>
      </c>
      <c r="U247" t="s">
        <v>27</v>
      </c>
    </row>
    <row r="248" spans="1:21" x14ac:dyDescent="0.25">
      <c r="A248" t="s">
        <v>911</v>
      </c>
      <c r="B248" t="s">
        <v>911</v>
      </c>
      <c r="C248">
        <v>9.1484261320000009</v>
      </c>
      <c r="D248" s="27">
        <v>45950</v>
      </c>
      <c r="E248" s="27">
        <v>46407</v>
      </c>
      <c r="F248">
        <v>12.810611893000001</v>
      </c>
      <c r="G248">
        <v>306.83260226700003</v>
      </c>
      <c r="H248">
        <v>100.5538</v>
      </c>
      <c r="I248" t="s">
        <v>82</v>
      </c>
      <c r="J248">
        <v>20241217</v>
      </c>
      <c r="K248" t="s">
        <v>43</v>
      </c>
      <c r="L248" t="s">
        <v>43</v>
      </c>
      <c r="M248" t="s">
        <v>27</v>
      </c>
      <c r="N248" t="s">
        <v>43</v>
      </c>
      <c r="O248" t="s">
        <v>43</v>
      </c>
      <c r="P248" t="s">
        <v>1544</v>
      </c>
      <c r="Q248">
        <v>2024</v>
      </c>
      <c r="S248" t="s">
        <v>27</v>
      </c>
      <c r="T248" t="s">
        <v>155</v>
      </c>
      <c r="U248" t="s">
        <v>27</v>
      </c>
    </row>
    <row r="249" spans="1:21" x14ac:dyDescent="0.25">
      <c r="A249" t="s">
        <v>920</v>
      </c>
      <c r="B249" t="s">
        <v>920</v>
      </c>
      <c r="C249">
        <v>6.9978669279999997</v>
      </c>
      <c r="D249" s="27">
        <v>45945</v>
      </c>
      <c r="E249" s="27">
        <v>46102</v>
      </c>
      <c r="F249">
        <v>22.760211945000002</v>
      </c>
      <c r="G249">
        <v>488.25763684700001</v>
      </c>
      <c r="H249">
        <v>100.60850000000001</v>
      </c>
      <c r="I249" t="s">
        <v>184</v>
      </c>
      <c r="J249">
        <v>20240321</v>
      </c>
      <c r="K249" t="s">
        <v>43</v>
      </c>
      <c r="L249" t="s">
        <v>785</v>
      </c>
      <c r="M249" t="s">
        <v>43</v>
      </c>
      <c r="N249" t="s">
        <v>43</v>
      </c>
      <c r="O249" t="s">
        <v>43</v>
      </c>
      <c r="P249" t="s">
        <v>1545</v>
      </c>
      <c r="Q249">
        <v>2024</v>
      </c>
      <c r="S249" t="s">
        <v>785</v>
      </c>
      <c r="T249" t="s">
        <v>134</v>
      </c>
      <c r="U249" t="s">
        <v>27</v>
      </c>
    </row>
    <row r="250" spans="1:21" x14ac:dyDescent="0.25">
      <c r="A250" t="s">
        <v>953</v>
      </c>
      <c r="B250" t="s">
        <v>953</v>
      </c>
      <c r="C250">
        <v>9.2847957700000006</v>
      </c>
      <c r="D250" s="27">
        <v>45947</v>
      </c>
      <c r="E250" s="27">
        <v>46404</v>
      </c>
      <c r="F250">
        <v>12.061834128999999</v>
      </c>
      <c r="G250">
        <v>255.09456354</v>
      </c>
      <c r="H250">
        <v>100.3416</v>
      </c>
      <c r="I250" t="s">
        <v>181</v>
      </c>
      <c r="J250">
        <v>20250206</v>
      </c>
      <c r="K250" t="s">
        <v>43</v>
      </c>
      <c r="L250" t="s">
        <v>43</v>
      </c>
      <c r="M250" t="s">
        <v>169</v>
      </c>
      <c r="N250" t="s">
        <v>43</v>
      </c>
      <c r="O250" t="s">
        <v>43</v>
      </c>
      <c r="P250" t="s">
        <v>949</v>
      </c>
      <c r="Q250">
        <v>2025</v>
      </c>
      <c r="S250" t="s">
        <v>169</v>
      </c>
      <c r="T250" t="s">
        <v>155</v>
      </c>
      <c r="U250" t="s">
        <v>27</v>
      </c>
    </row>
    <row r="251" spans="1:21" x14ac:dyDescent="0.25">
      <c r="A251" t="s">
        <v>972</v>
      </c>
      <c r="B251" t="s">
        <v>972</v>
      </c>
      <c r="C251">
        <v>8.575975369</v>
      </c>
      <c r="D251" s="27">
        <v>45952</v>
      </c>
      <c r="E251" s="27">
        <v>46134</v>
      </c>
      <c r="F251">
        <v>11.989370575000001</v>
      </c>
      <c r="G251">
        <v>336.36011086600001</v>
      </c>
      <c r="H251">
        <v>100.8749</v>
      </c>
      <c r="I251" t="s">
        <v>181</v>
      </c>
      <c r="J251">
        <v>20240430</v>
      </c>
      <c r="K251" t="s">
        <v>43</v>
      </c>
      <c r="L251" t="s">
        <v>43</v>
      </c>
      <c r="M251" t="s">
        <v>169</v>
      </c>
      <c r="N251" t="s">
        <v>43</v>
      </c>
      <c r="O251" t="s">
        <v>43</v>
      </c>
      <c r="P251" t="s">
        <v>949</v>
      </c>
      <c r="Q251">
        <v>2024</v>
      </c>
      <c r="S251" t="s">
        <v>169</v>
      </c>
      <c r="T251" t="s">
        <v>155</v>
      </c>
      <c r="U251" t="s">
        <v>27</v>
      </c>
    </row>
    <row r="252" spans="1:21" x14ac:dyDescent="0.25">
      <c r="A252" t="s">
        <v>627</v>
      </c>
      <c r="B252" t="s">
        <v>627</v>
      </c>
      <c r="C252">
        <v>2.7162138109999998</v>
      </c>
      <c r="D252" s="27">
        <v>45950</v>
      </c>
      <c r="E252" s="27">
        <v>45620</v>
      </c>
      <c r="F252">
        <v>28.286895854000001</v>
      </c>
      <c r="G252">
        <v>254.853908555</v>
      </c>
      <c r="H252">
        <v>100.2607</v>
      </c>
      <c r="I252" t="s">
        <v>185</v>
      </c>
      <c r="J252">
        <v>20181030</v>
      </c>
      <c r="K252" t="s">
        <v>43</v>
      </c>
      <c r="L252" t="s">
        <v>569</v>
      </c>
      <c r="M252" t="s">
        <v>43</v>
      </c>
      <c r="N252" t="s">
        <v>43</v>
      </c>
      <c r="O252" t="s">
        <v>43</v>
      </c>
      <c r="P252" t="s">
        <v>1546</v>
      </c>
      <c r="Q252">
        <v>2018</v>
      </c>
      <c r="S252" t="s">
        <v>569</v>
      </c>
      <c r="T252" t="s">
        <v>134</v>
      </c>
      <c r="U252" t="s">
        <v>23</v>
      </c>
    </row>
    <row r="253" spans="1:21" x14ac:dyDescent="0.25">
      <c r="A253" t="s">
        <v>630</v>
      </c>
      <c r="B253" t="s">
        <v>630</v>
      </c>
      <c r="C253">
        <v>8.7601952430000001</v>
      </c>
      <c r="D253" s="27">
        <v>45950</v>
      </c>
      <c r="E253" s="27">
        <v>46497</v>
      </c>
      <c r="F253">
        <v>18</v>
      </c>
      <c r="G253">
        <v>169.89065972899999</v>
      </c>
      <c r="H253">
        <v>100.3548</v>
      </c>
      <c r="I253" t="s">
        <v>186</v>
      </c>
      <c r="J253">
        <v>20250310</v>
      </c>
      <c r="K253" t="s">
        <v>23</v>
      </c>
      <c r="L253" t="s">
        <v>43</v>
      </c>
      <c r="M253" t="s">
        <v>43</v>
      </c>
      <c r="N253" t="s">
        <v>43</v>
      </c>
      <c r="O253" t="s">
        <v>43</v>
      </c>
      <c r="P253" t="s">
        <v>1547</v>
      </c>
      <c r="Q253">
        <v>2025</v>
      </c>
      <c r="S253" t="s">
        <v>23</v>
      </c>
      <c r="T253" t="s">
        <v>159</v>
      </c>
      <c r="U253" t="s">
        <v>23</v>
      </c>
    </row>
    <row r="254" spans="1:21" x14ac:dyDescent="0.25">
      <c r="A254" t="s">
        <v>980</v>
      </c>
      <c r="B254" t="s">
        <v>980</v>
      </c>
      <c r="C254">
        <v>9.3678091099999996</v>
      </c>
      <c r="D254" s="27">
        <v>45950</v>
      </c>
      <c r="E254" s="27">
        <v>46497</v>
      </c>
      <c r="F254">
        <v>12</v>
      </c>
      <c r="G254">
        <v>253.08023070799999</v>
      </c>
      <c r="H254">
        <v>100.48860000000001</v>
      </c>
      <c r="I254" t="s">
        <v>186</v>
      </c>
      <c r="J254">
        <v>20250310</v>
      </c>
      <c r="K254" t="s">
        <v>169</v>
      </c>
      <c r="L254" t="s">
        <v>43</v>
      </c>
      <c r="M254" t="s">
        <v>43</v>
      </c>
      <c r="N254" t="s">
        <v>43</v>
      </c>
      <c r="O254" t="s">
        <v>43</v>
      </c>
      <c r="P254" t="s">
        <v>1547</v>
      </c>
      <c r="Q254">
        <v>2025</v>
      </c>
      <c r="S254" t="s">
        <v>169</v>
      </c>
      <c r="T254" t="s">
        <v>159</v>
      </c>
      <c r="U254" t="s">
        <v>27</v>
      </c>
    </row>
    <row r="255" spans="1:21" x14ac:dyDescent="0.25">
      <c r="A255" t="s">
        <v>986</v>
      </c>
      <c r="B255" t="s">
        <v>986</v>
      </c>
      <c r="C255">
        <v>8.2381918269999996</v>
      </c>
      <c r="D255" s="27">
        <v>45976</v>
      </c>
      <c r="E255" s="27">
        <v>45976</v>
      </c>
      <c r="F255">
        <v>10.790165994000001</v>
      </c>
      <c r="G255">
        <v>441.68460001099999</v>
      </c>
      <c r="H255">
        <v>100.4975</v>
      </c>
      <c r="I255" t="s">
        <v>85</v>
      </c>
      <c r="J255">
        <v>20231115</v>
      </c>
      <c r="K255" t="s">
        <v>169</v>
      </c>
      <c r="L255" t="s">
        <v>43</v>
      </c>
      <c r="M255" t="s">
        <v>43</v>
      </c>
      <c r="N255" t="s">
        <v>43</v>
      </c>
      <c r="O255" t="s">
        <v>43</v>
      </c>
      <c r="P255" t="s">
        <v>293</v>
      </c>
      <c r="Q255">
        <v>2023</v>
      </c>
      <c r="S255" t="s">
        <v>169</v>
      </c>
      <c r="T255" t="s">
        <v>159</v>
      </c>
      <c r="U255" t="s">
        <v>27</v>
      </c>
    </row>
    <row r="256" spans="1:21" x14ac:dyDescent="0.25">
      <c r="A256" t="s">
        <v>982</v>
      </c>
      <c r="B256" t="s">
        <v>982</v>
      </c>
      <c r="C256">
        <v>6.1379226170000001</v>
      </c>
      <c r="F256">
        <v>10.026588653999999</v>
      </c>
      <c r="H256">
        <v>100.005</v>
      </c>
      <c r="I256" t="s">
        <v>85</v>
      </c>
      <c r="J256">
        <v>20210707</v>
      </c>
      <c r="K256" t="s">
        <v>169</v>
      </c>
      <c r="L256" t="s">
        <v>43</v>
      </c>
      <c r="M256" t="s">
        <v>43</v>
      </c>
      <c r="N256" t="s">
        <v>43</v>
      </c>
      <c r="O256" t="s">
        <v>43</v>
      </c>
      <c r="P256" t="s">
        <v>293</v>
      </c>
      <c r="Q256">
        <v>2021</v>
      </c>
      <c r="S256" t="s">
        <v>169</v>
      </c>
      <c r="T256" t="s">
        <v>159</v>
      </c>
      <c r="U256" t="s">
        <v>27</v>
      </c>
    </row>
    <row r="257" spans="1:21" x14ac:dyDescent="0.25">
      <c r="A257" t="s">
        <v>994</v>
      </c>
      <c r="B257" t="s">
        <v>994</v>
      </c>
      <c r="C257">
        <v>8.5893551010000007</v>
      </c>
      <c r="D257" s="27">
        <v>45948</v>
      </c>
      <c r="E257" s="27">
        <v>46130</v>
      </c>
      <c r="F257">
        <v>11.958521037000001</v>
      </c>
      <c r="G257">
        <v>366.32668119800002</v>
      </c>
      <c r="H257">
        <v>100.86790000000001</v>
      </c>
      <c r="I257" t="s">
        <v>85</v>
      </c>
      <c r="J257">
        <v>20240325</v>
      </c>
      <c r="K257" t="s">
        <v>169</v>
      </c>
      <c r="L257" t="s">
        <v>43</v>
      </c>
      <c r="M257" t="s">
        <v>43</v>
      </c>
      <c r="N257" t="s">
        <v>43</v>
      </c>
      <c r="O257" t="s">
        <v>43</v>
      </c>
      <c r="P257" t="s">
        <v>293</v>
      </c>
      <c r="Q257">
        <v>2024</v>
      </c>
      <c r="S257" t="s">
        <v>169</v>
      </c>
      <c r="T257" t="s">
        <v>159</v>
      </c>
      <c r="U257" t="s">
        <v>27</v>
      </c>
    </row>
    <row r="258" spans="1:21" x14ac:dyDescent="0.25">
      <c r="A258" t="s">
        <v>990</v>
      </c>
      <c r="B258" t="s">
        <v>990</v>
      </c>
      <c r="C258">
        <v>6.6998247180000003</v>
      </c>
      <c r="D258" s="27">
        <v>45950</v>
      </c>
      <c r="E258" s="27">
        <v>45394</v>
      </c>
      <c r="F258">
        <v>9.9653826589999994</v>
      </c>
      <c r="G258">
        <v>326.12510844000002</v>
      </c>
      <c r="H258">
        <v>99.661000000000001</v>
      </c>
      <c r="I258" t="s">
        <v>85</v>
      </c>
      <c r="J258">
        <v>20220412</v>
      </c>
      <c r="K258" t="s">
        <v>169</v>
      </c>
      <c r="L258" t="s">
        <v>43</v>
      </c>
      <c r="M258" t="s">
        <v>43</v>
      </c>
      <c r="N258" t="s">
        <v>43</v>
      </c>
      <c r="O258" t="s">
        <v>43</v>
      </c>
      <c r="P258" t="s">
        <v>293</v>
      </c>
      <c r="Q258">
        <v>2022</v>
      </c>
      <c r="S258" t="s">
        <v>169</v>
      </c>
      <c r="T258" t="s">
        <v>159</v>
      </c>
      <c r="U258" t="s">
        <v>27</v>
      </c>
    </row>
    <row r="259" spans="1:21" x14ac:dyDescent="0.25">
      <c r="A259" t="s">
        <v>633</v>
      </c>
      <c r="B259" t="s">
        <v>633</v>
      </c>
      <c r="C259">
        <v>6.4836267349999996</v>
      </c>
      <c r="D259" s="27">
        <v>45945</v>
      </c>
      <c r="E259" s="27">
        <v>45945</v>
      </c>
      <c r="F259">
        <v>18.014580848000001</v>
      </c>
      <c r="G259">
        <v>184.92498964000001</v>
      </c>
      <c r="H259">
        <v>100.2723</v>
      </c>
      <c r="I259" t="s">
        <v>85</v>
      </c>
      <c r="J259">
        <v>20241021</v>
      </c>
      <c r="K259" t="s">
        <v>43</v>
      </c>
      <c r="L259" t="s">
        <v>43</v>
      </c>
      <c r="M259" t="s">
        <v>23</v>
      </c>
      <c r="N259" t="s">
        <v>43</v>
      </c>
      <c r="O259" t="s">
        <v>43</v>
      </c>
      <c r="P259" t="s">
        <v>293</v>
      </c>
      <c r="Q259">
        <v>2024</v>
      </c>
      <c r="S259" t="s">
        <v>23</v>
      </c>
      <c r="T259" t="s">
        <v>155</v>
      </c>
      <c r="U259" t="s">
        <v>23</v>
      </c>
    </row>
    <row r="260" spans="1:21" x14ac:dyDescent="0.25">
      <c r="A260" t="s">
        <v>988</v>
      </c>
      <c r="B260" t="s">
        <v>988</v>
      </c>
      <c r="C260">
        <v>6.85725724</v>
      </c>
      <c r="D260" s="27">
        <v>45945</v>
      </c>
      <c r="E260" s="27">
        <v>45945</v>
      </c>
      <c r="F260">
        <v>12.015647739</v>
      </c>
      <c r="G260">
        <v>307.29700672500002</v>
      </c>
      <c r="H260">
        <v>100.1405</v>
      </c>
      <c r="I260" t="s">
        <v>85</v>
      </c>
      <c r="J260">
        <v>20241021</v>
      </c>
      <c r="K260" t="s">
        <v>43</v>
      </c>
      <c r="L260" t="s">
        <v>43</v>
      </c>
      <c r="M260" t="s">
        <v>169</v>
      </c>
      <c r="N260" t="s">
        <v>43</v>
      </c>
      <c r="O260" t="s">
        <v>43</v>
      </c>
      <c r="P260" t="s">
        <v>293</v>
      </c>
      <c r="Q260">
        <v>2024</v>
      </c>
      <c r="S260" t="s">
        <v>169</v>
      </c>
      <c r="T260" t="s">
        <v>155</v>
      </c>
      <c r="U260" t="s">
        <v>27</v>
      </c>
    </row>
    <row r="261" spans="1:21" x14ac:dyDescent="0.25">
      <c r="A261" t="s">
        <v>984</v>
      </c>
      <c r="B261" t="s">
        <v>984</v>
      </c>
      <c r="C261">
        <v>8.843947794</v>
      </c>
      <c r="D261" s="27">
        <v>45948</v>
      </c>
      <c r="E261" s="27">
        <v>46221</v>
      </c>
      <c r="F261">
        <v>12.669960865</v>
      </c>
      <c r="G261">
        <v>303.574098295</v>
      </c>
      <c r="H261">
        <v>100.4235</v>
      </c>
      <c r="I261" t="s">
        <v>85</v>
      </c>
      <c r="J261">
        <v>20240729</v>
      </c>
      <c r="K261" t="s">
        <v>43</v>
      </c>
      <c r="L261" t="s">
        <v>43</v>
      </c>
      <c r="M261" t="s">
        <v>169</v>
      </c>
      <c r="N261" t="s">
        <v>43</v>
      </c>
      <c r="O261" t="s">
        <v>43</v>
      </c>
      <c r="P261" t="s">
        <v>293</v>
      </c>
      <c r="Q261">
        <v>2024</v>
      </c>
      <c r="S261" t="s">
        <v>169</v>
      </c>
      <c r="T261" t="s">
        <v>155</v>
      </c>
      <c r="U261" t="s">
        <v>27</v>
      </c>
    </row>
    <row r="262" spans="1:21" x14ac:dyDescent="0.25">
      <c r="A262" t="s">
        <v>992</v>
      </c>
      <c r="B262" t="s">
        <v>992</v>
      </c>
      <c r="C262">
        <v>7.949477913</v>
      </c>
      <c r="D262" s="27">
        <v>45945</v>
      </c>
      <c r="E262" s="27">
        <v>45945</v>
      </c>
      <c r="F262">
        <v>11.588979196</v>
      </c>
      <c r="G262">
        <v>445.96008264400001</v>
      </c>
      <c r="H262">
        <v>100.5204</v>
      </c>
      <c r="I262" t="s">
        <v>85</v>
      </c>
      <c r="J262">
        <v>20231013</v>
      </c>
      <c r="K262" t="s">
        <v>169</v>
      </c>
      <c r="L262" t="s">
        <v>43</v>
      </c>
      <c r="M262" t="s">
        <v>43</v>
      </c>
      <c r="N262" t="s">
        <v>43</v>
      </c>
      <c r="O262" t="s">
        <v>43</v>
      </c>
      <c r="P262" t="s">
        <v>293</v>
      </c>
      <c r="Q262">
        <v>2023</v>
      </c>
      <c r="S262" t="s">
        <v>169</v>
      </c>
      <c r="T262" t="s">
        <v>159</v>
      </c>
      <c r="U262" t="s">
        <v>27</v>
      </c>
    </row>
    <row r="263" spans="1:21" x14ac:dyDescent="0.25">
      <c r="A263" t="s">
        <v>588</v>
      </c>
      <c r="B263" t="s">
        <v>588</v>
      </c>
      <c r="C263">
        <v>3.2850125069999998</v>
      </c>
      <c r="D263" s="27">
        <v>45884</v>
      </c>
      <c r="E263" s="27">
        <v>44423</v>
      </c>
      <c r="F263">
        <v>20.818692017</v>
      </c>
      <c r="G263">
        <v>340.02874639200002</v>
      </c>
      <c r="H263">
        <v>100.3143</v>
      </c>
      <c r="I263" t="s">
        <v>187</v>
      </c>
      <c r="J263">
        <v>20190815</v>
      </c>
      <c r="K263" t="s">
        <v>23</v>
      </c>
      <c r="L263" t="s">
        <v>43</v>
      </c>
      <c r="M263" t="s">
        <v>43</v>
      </c>
      <c r="N263" t="s">
        <v>43</v>
      </c>
      <c r="O263" t="s">
        <v>43</v>
      </c>
      <c r="P263" t="s">
        <v>1548</v>
      </c>
      <c r="Q263">
        <v>2019</v>
      </c>
      <c r="S263" t="s">
        <v>23</v>
      </c>
      <c r="T263" t="s">
        <v>159</v>
      </c>
      <c r="U263" t="s">
        <v>23</v>
      </c>
    </row>
    <row r="264" spans="1:21" x14ac:dyDescent="0.25">
      <c r="A264" t="s">
        <v>815</v>
      </c>
      <c r="B264" t="s">
        <v>815</v>
      </c>
      <c r="C264">
        <v>3.7308488519999998</v>
      </c>
      <c r="D264" s="27">
        <v>45884</v>
      </c>
      <c r="E264" s="27">
        <v>44423</v>
      </c>
      <c r="F264">
        <v>13.071209624</v>
      </c>
      <c r="G264">
        <v>485.53794986600002</v>
      </c>
      <c r="H264">
        <v>99.696600000000004</v>
      </c>
      <c r="I264" t="s">
        <v>187</v>
      </c>
      <c r="J264">
        <v>20190815</v>
      </c>
      <c r="K264" t="s">
        <v>169</v>
      </c>
      <c r="L264" t="s">
        <v>43</v>
      </c>
      <c r="M264" t="s">
        <v>43</v>
      </c>
      <c r="N264" t="s">
        <v>43</v>
      </c>
      <c r="O264" t="s">
        <v>43</v>
      </c>
      <c r="P264" t="s">
        <v>1548</v>
      </c>
      <c r="Q264">
        <v>2019</v>
      </c>
      <c r="S264" t="s">
        <v>169</v>
      </c>
      <c r="T264" t="s">
        <v>159</v>
      </c>
      <c r="U264" t="s">
        <v>27</v>
      </c>
    </row>
    <row r="265" spans="1:21" x14ac:dyDescent="0.25">
      <c r="A265" t="s">
        <v>1008</v>
      </c>
      <c r="B265" t="s">
        <v>1008</v>
      </c>
      <c r="C265">
        <v>9.4327378329999991</v>
      </c>
      <c r="D265" s="27">
        <v>45952</v>
      </c>
      <c r="E265" s="27">
        <v>46446</v>
      </c>
      <c r="F265">
        <v>12.42843937</v>
      </c>
      <c r="G265">
        <v>243.40037555800001</v>
      </c>
      <c r="H265">
        <v>100.45189999999999</v>
      </c>
      <c r="I265" t="s">
        <v>86</v>
      </c>
      <c r="J265">
        <v>20250228</v>
      </c>
      <c r="K265" t="s">
        <v>169</v>
      </c>
      <c r="L265" t="s">
        <v>43</v>
      </c>
      <c r="M265" t="s">
        <v>43</v>
      </c>
      <c r="N265" t="s">
        <v>43</v>
      </c>
      <c r="O265" t="s">
        <v>43</v>
      </c>
      <c r="P265" t="s">
        <v>1549</v>
      </c>
      <c r="Q265">
        <v>2025</v>
      </c>
      <c r="S265" t="s">
        <v>169</v>
      </c>
      <c r="T265" t="s">
        <v>159</v>
      </c>
      <c r="U265" t="s">
        <v>27</v>
      </c>
    </row>
    <row r="266" spans="1:21" x14ac:dyDescent="0.25">
      <c r="A266" t="s">
        <v>1010</v>
      </c>
      <c r="B266" t="s">
        <v>1010</v>
      </c>
      <c r="C266">
        <v>9.4449638240000002</v>
      </c>
      <c r="D266" s="27">
        <v>45947</v>
      </c>
      <c r="E266" s="27">
        <v>46494</v>
      </c>
      <c r="F266">
        <v>12.431826345999999</v>
      </c>
      <c r="G266">
        <v>243.00581962800001</v>
      </c>
      <c r="H266">
        <v>100.4863</v>
      </c>
      <c r="I266" t="s">
        <v>86</v>
      </c>
      <c r="J266">
        <v>20250331</v>
      </c>
      <c r="K266" t="s">
        <v>169</v>
      </c>
      <c r="L266" t="s">
        <v>43</v>
      </c>
      <c r="M266" t="s">
        <v>43</v>
      </c>
      <c r="N266" t="s">
        <v>43</v>
      </c>
      <c r="O266" t="s">
        <v>43</v>
      </c>
      <c r="P266" t="s">
        <v>1550</v>
      </c>
      <c r="Q266">
        <v>2025</v>
      </c>
      <c r="S266" t="s">
        <v>169</v>
      </c>
      <c r="T266" t="s">
        <v>159</v>
      </c>
      <c r="U266" t="s">
        <v>27</v>
      </c>
    </row>
    <row r="267" spans="1:21" x14ac:dyDescent="0.25">
      <c r="A267" t="s">
        <v>635</v>
      </c>
      <c r="B267" t="s">
        <v>635</v>
      </c>
      <c r="C267">
        <v>8.081032403</v>
      </c>
      <c r="D267" s="27">
        <v>45950</v>
      </c>
      <c r="E267" s="27">
        <v>46132</v>
      </c>
      <c r="F267">
        <v>16.663884189000001</v>
      </c>
      <c r="G267">
        <v>229.359381042</v>
      </c>
      <c r="H267">
        <v>100.6798</v>
      </c>
      <c r="I267" t="s">
        <v>86</v>
      </c>
      <c r="J267">
        <v>20240508</v>
      </c>
      <c r="K267" t="s">
        <v>23</v>
      </c>
      <c r="L267" t="s">
        <v>43</v>
      </c>
      <c r="M267" t="s">
        <v>43</v>
      </c>
      <c r="N267" t="s">
        <v>43</v>
      </c>
      <c r="O267" t="s">
        <v>43</v>
      </c>
      <c r="P267" t="s">
        <v>1551</v>
      </c>
      <c r="Q267">
        <v>2024</v>
      </c>
      <c r="S267" t="s">
        <v>23</v>
      </c>
      <c r="T267" t="s">
        <v>159</v>
      </c>
      <c r="U267" t="s">
        <v>23</v>
      </c>
    </row>
    <row r="268" spans="1:21" x14ac:dyDescent="0.25">
      <c r="A268" t="s">
        <v>1002</v>
      </c>
      <c r="B268" t="s">
        <v>1002</v>
      </c>
      <c r="C268">
        <v>8.7031073719999998</v>
      </c>
      <c r="D268" s="27">
        <v>45950</v>
      </c>
      <c r="E268" s="27">
        <v>46132</v>
      </c>
      <c r="F268">
        <v>10.566119618</v>
      </c>
      <c r="G268">
        <v>334.91230568600002</v>
      </c>
      <c r="H268">
        <v>100.6527</v>
      </c>
      <c r="I268" t="s">
        <v>86</v>
      </c>
      <c r="J268">
        <v>20240508</v>
      </c>
      <c r="K268" t="s">
        <v>169</v>
      </c>
      <c r="L268" t="s">
        <v>43</v>
      </c>
      <c r="M268" t="s">
        <v>43</v>
      </c>
      <c r="N268" t="s">
        <v>43</v>
      </c>
      <c r="O268" t="s">
        <v>43</v>
      </c>
      <c r="P268" t="s">
        <v>1551</v>
      </c>
      <c r="Q268">
        <v>2024</v>
      </c>
      <c r="S268" t="s">
        <v>169</v>
      </c>
      <c r="T268" t="s">
        <v>159</v>
      </c>
      <c r="U268" t="s">
        <v>27</v>
      </c>
    </row>
    <row r="269" spans="1:21" x14ac:dyDescent="0.25">
      <c r="A269" t="s">
        <v>1004</v>
      </c>
      <c r="B269" t="s">
        <v>1004</v>
      </c>
      <c r="C269">
        <v>9.1733122960000006</v>
      </c>
      <c r="D269" s="27">
        <v>45951</v>
      </c>
      <c r="E269" s="27">
        <v>46271</v>
      </c>
      <c r="F269">
        <v>10.572700043999999</v>
      </c>
      <c r="G269">
        <v>302.82936858900001</v>
      </c>
      <c r="H269">
        <v>100.4868</v>
      </c>
      <c r="I269" t="s">
        <v>86</v>
      </c>
      <c r="J269">
        <v>20240906</v>
      </c>
      <c r="K269" t="s">
        <v>169</v>
      </c>
      <c r="L269" t="s">
        <v>43</v>
      </c>
      <c r="M269" t="s">
        <v>43</v>
      </c>
      <c r="N269" t="s">
        <v>43</v>
      </c>
      <c r="O269" t="s">
        <v>43</v>
      </c>
      <c r="P269" t="s">
        <v>1552</v>
      </c>
      <c r="Q269">
        <v>2024</v>
      </c>
      <c r="S269" t="s">
        <v>169</v>
      </c>
      <c r="T269" t="s">
        <v>159</v>
      </c>
      <c r="U269" t="s">
        <v>27</v>
      </c>
    </row>
    <row r="270" spans="1:21" x14ac:dyDescent="0.25">
      <c r="A270" t="s">
        <v>1000</v>
      </c>
      <c r="B270" t="s">
        <v>1000</v>
      </c>
      <c r="C270">
        <v>9.2974405929999993</v>
      </c>
      <c r="D270" s="27">
        <v>45947</v>
      </c>
      <c r="E270" s="27">
        <v>46367</v>
      </c>
      <c r="F270">
        <v>11.429253029</v>
      </c>
      <c r="G270">
        <v>272.44198213700002</v>
      </c>
      <c r="H270">
        <v>100.17270000000001</v>
      </c>
      <c r="I270" t="s">
        <v>86</v>
      </c>
      <c r="J270">
        <v>20241211</v>
      </c>
      <c r="K270" t="s">
        <v>169</v>
      </c>
      <c r="L270" t="s">
        <v>43</v>
      </c>
      <c r="M270" t="s">
        <v>43</v>
      </c>
      <c r="N270" t="s">
        <v>43</v>
      </c>
      <c r="O270" t="s">
        <v>43</v>
      </c>
      <c r="P270" t="s">
        <v>1553</v>
      </c>
      <c r="Q270">
        <v>2024</v>
      </c>
      <c r="S270" t="s">
        <v>169</v>
      </c>
      <c r="T270" t="s">
        <v>159</v>
      </c>
      <c r="U270" t="s">
        <v>27</v>
      </c>
    </row>
    <row r="271" spans="1:21" x14ac:dyDescent="0.25">
      <c r="A271" t="s">
        <v>998</v>
      </c>
      <c r="B271" t="s">
        <v>998</v>
      </c>
      <c r="C271">
        <v>8.3690755830000008</v>
      </c>
      <c r="D271" s="27">
        <v>45947</v>
      </c>
      <c r="E271" s="27">
        <v>46039</v>
      </c>
      <c r="F271">
        <v>10.946207527</v>
      </c>
      <c r="G271">
        <v>350.06364743300003</v>
      </c>
      <c r="H271">
        <v>100.93519999999999</v>
      </c>
      <c r="I271" t="s">
        <v>86</v>
      </c>
      <c r="J271">
        <v>20240208</v>
      </c>
      <c r="K271" t="s">
        <v>169</v>
      </c>
      <c r="L271" t="s">
        <v>43</v>
      </c>
      <c r="M271" t="s">
        <v>43</v>
      </c>
      <c r="N271" t="s">
        <v>43</v>
      </c>
      <c r="O271" t="s">
        <v>43</v>
      </c>
      <c r="P271" t="s">
        <v>1554</v>
      </c>
      <c r="Q271">
        <v>2024</v>
      </c>
      <c r="S271" t="s">
        <v>169</v>
      </c>
      <c r="T271" t="s">
        <v>159</v>
      </c>
      <c r="U271" t="s">
        <v>27</v>
      </c>
    </row>
    <row r="272" spans="1:21" x14ac:dyDescent="0.25">
      <c r="A272" t="s">
        <v>638</v>
      </c>
      <c r="B272" t="s">
        <v>638</v>
      </c>
      <c r="C272">
        <v>8.3395164239999993</v>
      </c>
      <c r="D272" s="27">
        <v>45948</v>
      </c>
      <c r="E272" s="27">
        <v>46193</v>
      </c>
      <c r="F272">
        <v>16.553439440999998</v>
      </c>
      <c r="G272">
        <v>202.195371486</v>
      </c>
      <c r="H272">
        <v>100.5151</v>
      </c>
      <c r="I272" t="s">
        <v>86</v>
      </c>
      <c r="J272">
        <v>20240620</v>
      </c>
      <c r="K272" t="s">
        <v>43</v>
      </c>
      <c r="L272" t="s">
        <v>43</v>
      </c>
      <c r="M272" t="s">
        <v>23</v>
      </c>
      <c r="N272" t="s">
        <v>43</v>
      </c>
      <c r="O272" t="s">
        <v>43</v>
      </c>
      <c r="P272" t="s">
        <v>402</v>
      </c>
      <c r="Q272">
        <v>2024</v>
      </c>
      <c r="S272" t="s">
        <v>23</v>
      </c>
      <c r="T272" t="s">
        <v>155</v>
      </c>
      <c r="U272" t="s">
        <v>23</v>
      </c>
    </row>
    <row r="273" spans="1:21" x14ac:dyDescent="0.25">
      <c r="A273" t="s">
        <v>1012</v>
      </c>
      <c r="B273" t="s">
        <v>1012</v>
      </c>
      <c r="C273">
        <v>9.1674921430000005</v>
      </c>
      <c r="D273" s="27">
        <v>45947</v>
      </c>
      <c r="E273" s="27">
        <v>46312</v>
      </c>
      <c r="F273">
        <v>10.406836244999999</v>
      </c>
      <c r="G273">
        <v>302.79260837800001</v>
      </c>
      <c r="H273">
        <v>100.489</v>
      </c>
      <c r="I273" t="s">
        <v>86</v>
      </c>
      <c r="J273">
        <v>20241007</v>
      </c>
      <c r="K273" t="s">
        <v>169</v>
      </c>
      <c r="L273" t="s">
        <v>43</v>
      </c>
      <c r="M273" t="s">
        <v>43</v>
      </c>
      <c r="N273" t="s">
        <v>43</v>
      </c>
      <c r="O273" t="s">
        <v>43</v>
      </c>
      <c r="P273" t="s">
        <v>1555</v>
      </c>
      <c r="Q273">
        <v>2024</v>
      </c>
      <c r="S273" t="s">
        <v>169</v>
      </c>
      <c r="T273" t="s">
        <v>159</v>
      </c>
      <c r="U273" t="s">
        <v>27</v>
      </c>
    </row>
    <row r="274" spans="1:21" x14ac:dyDescent="0.25">
      <c r="A274" t="s">
        <v>996</v>
      </c>
      <c r="B274" t="s">
        <v>996</v>
      </c>
      <c r="C274">
        <v>8.7156136439999994</v>
      </c>
      <c r="D274" s="27">
        <v>45950</v>
      </c>
      <c r="E274" s="27">
        <v>46093</v>
      </c>
      <c r="F274">
        <v>10.413092217999999</v>
      </c>
      <c r="G274">
        <v>363.51234175299999</v>
      </c>
      <c r="H274">
        <v>101.0607</v>
      </c>
      <c r="I274" t="s">
        <v>86</v>
      </c>
      <c r="J274">
        <v>20240312</v>
      </c>
      <c r="K274" t="s">
        <v>169</v>
      </c>
      <c r="L274" t="s">
        <v>43</v>
      </c>
      <c r="M274" t="s">
        <v>43</v>
      </c>
      <c r="N274" t="s">
        <v>43</v>
      </c>
      <c r="O274" t="s">
        <v>43</v>
      </c>
      <c r="P274" t="s">
        <v>1556</v>
      </c>
      <c r="Q274">
        <v>2024</v>
      </c>
      <c r="S274" t="s">
        <v>169</v>
      </c>
      <c r="T274" t="s">
        <v>159</v>
      </c>
      <c r="U274" t="s">
        <v>27</v>
      </c>
    </row>
    <row r="275" spans="1:21" x14ac:dyDescent="0.25">
      <c r="A275" t="s">
        <v>1014</v>
      </c>
      <c r="B275" t="s">
        <v>1014</v>
      </c>
      <c r="C275">
        <v>8.7159761360000001</v>
      </c>
      <c r="D275" s="27">
        <v>45950</v>
      </c>
      <c r="E275" s="27">
        <v>46132</v>
      </c>
      <c r="F275">
        <v>10.307263176999999</v>
      </c>
      <c r="G275">
        <v>362.67603088999999</v>
      </c>
      <c r="H275">
        <v>101.11539999999999</v>
      </c>
      <c r="I275" t="s">
        <v>86</v>
      </c>
      <c r="J275">
        <v>20240322</v>
      </c>
      <c r="K275" t="s">
        <v>169</v>
      </c>
      <c r="L275" t="s">
        <v>43</v>
      </c>
      <c r="M275" t="s">
        <v>43</v>
      </c>
      <c r="N275" t="s">
        <v>43</v>
      </c>
      <c r="O275" t="s">
        <v>43</v>
      </c>
      <c r="P275" t="s">
        <v>1557</v>
      </c>
      <c r="Q275">
        <v>2024</v>
      </c>
      <c r="S275" t="s">
        <v>169</v>
      </c>
      <c r="T275" t="s">
        <v>159</v>
      </c>
      <c r="U275" t="s">
        <v>27</v>
      </c>
    </row>
    <row r="276" spans="1:21" x14ac:dyDescent="0.25">
      <c r="A276" t="s">
        <v>1006</v>
      </c>
      <c r="B276" t="s">
        <v>1006</v>
      </c>
      <c r="C276">
        <v>9.2093020499999998</v>
      </c>
      <c r="D276" s="27">
        <v>45947</v>
      </c>
      <c r="E276" s="27">
        <v>46404</v>
      </c>
      <c r="F276">
        <v>12.000017602</v>
      </c>
      <c r="G276">
        <v>254.597214208</v>
      </c>
      <c r="H276">
        <v>100.3745</v>
      </c>
      <c r="I276" t="s">
        <v>86</v>
      </c>
      <c r="J276">
        <v>20250130</v>
      </c>
      <c r="K276" t="s">
        <v>169</v>
      </c>
      <c r="L276" t="s">
        <v>43</v>
      </c>
      <c r="M276" t="s">
        <v>43</v>
      </c>
      <c r="N276" t="s">
        <v>43</v>
      </c>
      <c r="O276" t="s">
        <v>43</v>
      </c>
      <c r="P276" t="s">
        <v>1558</v>
      </c>
      <c r="Q276">
        <v>2025</v>
      </c>
      <c r="S276" t="s">
        <v>169</v>
      </c>
      <c r="T276" t="s">
        <v>159</v>
      </c>
      <c r="U276" t="s">
        <v>27</v>
      </c>
    </row>
    <row r="277" spans="1:21" x14ac:dyDescent="0.25">
      <c r="A277" t="s">
        <v>640</v>
      </c>
      <c r="B277" t="s">
        <v>640</v>
      </c>
      <c r="C277">
        <v>8.596015607</v>
      </c>
      <c r="D277" s="27">
        <v>45950</v>
      </c>
      <c r="E277" s="27">
        <v>46315</v>
      </c>
      <c r="F277">
        <v>17.696393090000001</v>
      </c>
      <c r="G277">
        <v>187.86554925600001</v>
      </c>
      <c r="H277">
        <v>100.48560000000001</v>
      </c>
      <c r="I277" t="s">
        <v>192</v>
      </c>
      <c r="J277">
        <v>20241021</v>
      </c>
      <c r="K277" t="s">
        <v>23</v>
      </c>
      <c r="L277" t="s">
        <v>43</v>
      </c>
      <c r="M277" t="s">
        <v>43</v>
      </c>
      <c r="N277" t="s">
        <v>43</v>
      </c>
      <c r="O277" t="s">
        <v>43</v>
      </c>
      <c r="P277" t="s">
        <v>1559</v>
      </c>
      <c r="Q277">
        <v>2024</v>
      </c>
      <c r="S277" t="s">
        <v>23</v>
      </c>
      <c r="T277" t="s">
        <v>159</v>
      </c>
      <c r="U277" t="s">
        <v>23</v>
      </c>
    </row>
    <row r="278" spans="1:21" x14ac:dyDescent="0.25">
      <c r="A278" t="s">
        <v>1480</v>
      </c>
      <c r="B278" t="s">
        <v>1480</v>
      </c>
      <c r="C278">
        <v>8.7084858969999992</v>
      </c>
      <c r="D278" s="27">
        <v>45949</v>
      </c>
      <c r="E278" s="27">
        <v>46314</v>
      </c>
      <c r="F278">
        <v>11.350431479999999</v>
      </c>
      <c r="G278">
        <v>307.36381817400002</v>
      </c>
      <c r="H278">
        <v>100.16670000000001</v>
      </c>
      <c r="I278" t="s">
        <v>89</v>
      </c>
      <c r="J278">
        <v>20240912</v>
      </c>
      <c r="K278" t="s">
        <v>43</v>
      </c>
      <c r="L278" s="23" t="s">
        <v>43</v>
      </c>
      <c r="M278" t="s">
        <v>169</v>
      </c>
      <c r="N278" t="s">
        <v>43</v>
      </c>
      <c r="O278" t="s">
        <v>43</v>
      </c>
      <c r="P278" t="s">
        <v>218</v>
      </c>
      <c r="Q278">
        <v>2024</v>
      </c>
      <c r="S278" t="s">
        <v>220</v>
      </c>
      <c r="T278" t="s">
        <v>134</v>
      </c>
      <c r="U278" t="s">
        <v>43</v>
      </c>
    </row>
    <row r="279" spans="1:21" x14ac:dyDescent="0.25">
      <c r="A279" t="s">
        <v>1018</v>
      </c>
      <c r="B279" t="s">
        <v>1018</v>
      </c>
      <c r="C279">
        <v>9.2432428869999992</v>
      </c>
      <c r="D279" s="27">
        <v>45945</v>
      </c>
      <c r="E279" s="27">
        <v>46402</v>
      </c>
      <c r="F279">
        <v>12.008378146</v>
      </c>
      <c r="G279">
        <v>282.03263832499999</v>
      </c>
      <c r="H279">
        <v>99.849100000000007</v>
      </c>
      <c r="I279" t="s">
        <v>89</v>
      </c>
      <c r="J279">
        <v>20241213</v>
      </c>
      <c r="K279" t="s">
        <v>43</v>
      </c>
      <c r="L279" t="s">
        <v>43</v>
      </c>
      <c r="M279" t="s">
        <v>169</v>
      </c>
      <c r="N279" t="s">
        <v>43</v>
      </c>
      <c r="O279" t="s">
        <v>43</v>
      </c>
      <c r="P279" t="s">
        <v>218</v>
      </c>
      <c r="Q279">
        <v>2024</v>
      </c>
      <c r="S279" t="s">
        <v>169</v>
      </c>
      <c r="T279" t="s">
        <v>155</v>
      </c>
      <c r="U279" t="s">
        <v>27</v>
      </c>
    </row>
    <row r="280" spans="1:21" x14ac:dyDescent="0.25">
      <c r="A280" t="s">
        <v>550</v>
      </c>
      <c r="B280" t="s">
        <v>550</v>
      </c>
      <c r="C280">
        <v>2.1081602570000002</v>
      </c>
      <c r="D280" s="27">
        <v>45953</v>
      </c>
      <c r="E280" s="27">
        <v>44035</v>
      </c>
      <c r="F280">
        <v>43.404245496999998</v>
      </c>
      <c r="G280">
        <v>256.22037904699999</v>
      </c>
      <c r="H280">
        <v>100.2787</v>
      </c>
      <c r="I280" t="s">
        <v>196</v>
      </c>
      <c r="J280">
        <v>20180723</v>
      </c>
      <c r="K280" t="s">
        <v>19</v>
      </c>
      <c r="L280" t="s">
        <v>43</v>
      </c>
      <c r="M280" t="s">
        <v>43</v>
      </c>
      <c r="N280" t="s">
        <v>43</v>
      </c>
      <c r="O280" t="s">
        <v>43</v>
      </c>
      <c r="P280" t="s">
        <v>1560</v>
      </c>
      <c r="Q280">
        <v>2018</v>
      </c>
      <c r="S280" t="s">
        <v>19</v>
      </c>
      <c r="T280" t="s">
        <v>159</v>
      </c>
      <c r="U280" t="s">
        <v>19</v>
      </c>
    </row>
    <row r="281" spans="1:21" x14ac:dyDescent="0.25">
      <c r="A281" t="s">
        <v>1016</v>
      </c>
      <c r="B281" t="s">
        <v>1016</v>
      </c>
      <c r="C281">
        <v>2.9104115099999999</v>
      </c>
      <c r="D281" s="27">
        <v>45953</v>
      </c>
      <c r="E281" s="27">
        <v>44035</v>
      </c>
      <c r="F281">
        <v>25.086994370999999</v>
      </c>
      <c r="G281">
        <v>358.69047223600001</v>
      </c>
      <c r="H281">
        <v>100.31180000000001</v>
      </c>
      <c r="I281" t="s">
        <v>196</v>
      </c>
      <c r="J281">
        <v>20180723</v>
      </c>
      <c r="K281" t="s">
        <v>763</v>
      </c>
      <c r="L281" t="s">
        <v>43</v>
      </c>
      <c r="M281" t="s">
        <v>43</v>
      </c>
      <c r="N281" t="s">
        <v>43</v>
      </c>
      <c r="O281" t="s">
        <v>43</v>
      </c>
      <c r="P281" t="s">
        <v>1560</v>
      </c>
      <c r="Q281">
        <v>2018</v>
      </c>
      <c r="S281" t="s">
        <v>763</v>
      </c>
      <c r="T281" t="s">
        <v>159</v>
      </c>
      <c r="U281" t="s">
        <v>27</v>
      </c>
    </row>
    <row r="282" spans="1:21" x14ac:dyDescent="0.25">
      <c r="A282" t="s">
        <v>644</v>
      </c>
      <c r="B282" t="s">
        <v>644</v>
      </c>
      <c r="C282">
        <v>5.1046420540000002</v>
      </c>
      <c r="D282" s="27">
        <v>45944</v>
      </c>
      <c r="E282" s="27">
        <v>45761</v>
      </c>
      <c r="F282">
        <v>18.156339154000001</v>
      </c>
      <c r="G282">
        <v>371.516642601</v>
      </c>
      <c r="H282">
        <v>100.5626</v>
      </c>
      <c r="I282" t="s">
        <v>199</v>
      </c>
      <c r="J282">
        <v>20230907</v>
      </c>
      <c r="K282" t="s">
        <v>23</v>
      </c>
      <c r="L282" t="s">
        <v>43</v>
      </c>
      <c r="M282" t="s">
        <v>43</v>
      </c>
      <c r="N282" t="s">
        <v>43</v>
      </c>
      <c r="O282" t="s">
        <v>43</v>
      </c>
      <c r="P282" t="s">
        <v>1561</v>
      </c>
      <c r="Q282">
        <v>2023</v>
      </c>
      <c r="S282" t="s">
        <v>23</v>
      </c>
      <c r="T282" t="s">
        <v>159</v>
      </c>
      <c r="U282" t="s">
        <v>23</v>
      </c>
    </row>
    <row r="283" spans="1:21" x14ac:dyDescent="0.25">
      <c r="A283" t="s">
        <v>1037</v>
      </c>
      <c r="B283" t="s">
        <v>1037</v>
      </c>
      <c r="C283">
        <v>8.8399431939999999</v>
      </c>
      <c r="D283" s="27">
        <v>45952</v>
      </c>
      <c r="E283" s="27">
        <v>46261</v>
      </c>
      <c r="F283">
        <v>12.619026455</v>
      </c>
      <c r="G283">
        <v>327.491792761</v>
      </c>
      <c r="H283">
        <v>100.4913</v>
      </c>
      <c r="I283" t="s">
        <v>200</v>
      </c>
      <c r="J283">
        <v>20240827</v>
      </c>
      <c r="K283" t="s">
        <v>27</v>
      </c>
      <c r="L283" t="s">
        <v>43</v>
      </c>
      <c r="M283" t="s">
        <v>43</v>
      </c>
      <c r="N283" t="s">
        <v>43</v>
      </c>
      <c r="O283" t="s">
        <v>43</v>
      </c>
      <c r="P283" t="s">
        <v>1562</v>
      </c>
      <c r="Q283">
        <v>2024</v>
      </c>
      <c r="S283" t="s">
        <v>27</v>
      </c>
      <c r="T283" t="s">
        <v>159</v>
      </c>
      <c r="U283" t="s">
        <v>27</v>
      </c>
    </row>
    <row r="284" spans="1:21" x14ac:dyDescent="0.25">
      <c r="A284" t="s">
        <v>1035</v>
      </c>
      <c r="B284" t="s">
        <v>1035</v>
      </c>
      <c r="C284">
        <v>9.2147772210000003</v>
      </c>
      <c r="D284" s="27">
        <v>45955</v>
      </c>
      <c r="E284" s="27">
        <v>46412</v>
      </c>
      <c r="F284">
        <v>12.210888568</v>
      </c>
      <c r="G284">
        <v>276.68041121900001</v>
      </c>
      <c r="H284">
        <v>100.5757</v>
      </c>
      <c r="I284" t="s">
        <v>200</v>
      </c>
      <c r="J284">
        <v>20250130</v>
      </c>
      <c r="K284" t="s">
        <v>169</v>
      </c>
      <c r="L284" t="s">
        <v>43</v>
      </c>
      <c r="M284" t="s">
        <v>43</v>
      </c>
      <c r="N284" t="s">
        <v>43</v>
      </c>
      <c r="O284" t="s">
        <v>43</v>
      </c>
      <c r="P284" t="s">
        <v>1562</v>
      </c>
      <c r="Q284">
        <v>2025</v>
      </c>
      <c r="S284" t="s">
        <v>169</v>
      </c>
      <c r="T284" t="s">
        <v>159</v>
      </c>
      <c r="U284" t="s">
        <v>27</v>
      </c>
    </row>
    <row r="285" spans="1:21" x14ac:dyDescent="0.25">
      <c r="A285" t="s">
        <v>1039</v>
      </c>
      <c r="B285" t="s">
        <v>1039</v>
      </c>
      <c r="C285">
        <v>8.835068089</v>
      </c>
      <c r="D285" s="27">
        <v>45950</v>
      </c>
      <c r="E285" s="27">
        <v>46223</v>
      </c>
      <c r="F285">
        <v>12.761805351</v>
      </c>
      <c r="G285">
        <v>317.79595567699999</v>
      </c>
      <c r="H285">
        <v>100.47329999999999</v>
      </c>
      <c r="I285" t="s">
        <v>200</v>
      </c>
      <c r="J285">
        <v>20240722</v>
      </c>
      <c r="K285" t="s">
        <v>27</v>
      </c>
      <c r="L285" t="s">
        <v>43</v>
      </c>
      <c r="M285" t="s">
        <v>43</v>
      </c>
      <c r="N285" t="s">
        <v>43</v>
      </c>
      <c r="O285" t="s">
        <v>43</v>
      </c>
      <c r="P285" t="s">
        <v>1562</v>
      </c>
      <c r="Q285">
        <v>2024</v>
      </c>
      <c r="S285" t="s">
        <v>27</v>
      </c>
      <c r="T285" t="s">
        <v>159</v>
      </c>
      <c r="U285" t="s">
        <v>27</v>
      </c>
    </row>
    <row r="286" spans="1:21" x14ac:dyDescent="0.25">
      <c r="A286" t="s">
        <v>1041</v>
      </c>
      <c r="B286" t="s">
        <v>1041</v>
      </c>
      <c r="C286">
        <v>9.1896307190000002</v>
      </c>
      <c r="D286" s="27">
        <v>45950</v>
      </c>
      <c r="E286" s="27">
        <v>46407</v>
      </c>
      <c r="F286">
        <v>13.17789002</v>
      </c>
      <c r="G286">
        <v>312.565645663</v>
      </c>
      <c r="H286">
        <v>100.5044</v>
      </c>
      <c r="I286" t="s">
        <v>200</v>
      </c>
      <c r="J286">
        <v>20241118</v>
      </c>
      <c r="K286" t="s">
        <v>27</v>
      </c>
      <c r="L286" t="s">
        <v>43</v>
      </c>
      <c r="M286" t="s">
        <v>43</v>
      </c>
      <c r="N286" t="s">
        <v>43</v>
      </c>
      <c r="O286" t="s">
        <v>43</v>
      </c>
      <c r="P286" t="s">
        <v>1563</v>
      </c>
      <c r="Q286">
        <v>2024</v>
      </c>
      <c r="S286" t="s">
        <v>27</v>
      </c>
      <c r="T286" t="s">
        <v>159</v>
      </c>
      <c r="U286" t="s">
        <v>27</v>
      </c>
    </row>
    <row r="287" spans="1:21" x14ac:dyDescent="0.25">
      <c r="A287" t="s">
        <v>1028</v>
      </c>
      <c r="B287" t="s">
        <v>1028</v>
      </c>
      <c r="C287">
        <v>9.0587398340000007</v>
      </c>
      <c r="D287" s="27">
        <v>45950</v>
      </c>
      <c r="E287" s="27">
        <v>46315</v>
      </c>
      <c r="F287">
        <v>12.400638110999999</v>
      </c>
      <c r="G287">
        <v>318.36550968400002</v>
      </c>
      <c r="H287">
        <v>100.44329999999999</v>
      </c>
      <c r="I287" t="s">
        <v>200</v>
      </c>
      <c r="J287">
        <v>20240926</v>
      </c>
      <c r="K287" t="s">
        <v>27</v>
      </c>
      <c r="L287" t="s">
        <v>43</v>
      </c>
      <c r="M287" t="s">
        <v>43</v>
      </c>
      <c r="N287" t="s">
        <v>43</v>
      </c>
      <c r="O287" t="s">
        <v>43</v>
      </c>
      <c r="P287" t="s">
        <v>1562</v>
      </c>
      <c r="Q287">
        <v>2024</v>
      </c>
      <c r="S287" t="s">
        <v>27</v>
      </c>
      <c r="T287" t="s">
        <v>159</v>
      </c>
      <c r="U287" t="s">
        <v>27</v>
      </c>
    </row>
    <row r="288" spans="1:21" x14ac:dyDescent="0.25">
      <c r="A288" t="s">
        <v>1033</v>
      </c>
      <c r="B288" t="s">
        <v>1033</v>
      </c>
      <c r="C288">
        <v>9.0278865340000003</v>
      </c>
      <c r="D288" s="27">
        <v>45952</v>
      </c>
      <c r="E288" s="27">
        <v>46270</v>
      </c>
      <c r="F288">
        <v>12.127106317999999</v>
      </c>
      <c r="G288">
        <v>293.342390647</v>
      </c>
      <c r="H288">
        <v>100.4483</v>
      </c>
      <c r="I288" t="s">
        <v>200</v>
      </c>
      <c r="J288">
        <v>20240905</v>
      </c>
      <c r="K288" t="s">
        <v>169</v>
      </c>
      <c r="L288" t="s">
        <v>43</v>
      </c>
      <c r="M288" t="s">
        <v>43</v>
      </c>
      <c r="N288" t="s">
        <v>43</v>
      </c>
      <c r="O288" t="s">
        <v>43</v>
      </c>
      <c r="P288" t="s">
        <v>1562</v>
      </c>
      <c r="Q288">
        <v>2024</v>
      </c>
      <c r="S288" t="s">
        <v>169</v>
      </c>
      <c r="T288" t="s">
        <v>159</v>
      </c>
      <c r="U288" t="s">
        <v>27</v>
      </c>
    </row>
    <row r="289" spans="1:21" x14ac:dyDescent="0.25">
      <c r="A289" t="s">
        <v>1031</v>
      </c>
      <c r="B289" t="s">
        <v>1031</v>
      </c>
      <c r="C289">
        <v>8.6519587540000007</v>
      </c>
      <c r="D289" s="27">
        <v>45952</v>
      </c>
      <c r="E289" s="27">
        <v>46134</v>
      </c>
      <c r="F289">
        <v>11.726264419</v>
      </c>
      <c r="G289">
        <v>392.26670270099999</v>
      </c>
      <c r="H289">
        <v>100.48309999999999</v>
      </c>
      <c r="I289" t="s">
        <v>200</v>
      </c>
      <c r="J289">
        <v>20240305</v>
      </c>
      <c r="K289" t="s">
        <v>169</v>
      </c>
      <c r="L289" t="s">
        <v>43</v>
      </c>
      <c r="M289" t="s">
        <v>43</v>
      </c>
      <c r="N289" t="s">
        <v>43</v>
      </c>
      <c r="O289" t="s">
        <v>43</v>
      </c>
      <c r="P289" t="s">
        <v>1562</v>
      </c>
      <c r="Q289">
        <v>2024</v>
      </c>
      <c r="S289" t="s">
        <v>169</v>
      </c>
      <c r="T289" t="s">
        <v>159</v>
      </c>
      <c r="U289" t="s">
        <v>27</v>
      </c>
    </row>
    <row r="290" spans="1:21" x14ac:dyDescent="0.25">
      <c r="A290" t="s">
        <v>1020</v>
      </c>
      <c r="B290" t="s">
        <v>1020</v>
      </c>
      <c r="C290">
        <v>9.019928277</v>
      </c>
      <c r="D290" s="27">
        <v>45950</v>
      </c>
      <c r="E290" s="27">
        <v>46291</v>
      </c>
      <c r="F290">
        <v>11.755970298999999</v>
      </c>
      <c r="G290">
        <v>303.89954864999999</v>
      </c>
      <c r="H290">
        <v>100.40770000000001</v>
      </c>
      <c r="I290" t="s">
        <v>94</v>
      </c>
      <c r="J290">
        <v>20240926</v>
      </c>
      <c r="K290" t="s">
        <v>43</v>
      </c>
      <c r="L290" t="s">
        <v>43</v>
      </c>
      <c r="M290" t="s">
        <v>169</v>
      </c>
      <c r="N290" t="s">
        <v>43</v>
      </c>
      <c r="O290" t="s">
        <v>43</v>
      </c>
      <c r="P290" t="s">
        <v>306</v>
      </c>
      <c r="Q290">
        <v>2024</v>
      </c>
      <c r="S290" t="s">
        <v>169</v>
      </c>
      <c r="T290" t="s">
        <v>155</v>
      </c>
      <c r="U290" t="s">
        <v>27</v>
      </c>
    </row>
    <row r="291" spans="1:21" x14ac:dyDescent="0.25">
      <c r="A291" t="s">
        <v>1024</v>
      </c>
      <c r="B291" t="s">
        <v>1024</v>
      </c>
      <c r="C291">
        <v>8.5406364759999995</v>
      </c>
      <c r="D291" s="27">
        <v>45950</v>
      </c>
      <c r="E291" s="27">
        <v>46076</v>
      </c>
      <c r="F291">
        <v>12.04011494</v>
      </c>
      <c r="G291">
        <v>333.80826882700001</v>
      </c>
      <c r="H291">
        <v>100.39149999999999</v>
      </c>
      <c r="I291" t="s">
        <v>96</v>
      </c>
      <c r="J291">
        <v>20240223</v>
      </c>
      <c r="K291" t="s">
        <v>43</v>
      </c>
      <c r="L291" t="s">
        <v>43</v>
      </c>
      <c r="M291" t="s">
        <v>169</v>
      </c>
      <c r="N291" t="s">
        <v>43</v>
      </c>
      <c r="O291" t="s">
        <v>43</v>
      </c>
      <c r="P291" t="s">
        <v>306</v>
      </c>
      <c r="Q291">
        <v>2024</v>
      </c>
      <c r="S291" t="s">
        <v>169</v>
      </c>
      <c r="T291" t="s">
        <v>155</v>
      </c>
      <c r="U291" t="s">
        <v>27</v>
      </c>
    </row>
    <row r="292" spans="1:21" x14ac:dyDescent="0.25">
      <c r="A292" t="s">
        <v>1022</v>
      </c>
      <c r="B292" t="s">
        <v>1022</v>
      </c>
      <c r="C292">
        <v>7.9536181079999997</v>
      </c>
      <c r="D292" s="27">
        <v>45950</v>
      </c>
      <c r="E292" s="27">
        <v>45950</v>
      </c>
      <c r="F292">
        <v>12.24935919</v>
      </c>
      <c r="G292">
        <v>430.75669279200002</v>
      </c>
      <c r="H292">
        <v>100.53530000000001</v>
      </c>
      <c r="I292" t="s">
        <v>94</v>
      </c>
      <c r="J292">
        <v>20230914</v>
      </c>
      <c r="K292" t="s">
        <v>43</v>
      </c>
      <c r="L292" t="s">
        <v>43</v>
      </c>
      <c r="M292" t="s">
        <v>169</v>
      </c>
      <c r="N292" t="s">
        <v>43</v>
      </c>
      <c r="O292" t="s">
        <v>43</v>
      </c>
      <c r="P292" t="s">
        <v>306</v>
      </c>
      <c r="Q292">
        <v>2023</v>
      </c>
      <c r="S292" t="s">
        <v>169</v>
      </c>
      <c r="T292" t="s">
        <v>155</v>
      </c>
      <c r="U292" t="s">
        <v>27</v>
      </c>
    </row>
    <row r="293" spans="1:21" x14ac:dyDescent="0.25">
      <c r="A293" t="s">
        <v>654</v>
      </c>
      <c r="B293" t="s">
        <v>654</v>
      </c>
      <c r="C293">
        <v>8.4292555480000004</v>
      </c>
      <c r="D293" s="27">
        <v>45950</v>
      </c>
      <c r="E293" s="27">
        <v>46315</v>
      </c>
      <c r="F293">
        <v>18.030329628</v>
      </c>
      <c r="G293">
        <v>182.97632772200001</v>
      </c>
      <c r="H293">
        <v>100.47150000000001</v>
      </c>
      <c r="I293" t="s">
        <v>96</v>
      </c>
      <c r="J293">
        <v>20241030</v>
      </c>
      <c r="K293" t="s">
        <v>43</v>
      </c>
      <c r="L293" t="s">
        <v>43</v>
      </c>
      <c r="M293" t="s">
        <v>23</v>
      </c>
      <c r="N293" t="s">
        <v>43</v>
      </c>
      <c r="O293" t="s">
        <v>43</v>
      </c>
      <c r="P293" t="s">
        <v>306</v>
      </c>
      <c r="Q293">
        <v>2024</v>
      </c>
      <c r="S293" t="s">
        <v>23</v>
      </c>
      <c r="T293" t="s">
        <v>155</v>
      </c>
      <c r="U293" t="s">
        <v>23</v>
      </c>
    </row>
    <row r="294" spans="1:21" x14ac:dyDescent="0.25">
      <c r="A294" t="s">
        <v>1026</v>
      </c>
      <c r="B294" t="s">
        <v>1026</v>
      </c>
      <c r="C294">
        <v>8.9988373389999996</v>
      </c>
      <c r="D294" s="27">
        <v>45950</v>
      </c>
      <c r="E294" s="27">
        <v>46315</v>
      </c>
      <c r="F294">
        <v>12.032548868999999</v>
      </c>
      <c r="G294">
        <v>279.77978173000002</v>
      </c>
      <c r="H294">
        <v>100.351</v>
      </c>
      <c r="I294" t="s">
        <v>96</v>
      </c>
      <c r="J294">
        <v>20241030</v>
      </c>
      <c r="K294" t="s">
        <v>43</v>
      </c>
      <c r="L294" t="s">
        <v>43</v>
      </c>
      <c r="M294" t="s">
        <v>169</v>
      </c>
      <c r="N294" t="s">
        <v>43</v>
      </c>
      <c r="O294" t="s">
        <v>43</v>
      </c>
      <c r="P294" t="s">
        <v>306</v>
      </c>
      <c r="Q294">
        <v>2024</v>
      </c>
      <c r="S294" t="s">
        <v>169</v>
      </c>
      <c r="T294" t="s">
        <v>155</v>
      </c>
      <c r="U294" t="s">
        <v>27</v>
      </c>
    </row>
    <row r="295" spans="1:21" x14ac:dyDescent="0.25">
      <c r="A295" t="s">
        <v>647</v>
      </c>
      <c r="B295" t="s">
        <v>647</v>
      </c>
      <c r="C295">
        <v>5.0547596910000001</v>
      </c>
      <c r="D295" s="27">
        <v>45955</v>
      </c>
      <c r="E295" s="27">
        <v>45814</v>
      </c>
      <c r="F295">
        <v>17.931719144999999</v>
      </c>
      <c r="G295">
        <v>201.980407106</v>
      </c>
      <c r="H295">
        <v>100.12690000000001</v>
      </c>
      <c r="I295" t="s">
        <v>98</v>
      </c>
      <c r="J295">
        <v>20240606</v>
      </c>
      <c r="K295" t="s">
        <v>43</v>
      </c>
      <c r="L295" t="s">
        <v>43</v>
      </c>
      <c r="M295" t="s">
        <v>573</v>
      </c>
      <c r="N295" t="s">
        <v>43</v>
      </c>
      <c r="O295" t="s">
        <v>43</v>
      </c>
      <c r="P295" t="s">
        <v>469</v>
      </c>
      <c r="Q295">
        <v>2024</v>
      </c>
      <c r="S295" t="s">
        <v>573</v>
      </c>
      <c r="T295" t="s">
        <v>155</v>
      </c>
      <c r="U295" t="s">
        <v>23</v>
      </c>
    </row>
    <row r="296" spans="1:21" x14ac:dyDescent="0.25">
      <c r="A296" t="s">
        <v>649</v>
      </c>
      <c r="B296" t="s">
        <v>649</v>
      </c>
      <c r="C296">
        <v>7.0076056260000001</v>
      </c>
      <c r="D296" s="27">
        <v>45955</v>
      </c>
      <c r="E296" s="27">
        <v>45863</v>
      </c>
      <c r="F296">
        <v>19.178588829999999</v>
      </c>
      <c r="H296">
        <v>100.005</v>
      </c>
      <c r="I296" t="s">
        <v>98</v>
      </c>
      <c r="J296">
        <v>20230721</v>
      </c>
      <c r="K296" t="s">
        <v>43</v>
      </c>
      <c r="L296" t="s">
        <v>43</v>
      </c>
      <c r="M296" t="s">
        <v>23</v>
      </c>
      <c r="N296" t="s">
        <v>43</v>
      </c>
      <c r="O296" t="s">
        <v>43</v>
      </c>
      <c r="P296" t="s">
        <v>469</v>
      </c>
      <c r="Q296">
        <v>2023</v>
      </c>
      <c r="S296" t="s">
        <v>23</v>
      </c>
      <c r="T296" t="s">
        <v>155</v>
      </c>
      <c r="U296" t="s">
        <v>23</v>
      </c>
    </row>
    <row r="297" spans="1:21" x14ac:dyDescent="0.25">
      <c r="A297" t="s">
        <v>1053</v>
      </c>
      <c r="B297" t="s">
        <v>1053</v>
      </c>
      <c r="C297">
        <v>9.0328193910000003</v>
      </c>
      <c r="D297" s="27">
        <v>45950</v>
      </c>
      <c r="E297" s="27">
        <v>46292</v>
      </c>
      <c r="F297">
        <v>12</v>
      </c>
      <c r="G297">
        <v>295.11567060700003</v>
      </c>
      <c r="H297">
        <v>100.3267</v>
      </c>
      <c r="I297" t="s">
        <v>110</v>
      </c>
      <c r="J297">
        <v>20240927</v>
      </c>
      <c r="K297" t="s">
        <v>169</v>
      </c>
      <c r="L297" t="s">
        <v>43</v>
      </c>
      <c r="M297" t="s">
        <v>43</v>
      </c>
      <c r="N297" t="s">
        <v>43</v>
      </c>
      <c r="O297" t="s">
        <v>43</v>
      </c>
      <c r="P297" t="s">
        <v>1564</v>
      </c>
      <c r="Q297">
        <v>2024</v>
      </c>
      <c r="S297" t="s">
        <v>169</v>
      </c>
      <c r="T297" t="s">
        <v>159</v>
      </c>
      <c r="U297" t="s">
        <v>27</v>
      </c>
    </row>
    <row r="298" spans="1:21" x14ac:dyDescent="0.25">
      <c r="A298" t="s">
        <v>657</v>
      </c>
      <c r="B298" t="s">
        <v>657</v>
      </c>
      <c r="C298">
        <v>5.8437278299999997</v>
      </c>
      <c r="D298" s="27">
        <v>45950</v>
      </c>
      <c r="E298" s="27">
        <v>45219</v>
      </c>
      <c r="F298">
        <v>17.499676991000001</v>
      </c>
      <c r="G298">
        <v>264.48696464</v>
      </c>
      <c r="H298">
        <v>100.3218</v>
      </c>
      <c r="I298" t="s">
        <v>201</v>
      </c>
      <c r="J298">
        <v>20211112</v>
      </c>
      <c r="K298" t="s">
        <v>43</v>
      </c>
      <c r="L298" t="s">
        <v>569</v>
      </c>
      <c r="M298" t="s">
        <v>43</v>
      </c>
      <c r="N298" t="s">
        <v>43</v>
      </c>
      <c r="O298" t="s">
        <v>43</v>
      </c>
      <c r="P298" t="s">
        <v>1565</v>
      </c>
      <c r="Q298">
        <v>2021</v>
      </c>
      <c r="S298" t="s">
        <v>569</v>
      </c>
      <c r="T298" t="s">
        <v>134</v>
      </c>
      <c r="U298" t="s">
        <v>23</v>
      </c>
    </row>
    <row r="299" spans="1:21" x14ac:dyDescent="0.25">
      <c r="A299" t="s">
        <v>1044</v>
      </c>
      <c r="B299" t="s">
        <v>1044</v>
      </c>
      <c r="C299">
        <v>6.3071643699999997</v>
      </c>
      <c r="D299" s="27">
        <v>45950</v>
      </c>
      <c r="E299" s="27">
        <v>45219</v>
      </c>
      <c r="F299">
        <v>10.838160225999999</v>
      </c>
      <c r="G299">
        <v>376.73306176199998</v>
      </c>
      <c r="H299">
        <v>100.26519999999999</v>
      </c>
      <c r="I299" t="s">
        <v>201</v>
      </c>
      <c r="J299">
        <v>20211112</v>
      </c>
      <c r="K299" t="s">
        <v>43</v>
      </c>
      <c r="L299" t="s">
        <v>785</v>
      </c>
      <c r="M299" t="s">
        <v>43</v>
      </c>
      <c r="N299" t="s">
        <v>43</v>
      </c>
      <c r="O299" t="s">
        <v>43</v>
      </c>
      <c r="P299" t="s">
        <v>1565</v>
      </c>
      <c r="Q299">
        <v>2021</v>
      </c>
      <c r="S299" t="s">
        <v>785</v>
      </c>
      <c r="T299" t="s">
        <v>134</v>
      </c>
      <c r="U299" t="s">
        <v>27</v>
      </c>
    </row>
    <row r="300" spans="1:21" x14ac:dyDescent="0.25">
      <c r="A300" t="s">
        <v>1046</v>
      </c>
      <c r="B300" t="s">
        <v>1046</v>
      </c>
      <c r="C300">
        <v>6.1576218349999996</v>
      </c>
      <c r="D300" s="27">
        <v>45950</v>
      </c>
      <c r="E300" s="27">
        <v>45127</v>
      </c>
      <c r="F300">
        <v>11.142306570000001</v>
      </c>
      <c r="G300">
        <v>400.74684841200002</v>
      </c>
      <c r="H300">
        <v>99.514300000000006</v>
      </c>
      <c r="I300" t="s">
        <v>201</v>
      </c>
      <c r="J300">
        <v>20210820</v>
      </c>
      <c r="K300" t="s">
        <v>169</v>
      </c>
      <c r="L300" t="s">
        <v>43</v>
      </c>
      <c r="M300" t="s">
        <v>43</v>
      </c>
      <c r="N300" t="s">
        <v>43</v>
      </c>
      <c r="O300" t="s">
        <v>43</v>
      </c>
      <c r="P300" t="s">
        <v>1566</v>
      </c>
      <c r="Q300">
        <v>2021</v>
      </c>
      <c r="S300" t="s">
        <v>169</v>
      </c>
      <c r="T300" t="s">
        <v>159</v>
      </c>
      <c r="U300" t="s">
        <v>27</v>
      </c>
    </row>
    <row r="301" spans="1:21" x14ac:dyDescent="0.25">
      <c r="A301" t="s">
        <v>1051</v>
      </c>
      <c r="B301" t="s">
        <v>1051</v>
      </c>
      <c r="C301">
        <v>9.0226220599999998</v>
      </c>
      <c r="D301" s="27">
        <v>45945</v>
      </c>
      <c r="E301" s="27">
        <v>46310</v>
      </c>
      <c r="F301">
        <v>11.947183416</v>
      </c>
      <c r="G301">
        <v>295.57575690099998</v>
      </c>
      <c r="H301">
        <v>100.97839999999999</v>
      </c>
      <c r="I301" t="s">
        <v>102</v>
      </c>
      <c r="J301">
        <v>20241023</v>
      </c>
      <c r="K301" t="s">
        <v>169</v>
      </c>
      <c r="L301" t="s">
        <v>43</v>
      </c>
      <c r="M301" t="s">
        <v>43</v>
      </c>
      <c r="N301" t="s">
        <v>43</v>
      </c>
      <c r="O301" t="s">
        <v>43</v>
      </c>
      <c r="P301" t="s">
        <v>312</v>
      </c>
      <c r="Q301">
        <v>2024</v>
      </c>
      <c r="S301" t="s">
        <v>169</v>
      </c>
      <c r="T301" t="s">
        <v>159</v>
      </c>
      <c r="U301" t="s">
        <v>27</v>
      </c>
    </row>
    <row r="302" spans="1:21" x14ac:dyDescent="0.25">
      <c r="A302" t="s">
        <v>1049</v>
      </c>
      <c r="B302" t="s">
        <v>1049</v>
      </c>
      <c r="C302">
        <v>8.5257213259999993</v>
      </c>
      <c r="D302" s="27">
        <v>45945</v>
      </c>
      <c r="E302" s="27">
        <v>46127</v>
      </c>
      <c r="F302">
        <v>13.010893811000001</v>
      </c>
      <c r="G302">
        <v>364.50396564499999</v>
      </c>
      <c r="H302">
        <v>100.66070000000001</v>
      </c>
      <c r="I302" t="s">
        <v>202</v>
      </c>
      <c r="J302">
        <v>20240502</v>
      </c>
      <c r="K302" t="s">
        <v>27</v>
      </c>
      <c r="L302" t="s">
        <v>43</v>
      </c>
      <c r="M302" t="s">
        <v>43</v>
      </c>
      <c r="N302" t="s">
        <v>43</v>
      </c>
      <c r="O302" t="s">
        <v>43</v>
      </c>
      <c r="P302" t="s">
        <v>312</v>
      </c>
      <c r="Q302">
        <v>2024</v>
      </c>
      <c r="S302" t="s">
        <v>27</v>
      </c>
      <c r="T302" t="s">
        <v>159</v>
      </c>
      <c r="U302" t="s">
        <v>27</v>
      </c>
    </row>
    <row r="303" spans="1:21" x14ac:dyDescent="0.25">
      <c r="A303" t="s">
        <v>1063</v>
      </c>
      <c r="B303" t="s">
        <v>1063</v>
      </c>
      <c r="C303">
        <v>6.1937311719999997</v>
      </c>
      <c r="D303" s="27">
        <v>45950</v>
      </c>
      <c r="E303" s="27">
        <v>46009</v>
      </c>
      <c r="F303">
        <v>10.376062549</v>
      </c>
      <c r="G303">
        <v>372.53497182500001</v>
      </c>
      <c r="H303">
        <v>100.1712</v>
      </c>
      <c r="I303" t="s">
        <v>104</v>
      </c>
      <c r="J303">
        <v>20211027</v>
      </c>
      <c r="K303" t="s">
        <v>43</v>
      </c>
      <c r="L303" t="s">
        <v>785</v>
      </c>
      <c r="M303" t="s">
        <v>43</v>
      </c>
      <c r="N303" t="s">
        <v>43</v>
      </c>
      <c r="O303" t="s">
        <v>43</v>
      </c>
      <c r="P303" t="s">
        <v>323</v>
      </c>
      <c r="Q303">
        <v>2021</v>
      </c>
      <c r="S303" t="s">
        <v>785</v>
      </c>
      <c r="T303" t="s">
        <v>134</v>
      </c>
      <c r="U303" t="s">
        <v>27</v>
      </c>
    </row>
    <row r="304" spans="1:21" x14ac:dyDescent="0.25">
      <c r="A304" t="s">
        <v>1059</v>
      </c>
      <c r="B304" t="s">
        <v>1059</v>
      </c>
      <c r="C304">
        <v>6.4876421239999997</v>
      </c>
      <c r="D304" s="27">
        <v>45950</v>
      </c>
      <c r="E304" s="27">
        <v>46097</v>
      </c>
      <c r="F304">
        <v>9.2564090009999997</v>
      </c>
      <c r="G304">
        <v>441.54429702499999</v>
      </c>
      <c r="H304">
        <v>97.174000000000007</v>
      </c>
      <c r="I304" t="s">
        <v>104</v>
      </c>
      <c r="J304">
        <v>20211207</v>
      </c>
      <c r="K304" t="s">
        <v>169</v>
      </c>
      <c r="L304" t="s">
        <v>43</v>
      </c>
      <c r="M304" t="s">
        <v>43</v>
      </c>
      <c r="N304" t="s">
        <v>43</v>
      </c>
      <c r="O304" t="s">
        <v>43</v>
      </c>
      <c r="P304" t="s">
        <v>323</v>
      </c>
      <c r="Q304">
        <v>2021</v>
      </c>
      <c r="S304" t="s">
        <v>169</v>
      </c>
      <c r="T304" t="s">
        <v>159</v>
      </c>
      <c r="U304" t="s">
        <v>27</v>
      </c>
    </row>
    <row r="305" spans="1:21" x14ac:dyDescent="0.25">
      <c r="A305" t="s">
        <v>1061</v>
      </c>
      <c r="B305" t="s">
        <v>1061</v>
      </c>
      <c r="C305">
        <v>6.0233941409999998</v>
      </c>
      <c r="D305" s="27">
        <v>45947</v>
      </c>
      <c r="E305" s="27">
        <v>45750</v>
      </c>
      <c r="F305">
        <v>8.3942935599999995</v>
      </c>
      <c r="G305">
        <v>408.64932890400001</v>
      </c>
      <c r="H305">
        <v>97.944100000000006</v>
      </c>
      <c r="I305" t="s">
        <v>104</v>
      </c>
      <c r="J305">
        <v>20210311</v>
      </c>
      <c r="K305" t="s">
        <v>169</v>
      </c>
      <c r="L305" t="s">
        <v>43</v>
      </c>
      <c r="M305" t="s">
        <v>43</v>
      </c>
      <c r="N305" t="s">
        <v>43</v>
      </c>
      <c r="O305" t="s">
        <v>43</v>
      </c>
      <c r="P305" t="s">
        <v>323</v>
      </c>
      <c r="Q305">
        <v>2021</v>
      </c>
      <c r="S305" t="s">
        <v>169</v>
      </c>
      <c r="T305" t="s">
        <v>159</v>
      </c>
      <c r="U305" t="s">
        <v>27</v>
      </c>
    </row>
    <row r="306" spans="1:21" x14ac:dyDescent="0.25">
      <c r="A306" t="s">
        <v>1067</v>
      </c>
      <c r="B306" t="s">
        <v>1067</v>
      </c>
      <c r="C306">
        <v>8.754830321</v>
      </c>
      <c r="D306" s="27">
        <v>45952</v>
      </c>
      <c r="E306" s="27">
        <v>46075</v>
      </c>
      <c r="F306">
        <v>10.70557314</v>
      </c>
      <c r="G306">
        <v>372.89223289300003</v>
      </c>
      <c r="H306">
        <v>100.7757</v>
      </c>
      <c r="I306" t="s">
        <v>108</v>
      </c>
      <c r="J306">
        <v>20240222</v>
      </c>
      <c r="K306" t="s">
        <v>43</v>
      </c>
      <c r="L306" t="s">
        <v>43</v>
      </c>
      <c r="M306" t="s">
        <v>169</v>
      </c>
      <c r="N306" t="s">
        <v>43</v>
      </c>
      <c r="O306" t="s">
        <v>43</v>
      </c>
      <c r="P306" t="s">
        <v>326</v>
      </c>
      <c r="Q306">
        <v>2024</v>
      </c>
      <c r="S306" t="s">
        <v>169</v>
      </c>
      <c r="T306" t="s">
        <v>155</v>
      </c>
      <c r="U306" t="s">
        <v>27</v>
      </c>
    </row>
    <row r="307" spans="1:21" x14ac:dyDescent="0.25">
      <c r="A307" t="s">
        <v>1065</v>
      </c>
      <c r="B307" t="s">
        <v>1065</v>
      </c>
      <c r="C307">
        <v>9.1435837269999993</v>
      </c>
      <c r="D307" s="27">
        <v>45952</v>
      </c>
      <c r="E307" s="27">
        <v>46317</v>
      </c>
      <c r="F307">
        <v>11.711810495</v>
      </c>
      <c r="G307">
        <v>316.60413530699998</v>
      </c>
      <c r="H307">
        <v>100.2238</v>
      </c>
      <c r="I307" t="s">
        <v>108</v>
      </c>
      <c r="J307">
        <v>20241022</v>
      </c>
      <c r="K307" t="s">
        <v>43</v>
      </c>
      <c r="L307" t="s">
        <v>43</v>
      </c>
      <c r="M307" t="s">
        <v>169</v>
      </c>
      <c r="N307" t="s">
        <v>43</v>
      </c>
      <c r="O307" t="s">
        <v>43</v>
      </c>
      <c r="P307" t="s">
        <v>326</v>
      </c>
      <c r="Q307">
        <v>2024</v>
      </c>
      <c r="S307" t="s">
        <v>169</v>
      </c>
      <c r="T307" t="s">
        <v>155</v>
      </c>
      <c r="U307" t="s">
        <v>27</v>
      </c>
    </row>
    <row r="308" spans="1:21" x14ac:dyDescent="0.25">
      <c r="A308" t="s">
        <v>661</v>
      </c>
      <c r="B308" t="s">
        <v>661</v>
      </c>
      <c r="C308">
        <v>8.3316300539999997</v>
      </c>
      <c r="D308" s="27">
        <v>45945</v>
      </c>
      <c r="E308" s="27">
        <v>46218</v>
      </c>
      <c r="F308">
        <v>17.280125625</v>
      </c>
      <c r="G308">
        <v>227.29538943700001</v>
      </c>
      <c r="H308">
        <v>100.8347</v>
      </c>
      <c r="I308" t="s">
        <v>108</v>
      </c>
      <c r="J308">
        <v>20240516</v>
      </c>
      <c r="K308" t="s">
        <v>43</v>
      </c>
      <c r="L308" t="s">
        <v>43</v>
      </c>
      <c r="M308" t="s">
        <v>23</v>
      </c>
      <c r="N308" t="s">
        <v>43</v>
      </c>
      <c r="O308" t="s">
        <v>43</v>
      </c>
      <c r="P308" t="s">
        <v>326</v>
      </c>
      <c r="Q308">
        <v>2024</v>
      </c>
      <c r="S308" t="s">
        <v>23</v>
      </c>
      <c r="T308" t="s">
        <v>155</v>
      </c>
      <c r="U308" t="s">
        <v>23</v>
      </c>
    </row>
    <row r="309" spans="1:21" x14ac:dyDescent="0.25">
      <c r="A309" t="s">
        <v>1069</v>
      </c>
      <c r="B309" t="s">
        <v>1069</v>
      </c>
      <c r="C309">
        <v>8.8945877759999998</v>
      </c>
      <c r="D309" s="27">
        <v>45945</v>
      </c>
      <c r="E309" s="27">
        <v>46218</v>
      </c>
      <c r="F309">
        <v>11.227451889999999</v>
      </c>
      <c r="G309">
        <v>346.283904667</v>
      </c>
      <c r="H309">
        <v>100.9008</v>
      </c>
      <c r="I309" t="s">
        <v>108</v>
      </c>
      <c r="J309">
        <v>20240516</v>
      </c>
      <c r="K309" t="s">
        <v>43</v>
      </c>
      <c r="L309" t="s">
        <v>43</v>
      </c>
      <c r="M309" t="s">
        <v>169</v>
      </c>
      <c r="N309" t="s">
        <v>43</v>
      </c>
      <c r="O309" t="s">
        <v>43</v>
      </c>
      <c r="P309" t="s">
        <v>326</v>
      </c>
      <c r="Q309">
        <v>2024</v>
      </c>
      <c r="S309" t="s">
        <v>169</v>
      </c>
      <c r="T309" t="s">
        <v>155</v>
      </c>
      <c r="U309" t="s">
        <v>27</v>
      </c>
    </row>
    <row r="310" spans="1:21" x14ac:dyDescent="0.25">
      <c r="A310" t="s">
        <v>1073</v>
      </c>
      <c r="B310" t="s">
        <v>1073</v>
      </c>
      <c r="C310">
        <v>5.5992404479999998</v>
      </c>
      <c r="D310" s="27">
        <v>45955</v>
      </c>
      <c r="E310" s="27">
        <v>45164</v>
      </c>
      <c r="F310">
        <v>11.859114473</v>
      </c>
      <c r="H310">
        <v>100.005</v>
      </c>
      <c r="I310" t="s">
        <v>100</v>
      </c>
      <c r="J310">
        <v>20210826</v>
      </c>
      <c r="K310" t="s">
        <v>169</v>
      </c>
      <c r="L310" t="s">
        <v>43</v>
      </c>
      <c r="M310" t="s">
        <v>43</v>
      </c>
      <c r="N310" t="s">
        <v>43</v>
      </c>
      <c r="O310" t="s">
        <v>43</v>
      </c>
      <c r="P310" t="s">
        <v>1074</v>
      </c>
      <c r="Q310">
        <v>2021</v>
      </c>
      <c r="S310" t="s">
        <v>169</v>
      </c>
      <c r="T310" t="s">
        <v>159</v>
      </c>
      <c r="U310" t="s">
        <v>27</v>
      </c>
    </row>
    <row r="311" spans="1:21" x14ac:dyDescent="0.25">
      <c r="A311" t="s">
        <v>1076</v>
      </c>
      <c r="B311" t="s">
        <v>1076</v>
      </c>
      <c r="C311">
        <v>3.2610679070000002</v>
      </c>
      <c r="D311" s="27">
        <v>45944</v>
      </c>
      <c r="E311" s="27">
        <v>44026</v>
      </c>
      <c r="F311">
        <v>18.327913216999999</v>
      </c>
      <c r="G311">
        <v>344.23862059700002</v>
      </c>
      <c r="H311">
        <v>100.1853</v>
      </c>
      <c r="I311" t="s">
        <v>203</v>
      </c>
      <c r="J311">
        <v>20180711</v>
      </c>
      <c r="K311" t="s">
        <v>43</v>
      </c>
      <c r="L311" t="s">
        <v>785</v>
      </c>
      <c r="M311" t="s">
        <v>43</v>
      </c>
      <c r="N311" t="s">
        <v>43</v>
      </c>
      <c r="O311" t="s">
        <v>43</v>
      </c>
      <c r="P311" t="s">
        <v>1074</v>
      </c>
      <c r="Q311">
        <v>2018</v>
      </c>
      <c r="S311" t="s">
        <v>785</v>
      </c>
      <c r="T311" t="s">
        <v>134</v>
      </c>
      <c r="U311" t="s">
        <v>27</v>
      </c>
    </row>
    <row r="312" spans="1:21" x14ac:dyDescent="0.25">
      <c r="A312" t="s">
        <v>1104</v>
      </c>
      <c r="B312" t="s">
        <v>1104</v>
      </c>
      <c r="C312">
        <v>6.781422032</v>
      </c>
      <c r="D312" s="27">
        <v>45950</v>
      </c>
      <c r="E312" s="27">
        <v>46020</v>
      </c>
      <c r="F312">
        <v>11.753136224</v>
      </c>
      <c r="G312">
        <v>474.000047392</v>
      </c>
      <c r="H312">
        <v>101.3368</v>
      </c>
      <c r="I312" t="s">
        <v>109</v>
      </c>
      <c r="J312">
        <v>20231229</v>
      </c>
      <c r="K312" t="s">
        <v>43</v>
      </c>
      <c r="L312" t="s">
        <v>43</v>
      </c>
      <c r="M312" t="s">
        <v>169</v>
      </c>
      <c r="N312" t="s">
        <v>43</v>
      </c>
      <c r="O312" t="s">
        <v>43</v>
      </c>
      <c r="P312" t="s">
        <v>489</v>
      </c>
      <c r="Q312">
        <v>2023</v>
      </c>
      <c r="S312" t="s">
        <v>169</v>
      </c>
      <c r="T312" t="s">
        <v>155</v>
      </c>
      <c r="U312" t="s">
        <v>27</v>
      </c>
    </row>
    <row r="313" spans="1:21" x14ac:dyDescent="0.25">
      <c r="A313" t="s">
        <v>664</v>
      </c>
      <c r="B313" t="s">
        <v>664</v>
      </c>
      <c r="C313">
        <v>6.2482040679999997</v>
      </c>
      <c r="D313" s="27">
        <v>45950</v>
      </c>
      <c r="E313" s="27">
        <v>45858</v>
      </c>
      <c r="F313">
        <v>18.027786343999999</v>
      </c>
      <c r="G313">
        <v>175.33832056599999</v>
      </c>
      <c r="H313">
        <v>100.5119</v>
      </c>
      <c r="I313" t="s">
        <v>101</v>
      </c>
      <c r="J313">
        <v>20240722</v>
      </c>
      <c r="K313" t="s">
        <v>23</v>
      </c>
      <c r="L313" t="s">
        <v>43</v>
      </c>
      <c r="M313" t="s">
        <v>43</v>
      </c>
      <c r="N313" t="s">
        <v>43</v>
      </c>
      <c r="O313" t="s">
        <v>43</v>
      </c>
      <c r="P313" t="s">
        <v>1567</v>
      </c>
      <c r="Q313">
        <v>2024</v>
      </c>
      <c r="S313" t="s">
        <v>23</v>
      </c>
      <c r="T313" t="s">
        <v>159</v>
      </c>
      <c r="U313" t="s">
        <v>23</v>
      </c>
    </row>
    <row r="314" spans="1:21" x14ac:dyDescent="0.25">
      <c r="A314" t="s">
        <v>1071</v>
      </c>
      <c r="B314" t="s">
        <v>1071</v>
      </c>
      <c r="C314">
        <v>6.6129483889999996</v>
      </c>
      <c r="D314" s="27">
        <v>45950</v>
      </c>
      <c r="E314" s="27">
        <v>45858</v>
      </c>
      <c r="F314">
        <v>12.029819491</v>
      </c>
      <c r="G314">
        <v>282.81335321500001</v>
      </c>
      <c r="H314">
        <v>100.1109</v>
      </c>
      <c r="I314" t="s">
        <v>101</v>
      </c>
      <c r="J314">
        <v>20240722</v>
      </c>
      <c r="K314" t="s">
        <v>169</v>
      </c>
      <c r="L314" t="s">
        <v>43</v>
      </c>
      <c r="M314" t="s">
        <v>43</v>
      </c>
      <c r="N314" t="s">
        <v>43</v>
      </c>
      <c r="O314" t="s">
        <v>43</v>
      </c>
      <c r="P314" t="s">
        <v>1567</v>
      </c>
      <c r="Q314">
        <v>2024</v>
      </c>
      <c r="S314" t="s">
        <v>169</v>
      </c>
      <c r="T314" t="s">
        <v>159</v>
      </c>
      <c r="U314" t="s">
        <v>27</v>
      </c>
    </row>
    <row r="315" spans="1:21" x14ac:dyDescent="0.25">
      <c r="A315" t="s">
        <v>553</v>
      </c>
      <c r="B315" t="s">
        <v>553</v>
      </c>
      <c r="C315">
        <v>2.6001600630000001</v>
      </c>
      <c r="D315" s="27">
        <v>45945</v>
      </c>
      <c r="E315" s="27">
        <v>44119</v>
      </c>
      <c r="F315">
        <v>37.616781975999999</v>
      </c>
      <c r="G315">
        <v>238.32200597299999</v>
      </c>
      <c r="H315">
        <v>100.2955</v>
      </c>
      <c r="I315" t="s">
        <v>109</v>
      </c>
      <c r="J315">
        <v>20181003</v>
      </c>
      <c r="K315" t="s">
        <v>43</v>
      </c>
      <c r="L315" t="s">
        <v>135</v>
      </c>
      <c r="M315" t="s">
        <v>43</v>
      </c>
      <c r="N315" t="s">
        <v>43</v>
      </c>
      <c r="O315" t="s">
        <v>43</v>
      </c>
      <c r="P315" t="s">
        <v>489</v>
      </c>
      <c r="Q315">
        <v>2018</v>
      </c>
      <c r="S315" t="s">
        <v>135</v>
      </c>
      <c r="T315" t="s">
        <v>134</v>
      </c>
      <c r="U315" t="s">
        <v>19</v>
      </c>
    </row>
    <row r="316" spans="1:21" x14ac:dyDescent="0.25">
      <c r="A316" t="s">
        <v>1078</v>
      </c>
      <c r="B316" t="s">
        <v>1078</v>
      </c>
      <c r="C316">
        <v>3.382467895</v>
      </c>
      <c r="D316" s="27">
        <v>45945</v>
      </c>
      <c r="E316" s="27">
        <v>44027</v>
      </c>
      <c r="F316">
        <v>18.033800598999999</v>
      </c>
      <c r="G316">
        <v>337.29443293399999</v>
      </c>
      <c r="H316">
        <v>100.10550000000001</v>
      </c>
      <c r="I316" t="s">
        <v>109</v>
      </c>
      <c r="J316">
        <v>20180823</v>
      </c>
      <c r="K316" t="s">
        <v>43</v>
      </c>
      <c r="L316" t="s">
        <v>785</v>
      </c>
      <c r="M316" t="s">
        <v>43</v>
      </c>
      <c r="N316" t="s">
        <v>43</v>
      </c>
      <c r="O316" t="s">
        <v>43</v>
      </c>
      <c r="P316" t="s">
        <v>489</v>
      </c>
      <c r="Q316">
        <v>2018</v>
      </c>
      <c r="S316" t="s">
        <v>785</v>
      </c>
      <c r="T316" t="s">
        <v>134</v>
      </c>
      <c r="U316" t="s">
        <v>27</v>
      </c>
    </row>
    <row r="317" spans="1:21" x14ac:dyDescent="0.25">
      <c r="A317" t="s">
        <v>1080</v>
      </c>
      <c r="B317" t="s">
        <v>1080</v>
      </c>
      <c r="C317">
        <v>6.2040991590000001</v>
      </c>
      <c r="D317" s="27">
        <v>45950</v>
      </c>
      <c r="E317" s="27">
        <v>45204</v>
      </c>
      <c r="F317">
        <v>10.385864761000001</v>
      </c>
      <c r="G317">
        <v>389.71755554800001</v>
      </c>
      <c r="H317">
        <v>98.322699999999998</v>
      </c>
      <c r="I317" t="s">
        <v>109</v>
      </c>
      <c r="J317">
        <v>20211005</v>
      </c>
      <c r="K317" t="s">
        <v>169</v>
      </c>
      <c r="L317" t="s">
        <v>43</v>
      </c>
      <c r="M317" t="s">
        <v>43</v>
      </c>
      <c r="N317" t="s">
        <v>43</v>
      </c>
      <c r="O317" t="s">
        <v>43</v>
      </c>
      <c r="P317" t="s">
        <v>489</v>
      </c>
      <c r="Q317">
        <v>2021</v>
      </c>
      <c r="S317" t="s">
        <v>169</v>
      </c>
      <c r="T317" t="s">
        <v>159</v>
      </c>
      <c r="U317" t="s">
        <v>27</v>
      </c>
    </row>
    <row r="318" spans="1:21" x14ac:dyDescent="0.25">
      <c r="A318" t="s">
        <v>1082</v>
      </c>
      <c r="B318" t="s">
        <v>1082</v>
      </c>
      <c r="C318">
        <v>5.521120314</v>
      </c>
      <c r="D318" s="27">
        <v>45945</v>
      </c>
      <c r="E318" s="27">
        <v>45031</v>
      </c>
      <c r="F318">
        <v>11.233012471</v>
      </c>
      <c r="G318">
        <v>362.05156883400002</v>
      </c>
      <c r="H318">
        <v>100.35899999999999</v>
      </c>
      <c r="I318" t="s">
        <v>109</v>
      </c>
      <c r="J318">
        <v>20210325</v>
      </c>
      <c r="K318" t="s">
        <v>43</v>
      </c>
      <c r="L318" t="s">
        <v>785</v>
      </c>
      <c r="M318" t="s">
        <v>43</v>
      </c>
      <c r="N318" t="s">
        <v>43</v>
      </c>
      <c r="O318" t="s">
        <v>43</v>
      </c>
      <c r="P318" t="s">
        <v>489</v>
      </c>
      <c r="Q318">
        <v>2021</v>
      </c>
      <c r="S318" t="s">
        <v>785</v>
      </c>
      <c r="T318" t="s">
        <v>134</v>
      </c>
      <c r="U318" t="s">
        <v>27</v>
      </c>
    </row>
    <row r="319" spans="1:21" x14ac:dyDescent="0.25">
      <c r="A319" t="s">
        <v>1090</v>
      </c>
      <c r="B319" t="s">
        <v>1090</v>
      </c>
      <c r="C319">
        <v>3.863254907</v>
      </c>
      <c r="D319" s="27">
        <v>45950</v>
      </c>
      <c r="E319" s="27">
        <v>44762</v>
      </c>
      <c r="F319">
        <v>15.569588797</v>
      </c>
      <c r="G319">
        <v>343.514945834</v>
      </c>
      <c r="H319">
        <v>100.2469</v>
      </c>
      <c r="I319" t="s">
        <v>109</v>
      </c>
      <c r="J319">
        <v>20210720</v>
      </c>
      <c r="K319" t="s">
        <v>43</v>
      </c>
      <c r="L319" t="s">
        <v>908</v>
      </c>
      <c r="M319" t="s">
        <v>43</v>
      </c>
      <c r="N319" t="s">
        <v>43</v>
      </c>
      <c r="O319" t="s">
        <v>43</v>
      </c>
      <c r="P319" t="s">
        <v>489</v>
      </c>
      <c r="Q319">
        <v>2021</v>
      </c>
      <c r="S319" t="s">
        <v>908</v>
      </c>
      <c r="T319" t="s">
        <v>134</v>
      </c>
      <c r="U319" t="s">
        <v>27</v>
      </c>
    </row>
    <row r="320" spans="1:21" x14ac:dyDescent="0.25">
      <c r="A320" t="s">
        <v>1100</v>
      </c>
      <c r="B320" t="s">
        <v>1100</v>
      </c>
      <c r="C320">
        <v>5.8499582019999998</v>
      </c>
      <c r="D320" s="27">
        <v>45945</v>
      </c>
      <c r="E320" s="27">
        <v>45105</v>
      </c>
      <c r="F320">
        <v>11.300064370999999</v>
      </c>
      <c r="G320">
        <v>348.55208981800001</v>
      </c>
      <c r="H320">
        <v>100.3548</v>
      </c>
      <c r="I320" t="s">
        <v>109</v>
      </c>
      <c r="J320">
        <v>20210628</v>
      </c>
      <c r="K320" t="s">
        <v>43</v>
      </c>
      <c r="L320" t="s">
        <v>785</v>
      </c>
      <c r="M320" t="s">
        <v>43</v>
      </c>
      <c r="N320" t="s">
        <v>43</v>
      </c>
      <c r="O320" t="s">
        <v>43</v>
      </c>
      <c r="P320" t="s">
        <v>489</v>
      </c>
      <c r="Q320">
        <v>2021</v>
      </c>
      <c r="S320" t="s">
        <v>785</v>
      </c>
      <c r="T320" t="s">
        <v>134</v>
      </c>
      <c r="U320" t="s">
        <v>27</v>
      </c>
    </row>
    <row r="321" spans="1:21" x14ac:dyDescent="0.25">
      <c r="A321" t="s">
        <v>711</v>
      </c>
      <c r="B321" t="s">
        <v>711</v>
      </c>
      <c r="C321">
        <v>4.5365796319999996</v>
      </c>
      <c r="D321" s="27">
        <v>45884</v>
      </c>
      <c r="F321">
        <v>22.635985262348999</v>
      </c>
      <c r="G321">
        <v>935.61967753199997</v>
      </c>
      <c r="H321">
        <v>77.150895000000006</v>
      </c>
      <c r="I321" t="s">
        <v>204</v>
      </c>
      <c r="J321">
        <v>20200723</v>
      </c>
      <c r="K321" t="s">
        <v>623</v>
      </c>
      <c r="L321" t="s">
        <v>43</v>
      </c>
      <c r="M321" t="s">
        <v>43</v>
      </c>
      <c r="N321" t="s">
        <v>43</v>
      </c>
      <c r="O321" t="s">
        <v>43</v>
      </c>
      <c r="P321" t="s">
        <v>204</v>
      </c>
      <c r="R321" t="s">
        <v>1522</v>
      </c>
      <c r="S321" t="s">
        <v>623</v>
      </c>
      <c r="T321" t="s">
        <v>159</v>
      </c>
      <c r="U321" t="s">
        <v>23</v>
      </c>
    </row>
    <row r="322" spans="1:21" x14ac:dyDescent="0.25">
      <c r="A322" t="s">
        <v>619</v>
      </c>
      <c r="B322" t="s">
        <v>619</v>
      </c>
      <c r="C322">
        <v>0.52216474099999999</v>
      </c>
      <c r="D322" s="27">
        <v>45894</v>
      </c>
      <c r="F322">
        <v>42.937698456151999</v>
      </c>
      <c r="G322">
        <v>252.86766321900001</v>
      </c>
      <c r="H322">
        <v>98.043329999999997</v>
      </c>
      <c r="I322" t="s">
        <v>205</v>
      </c>
      <c r="J322">
        <v>20210311</v>
      </c>
      <c r="K322" t="s">
        <v>43</v>
      </c>
      <c r="L322" t="s">
        <v>43</v>
      </c>
      <c r="M322" t="s">
        <v>43</v>
      </c>
      <c r="N322" t="s">
        <v>623</v>
      </c>
      <c r="O322" t="s">
        <v>43</v>
      </c>
      <c r="P322" t="s">
        <v>205</v>
      </c>
      <c r="R322" t="s">
        <v>1523</v>
      </c>
      <c r="S322" t="s">
        <v>623</v>
      </c>
      <c r="T322" t="s">
        <v>622</v>
      </c>
      <c r="U322" t="s">
        <v>23</v>
      </c>
    </row>
    <row r="323" spans="1:21" x14ac:dyDescent="0.25">
      <c r="A323" t="s">
        <v>976</v>
      </c>
      <c r="B323" t="s">
        <v>976</v>
      </c>
      <c r="C323">
        <v>0.56944444400000005</v>
      </c>
      <c r="D323" s="27">
        <v>45894</v>
      </c>
      <c r="F323">
        <v>41.121756268481001</v>
      </c>
      <c r="G323">
        <v>321.39877873199998</v>
      </c>
      <c r="H323">
        <v>97.86748</v>
      </c>
      <c r="I323" t="s">
        <v>205</v>
      </c>
      <c r="J323">
        <v>20210311</v>
      </c>
      <c r="K323" t="s">
        <v>43</v>
      </c>
      <c r="L323" t="s">
        <v>43</v>
      </c>
      <c r="M323" t="s">
        <v>43</v>
      </c>
      <c r="N323" t="s">
        <v>27</v>
      </c>
      <c r="O323" t="s">
        <v>43</v>
      </c>
      <c r="P323" t="s">
        <v>205</v>
      </c>
      <c r="R323" t="s">
        <v>1523</v>
      </c>
      <c r="S323" t="s">
        <v>27</v>
      </c>
      <c r="T323" t="s">
        <v>622</v>
      </c>
      <c r="U323" t="s">
        <v>27</v>
      </c>
    </row>
    <row r="324" spans="1:21" x14ac:dyDescent="0.25">
      <c r="A324" t="s">
        <v>1412</v>
      </c>
      <c r="B324" t="s">
        <v>1412</v>
      </c>
      <c r="C324">
        <v>0.56944444400000005</v>
      </c>
      <c r="D324" s="27">
        <v>45894</v>
      </c>
      <c r="F324">
        <v>39.486203876059001</v>
      </c>
      <c r="G324">
        <v>617.31796164699995</v>
      </c>
      <c r="H324">
        <v>97.324455</v>
      </c>
      <c r="I324" t="s">
        <v>205</v>
      </c>
      <c r="J324">
        <v>20210311</v>
      </c>
      <c r="K324" t="s">
        <v>43</v>
      </c>
      <c r="L324" t="s">
        <v>43</v>
      </c>
      <c r="M324" t="s">
        <v>43</v>
      </c>
      <c r="N324" t="s">
        <v>179</v>
      </c>
      <c r="O324" t="s">
        <v>43</v>
      </c>
      <c r="P324" t="s">
        <v>205</v>
      </c>
      <c r="R324" t="s">
        <v>1523</v>
      </c>
      <c r="S324" t="s">
        <v>179</v>
      </c>
      <c r="T324" t="s">
        <v>622</v>
      </c>
      <c r="U324" t="s">
        <v>31</v>
      </c>
    </row>
    <row r="325" spans="1:21" x14ac:dyDescent="0.25">
      <c r="A325" t="s">
        <v>651</v>
      </c>
      <c r="B325" t="s">
        <v>651</v>
      </c>
      <c r="C325">
        <v>3.5416666669999999</v>
      </c>
      <c r="F325">
        <v>50</v>
      </c>
      <c r="G325">
        <v>413.92096168400002</v>
      </c>
      <c r="H325">
        <v>90.52</v>
      </c>
      <c r="I325" t="s">
        <v>206</v>
      </c>
      <c r="J325">
        <v>20210630</v>
      </c>
      <c r="K325" t="s">
        <v>43</v>
      </c>
      <c r="L325" t="s">
        <v>43</v>
      </c>
      <c r="M325" t="s">
        <v>43</v>
      </c>
      <c r="N325" t="s">
        <v>623</v>
      </c>
      <c r="O325" t="s">
        <v>43</v>
      </c>
      <c r="P325" t="s">
        <v>206</v>
      </c>
      <c r="R325" t="s">
        <v>1525</v>
      </c>
      <c r="S325" t="s">
        <v>623</v>
      </c>
      <c r="T325" t="s">
        <v>622</v>
      </c>
      <c r="U325" t="s">
        <v>23</v>
      </c>
    </row>
    <row r="326" spans="1:21" x14ac:dyDescent="0.25">
      <c r="A326" t="s">
        <v>1197</v>
      </c>
      <c r="B326" t="s">
        <v>1197</v>
      </c>
      <c r="C326">
        <v>0.30555555600000001</v>
      </c>
      <c r="D326" s="27">
        <v>45889</v>
      </c>
      <c r="F326">
        <v>17.120924605199001</v>
      </c>
      <c r="G326">
        <v>1387.325360927</v>
      </c>
      <c r="H326">
        <v>97.194005000000004</v>
      </c>
      <c r="I326" t="s">
        <v>128</v>
      </c>
      <c r="J326">
        <v>20201113</v>
      </c>
      <c r="K326" t="s">
        <v>27</v>
      </c>
      <c r="L326" t="s">
        <v>43</v>
      </c>
      <c r="M326" t="s">
        <v>43</v>
      </c>
      <c r="N326" t="s">
        <v>43</v>
      </c>
      <c r="O326" t="s">
        <v>43</v>
      </c>
      <c r="P326" t="s">
        <v>128</v>
      </c>
      <c r="R326" t="s">
        <v>1522</v>
      </c>
      <c r="S326" t="s">
        <v>27</v>
      </c>
      <c r="T326" t="s">
        <v>159</v>
      </c>
      <c r="U326" t="s">
        <v>27</v>
      </c>
    </row>
    <row r="327" spans="1:21" x14ac:dyDescent="0.25">
      <c r="A327" t="s">
        <v>1199</v>
      </c>
      <c r="B327" t="s">
        <v>1199</v>
      </c>
      <c r="C327">
        <v>2.3111111110000002</v>
      </c>
      <c r="D327" s="27">
        <v>45889</v>
      </c>
      <c r="F327">
        <v>17.120924605199001</v>
      </c>
      <c r="G327">
        <v>857.32807350400003</v>
      </c>
      <c r="H327">
        <v>87.746655000000004</v>
      </c>
      <c r="I327" t="s">
        <v>128</v>
      </c>
      <c r="J327">
        <v>20201113</v>
      </c>
      <c r="K327" t="s">
        <v>27</v>
      </c>
      <c r="L327" t="s">
        <v>43</v>
      </c>
      <c r="M327" t="s">
        <v>43</v>
      </c>
      <c r="N327" t="s">
        <v>43</v>
      </c>
      <c r="O327" t="s">
        <v>43</v>
      </c>
      <c r="P327" t="s">
        <v>128</v>
      </c>
      <c r="R327" t="s">
        <v>1522</v>
      </c>
      <c r="S327" t="s">
        <v>27</v>
      </c>
      <c r="T327" t="s">
        <v>159</v>
      </c>
      <c r="U327" t="s">
        <v>27</v>
      </c>
    </row>
    <row r="328" spans="1:21" x14ac:dyDescent="0.25">
      <c r="A328" t="s">
        <v>1202</v>
      </c>
      <c r="B328" t="s">
        <v>1202</v>
      </c>
      <c r="C328">
        <v>0.47222222200000002</v>
      </c>
      <c r="D328" s="27">
        <v>45889</v>
      </c>
      <c r="F328">
        <v>17.120924605199001</v>
      </c>
      <c r="G328">
        <v>708.35184485699995</v>
      </c>
      <c r="H328">
        <v>97.409279999999995</v>
      </c>
      <c r="I328" t="s">
        <v>128</v>
      </c>
      <c r="J328">
        <v>20210127</v>
      </c>
      <c r="K328" t="s">
        <v>27</v>
      </c>
      <c r="L328" t="s">
        <v>43</v>
      </c>
      <c r="M328" t="s">
        <v>43</v>
      </c>
      <c r="N328" t="s">
        <v>43</v>
      </c>
      <c r="O328" t="s">
        <v>43</v>
      </c>
      <c r="P328" t="s">
        <v>128</v>
      </c>
      <c r="R328" t="s">
        <v>1522</v>
      </c>
      <c r="S328" t="s">
        <v>27</v>
      </c>
      <c r="T328" t="s">
        <v>159</v>
      </c>
      <c r="U328" t="s">
        <v>27</v>
      </c>
    </row>
    <row r="329" spans="1:21" x14ac:dyDescent="0.25">
      <c r="A329" t="s">
        <v>555</v>
      </c>
      <c r="B329" t="s">
        <v>555</v>
      </c>
      <c r="C329">
        <v>0.122987419</v>
      </c>
      <c r="D329" s="27">
        <v>45884</v>
      </c>
      <c r="F329">
        <v>23.715415019763999</v>
      </c>
      <c r="G329">
        <v>657.492270147</v>
      </c>
      <c r="H329">
        <v>99.640784999999994</v>
      </c>
      <c r="I329" t="s">
        <v>210</v>
      </c>
      <c r="J329">
        <v>20200924</v>
      </c>
      <c r="K329" t="s">
        <v>43</v>
      </c>
      <c r="L329" t="s">
        <v>43</v>
      </c>
      <c r="M329" t="s">
        <v>43</v>
      </c>
      <c r="N329" t="s">
        <v>43</v>
      </c>
      <c r="O329" t="s">
        <v>144</v>
      </c>
      <c r="P329" t="s">
        <v>210</v>
      </c>
      <c r="R329" t="s">
        <v>1527</v>
      </c>
      <c r="S329" t="s">
        <v>144</v>
      </c>
      <c r="T329" t="s">
        <v>143</v>
      </c>
      <c r="U329" t="s">
        <v>19</v>
      </c>
    </row>
    <row r="330" spans="1:21" x14ac:dyDescent="0.25">
      <c r="A330" t="s">
        <v>726</v>
      </c>
      <c r="B330" t="s">
        <v>726</v>
      </c>
      <c r="C330">
        <v>0.125</v>
      </c>
      <c r="D330" s="27">
        <v>45884</v>
      </c>
      <c r="F330">
        <v>13.438735177866</v>
      </c>
      <c r="G330">
        <v>783.13730734000001</v>
      </c>
      <c r="H330">
        <v>99.611474999999999</v>
      </c>
      <c r="I330" t="s">
        <v>210</v>
      </c>
      <c r="J330">
        <v>20200924</v>
      </c>
      <c r="K330" t="s">
        <v>43</v>
      </c>
      <c r="L330" t="s">
        <v>43</v>
      </c>
      <c r="M330" t="s">
        <v>43</v>
      </c>
      <c r="N330" t="s">
        <v>43</v>
      </c>
      <c r="O330" t="s">
        <v>23</v>
      </c>
      <c r="P330" t="s">
        <v>210</v>
      </c>
      <c r="R330" t="s">
        <v>1527</v>
      </c>
      <c r="S330" t="s">
        <v>23</v>
      </c>
      <c r="T330" t="s">
        <v>143</v>
      </c>
      <c r="U330" t="s">
        <v>23</v>
      </c>
    </row>
    <row r="331" spans="1:21" x14ac:dyDescent="0.25">
      <c r="A331" t="s">
        <v>1343</v>
      </c>
      <c r="B331" t="s">
        <v>1343</v>
      </c>
      <c r="C331">
        <v>0.125</v>
      </c>
      <c r="D331" s="27">
        <v>45884</v>
      </c>
      <c r="F331">
        <v>5.0065876152840003</v>
      </c>
      <c r="G331">
        <v>961.76115668</v>
      </c>
      <c r="H331">
        <v>99.586820000000003</v>
      </c>
      <c r="I331" t="s">
        <v>210</v>
      </c>
      <c r="J331">
        <v>20200924</v>
      </c>
      <c r="K331" t="s">
        <v>43</v>
      </c>
      <c r="L331" t="s">
        <v>43</v>
      </c>
      <c r="M331" t="s">
        <v>43</v>
      </c>
      <c r="N331" t="s">
        <v>43</v>
      </c>
      <c r="O331" t="s">
        <v>27</v>
      </c>
      <c r="P331" t="s">
        <v>210</v>
      </c>
      <c r="R331" t="s">
        <v>1527</v>
      </c>
      <c r="S331" t="s">
        <v>27</v>
      </c>
      <c r="T331" t="s">
        <v>143</v>
      </c>
      <c r="U331" t="s">
        <v>27</v>
      </c>
    </row>
    <row r="332" spans="1:21" x14ac:dyDescent="0.25">
      <c r="A332" t="s">
        <v>1102</v>
      </c>
      <c r="B332" t="s">
        <v>1102</v>
      </c>
      <c r="C332">
        <v>9.2727847259999994</v>
      </c>
      <c r="D332" s="27">
        <v>45950</v>
      </c>
      <c r="E332" s="27">
        <v>46407</v>
      </c>
      <c r="F332">
        <v>11.758769716</v>
      </c>
      <c r="G332">
        <v>287.01663481399999</v>
      </c>
      <c r="H332">
        <v>99.148499999999999</v>
      </c>
      <c r="I332" t="s">
        <v>109</v>
      </c>
      <c r="J332">
        <v>20250214</v>
      </c>
      <c r="K332" t="s">
        <v>169</v>
      </c>
      <c r="L332" t="s">
        <v>43</v>
      </c>
      <c r="M332" t="s">
        <v>43</v>
      </c>
      <c r="N332" t="s">
        <v>43</v>
      </c>
      <c r="O332" t="s">
        <v>43</v>
      </c>
      <c r="P332" t="s">
        <v>489</v>
      </c>
      <c r="Q332">
        <v>2025</v>
      </c>
      <c r="S332" t="s">
        <v>169</v>
      </c>
      <c r="T332" t="s">
        <v>159</v>
      </c>
      <c r="U332" t="s">
        <v>27</v>
      </c>
    </row>
    <row r="333" spans="1:21" x14ac:dyDescent="0.25">
      <c r="A333" t="s">
        <v>1092</v>
      </c>
      <c r="B333" t="s">
        <v>1092</v>
      </c>
      <c r="C333">
        <v>5.8098248950000002</v>
      </c>
      <c r="D333" s="27">
        <v>45950</v>
      </c>
      <c r="E333" s="27">
        <v>45036</v>
      </c>
      <c r="F333">
        <v>10.728899608000001</v>
      </c>
      <c r="G333">
        <v>302.51294479400002</v>
      </c>
      <c r="H333">
        <v>100.1677</v>
      </c>
      <c r="I333" t="s">
        <v>109</v>
      </c>
      <c r="J333">
        <v>20210326</v>
      </c>
      <c r="K333" t="s">
        <v>169</v>
      </c>
      <c r="L333" t="s">
        <v>43</v>
      </c>
      <c r="M333" t="s">
        <v>43</v>
      </c>
      <c r="N333" t="s">
        <v>43</v>
      </c>
      <c r="O333" t="s">
        <v>43</v>
      </c>
      <c r="P333" t="s">
        <v>489</v>
      </c>
      <c r="Q333">
        <v>2021</v>
      </c>
      <c r="S333" t="s">
        <v>169</v>
      </c>
      <c r="T333" t="s">
        <v>159</v>
      </c>
      <c r="U333" t="s">
        <v>27</v>
      </c>
    </row>
    <row r="334" spans="1:21" x14ac:dyDescent="0.25">
      <c r="A334" t="s">
        <v>1098</v>
      </c>
      <c r="B334" t="s">
        <v>1098</v>
      </c>
      <c r="C334">
        <v>5.9997397049999996</v>
      </c>
      <c r="D334" s="27">
        <v>45950</v>
      </c>
      <c r="E334" s="27">
        <v>45080</v>
      </c>
      <c r="F334">
        <v>10.293899656000001</v>
      </c>
      <c r="G334">
        <v>394.89973187499999</v>
      </c>
      <c r="H334">
        <v>97.153899999999993</v>
      </c>
      <c r="I334" t="s">
        <v>109</v>
      </c>
      <c r="J334">
        <v>20210603</v>
      </c>
      <c r="K334" t="s">
        <v>169</v>
      </c>
      <c r="L334" t="s">
        <v>43</v>
      </c>
      <c r="M334" t="s">
        <v>43</v>
      </c>
      <c r="N334" t="s">
        <v>43</v>
      </c>
      <c r="O334" t="s">
        <v>43</v>
      </c>
      <c r="P334" t="s">
        <v>489</v>
      </c>
      <c r="Q334">
        <v>2021</v>
      </c>
      <c r="S334" t="s">
        <v>169</v>
      </c>
      <c r="T334" t="s">
        <v>159</v>
      </c>
      <c r="U334" t="s">
        <v>27</v>
      </c>
    </row>
    <row r="335" spans="1:21" x14ac:dyDescent="0.25">
      <c r="A335" t="s">
        <v>1084</v>
      </c>
      <c r="B335" t="s">
        <v>1084</v>
      </c>
      <c r="C335">
        <v>6.5914745769999996</v>
      </c>
      <c r="D335" s="27">
        <v>45945</v>
      </c>
      <c r="E335" s="27">
        <v>45376</v>
      </c>
      <c r="F335">
        <v>10.090859578</v>
      </c>
      <c r="G335">
        <v>359.23873584299997</v>
      </c>
      <c r="H335">
        <v>98.187200000000004</v>
      </c>
      <c r="I335" t="s">
        <v>109</v>
      </c>
      <c r="J335">
        <v>20220325</v>
      </c>
      <c r="K335" t="s">
        <v>43</v>
      </c>
      <c r="L335" t="s">
        <v>43</v>
      </c>
      <c r="M335" t="s">
        <v>27</v>
      </c>
      <c r="N335" t="s">
        <v>43</v>
      </c>
      <c r="O335" t="s">
        <v>43</v>
      </c>
      <c r="P335" t="s">
        <v>489</v>
      </c>
      <c r="Q335">
        <v>2022</v>
      </c>
      <c r="S335" t="s">
        <v>27</v>
      </c>
      <c r="T335" t="s">
        <v>155</v>
      </c>
      <c r="U335" t="s">
        <v>27</v>
      </c>
    </row>
    <row r="336" spans="1:21" x14ac:dyDescent="0.25">
      <c r="A336" t="s">
        <v>1086</v>
      </c>
      <c r="B336" t="s">
        <v>1086</v>
      </c>
      <c r="C336">
        <v>9.1014795799999995</v>
      </c>
      <c r="D336" s="27">
        <v>45950</v>
      </c>
      <c r="E336" s="27">
        <v>46263</v>
      </c>
      <c r="F336">
        <v>12.138184428000001</v>
      </c>
      <c r="G336">
        <v>308.61015649799998</v>
      </c>
      <c r="H336">
        <v>100.4299</v>
      </c>
      <c r="I336" t="s">
        <v>109</v>
      </c>
      <c r="J336">
        <v>20240829</v>
      </c>
      <c r="K336" t="s">
        <v>43</v>
      </c>
      <c r="L336" t="s">
        <v>43</v>
      </c>
      <c r="M336" t="s">
        <v>27</v>
      </c>
      <c r="N336" t="s">
        <v>43</v>
      </c>
      <c r="O336" t="s">
        <v>43</v>
      </c>
      <c r="P336" t="s">
        <v>489</v>
      </c>
      <c r="Q336">
        <v>2024</v>
      </c>
      <c r="S336" t="s">
        <v>27</v>
      </c>
      <c r="T336" t="s">
        <v>155</v>
      </c>
      <c r="U336" t="s">
        <v>27</v>
      </c>
    </row>
    <row r="337" spans="1:21" x14ac:dyDescent="0.25">
      <c r="A337" t="s">
        <v>1095</v>
      </c>
      <c r="B337" t="s">
        <v>1095</v>
      </c>
      <c r="C337">
        <v>8.6423428229999999</v>
      </c>
      <c r="D337" s="27">
        <v>45945</v>
      </c>
      <c r="E337" s="27">
        <v>46127</v>
      </c>
      <c r="F337">
        <v>12.759413469</v>
      </c>
      <c r="G337">
        <v>356.79832010299998</v>
      </c>
      <c r="H337">
        <v>100.5214</v>
      </c>
      <c r="I337" t="s">
        <v>109</v>
      </c>
      <c r="J337">
        <v>20240503</v>
      </c>
      <c r="K337" t="s">
        <v>27</v>
      </c>
      <c r="L337" t="s">
        <v>43</v>
      </c>
      <c r="M337" t="s">
        <v>43</v>
      </c>
      <c r="N337" t="s">
        <v>43</v>
      </c>
      <c r="O337" t="s">
        <v>43</v>
      </c>
      <c r="P337" t="s">
        <v>489</v>
      </c>
      <c r="Q337">
        <v>2024</v>
      </c>
      <c r="S337" t="s">
        <v>27</v>
      </c>
      <c r="T337" t="s">
        <v>159</v>
      </c>
      <c r="U337" t="s">
        <v>27</v>
      </c>
    </row>
    <row r="338" spans="1:21" x14ac:dyDescent="0.25">
      <c r="A338" t="s">
        <v>1088</v>
      </c>
      <c r="B338" t="s">
        <v>1088</v>
      </c>
      <c r="C338">
        <v>9.2296297379999999</v>
      </c>
      <c r="D338" s="27">
        <v>45945</v>
      </c>
      <c r="E338" s="27">
        <v>46402</v>
      </c>
      <c r="F338">
        <v>12.146509285</v>
      </c>
      <c r="G338">
        <v>290.84510071400001</v>
      </c>
      <c r="H338">
        <v>100.631</v>
      </c>
      <c r="I338" t="s">
        <v>109</v>
      </c>
      <c r="J338">
        <v>20241212</v>
      </c>
      <c r="K338" t="s">
        <v>43</v>
      </c>
      <c r="L338" t="s">
        <v>43</v>
      </c>
      <c r="M338" t="s">
        <v>169</v>
      </c>
      <c r="N338" t="s">
        <v>43</v>
      </c>
      <c r="O338" t="s">
        <v>43</v>
      </c>
      <c r="P338" t="s">
        <v>489</v>
      </c>
      <c r="Q338">
        <v>2024</v>
      </c>
      <c r="S338" t="s">
        <v>169</v>
      </c>
      <c r="T338" t="s">
        <v>155</v>
      </c>
      <c r="U338" t="s">
        <v>27</v>
      </c>
    </row>
    <row r="339" spans="1:21" x14ac:dyDescent="0.25">
      <c r="A339" t="s">
        <v>667</v>
      </c>
      <c r="B339" t="s">
        <v>667</v>
      </c>
      <c r="C339">
        <v>7.0637563669999999</v>
      </c>
      <c r="D339" s="27">
        <v>45945</v>
      </c>
      <c r="E339" s="27">
        <v>46335</v>
      </c>
      <c r="F339">
        <v>25.050717868</v>
      </c>
      <c r="G339">
        <v>258.08624949799997</v>
      </c>
      <c r="H339">
        <v>98.951599999999999</v>
      </c>
      <c r="I339" t="s">
        <v>164</v>
      </c>
      <c r="J339">
        <v>20241107</v>
      </c>
      <c r="K339" t="s">
        <v>23</v>
      </c>
      <c r="L339" t="s">
        <v>43</v>
      </c>
      <c r="M339" t="s">
        <v>43</v>
      </c>
      <c r="N339" t="s">
        <v>43</v>
      </c>
      <c r="O339" t="s">
        <v>43</v>
      </c>
      <c r="P339" t="s">
        <v>1568</v>
      </c>
      <c r="Q339">
        <v>2024</v>
      </c>
      <c r="S339" t="s">
        <v>23</v>
      </c>
      <c r="T339" t="s">
        <v>159</v>
      </c>
      <c r="U339" t="s">
        <v>23</v>
      </c>
    </row>
    <row r="340" spans="1:21" x14ac:dyDescent="0.25">
      <c r="A340" t="s">
        <v>1106</v>
      </c>
      <c r="B340" t="s">
        <v>1106</v>
      </c>
      <c r="C340">
        <v>7.5288223990000001</v>
      </c>
      <c r="D340" s="27">
        <v>45945</v>
      </c>
      <c r="E340" s="27">
        <v>46335</v>
      </c>
      <c r="F340">
        <v>19.133983196999999</v>
      </c>
      <c r="G340">
        <v>396.65287706800001</v>
      </c>
      <c r="H340">
        <v>101.62179999999999</v>
      </c>
      <c r="I340" t="s">
        <v>164</v>
      </c>
      <c r="J340">
        <v>20241107</v>
      </c>
      <c r="K340" t="s">
        <v>169</v>
      </c>
      <c r="L340" t="s">
        <v>43</v>
      </c>
      <c r="M340" t="s">
        <v>43</v>
      </c>
      <c r="N340" t="s">
        <v>43</v>
      </c>
      <c r="O340" t="s">
        <v>43</v>
      </c>
      <c r="P340" t="s">
        <v>1568</v>
      </c>
      <c r="Q340">
        <v>2024</v>
      </c>
      <c r="S340" t="s">
        <v>169</v>
      </c>
      <c r="T340" t="s">
        <v>159</v>
      </c>
      <c r="U340" t="s">
        <v>27</v>
      </c>
    </row>
    <row r="341" spans="1:21" x14ac:dyDescent="0.25">
      <c r="A341" t="s">
        <v>1108</v>
      </c>
      <c r="B341" t="s">
        <v>1108</v>
      </c>
      <c r="C341">
        <v>7.200714971</v>
      </c>
      <c r="D341" s="27">
        <v>45945</v>
      </c>
      <c r="E341" s="27">
        <v>46368</v>
      </c>
      <c r="F341">
        <v>18.679933244000001</v>
      </c>
      <c r="G341">
        <v>407.26463926999998</v>
      </c>
      <c r="H341">
        <v>100.4174</v>
      </c>
      <c r="I341" t="s">
        <v>164</v>
      </c>
      <c r="J341">
        <v>20241212</v>
      </c>
      <c r="K341" t="s">
        <v>169</v>
      </c>
      <c r="L341" t="s">
        <v>43</v>
      </c>
      <c r="M341" t="s">
        <v>43</v>
      </c>
      <c r="N341" t="s">
        <v>43</v>
      </c>
      <c r="O341" t="s">
        <v>43</v>
      </c>
      <c r="P341" t="s">
        <v>1569</v>
      </c>
      <c r="Q341">
        <v>2024</v>
      </c>
      <c r="S341" t="s">
        <v>169</v>
      </c>
      <c r="T341" t="s">
        <v>159</v>
      </c>
      <c r="U341" t="s">
        <v>27</v>
      </c>
    </row>
    <row r="342" spans="1:21" x14ac:dyDescent="0.25">
      <c r="A342" t="s">
        <v>720</v>
      </c>
      <c r="B342" t="s">
        <v>720</v>
      </c>
      <c r="C342">
        <v>3.132243033</v>
      </c>
      <c r="D342" s="27">
        <v>45945</v>
      </c>
      <c r="E342" s="27">
        <v>45031</v>
      </c>
      <c r="F342">
        <v>23.806716531999999</v>
      </c>
      <c r="G342">
        <v>319.41370288899998</v>
      </c>
      <c r="H342">
        <v>100.1808</v>
      </c>
      <c r="I342" t="s">
        <v>164</v>
      </c>
      <c r="J342">
        <v>20210526</v>
      </c>
      <c r="K342" t="s">
        <v>43</v>
      </c>
      <c r="L342" t="s">
        <v>722</v>
      </c>
      <c r="M342" t="s">
        <v>43</v>
      </c>
      <c r="N342" t="s">
        <v>43</v>
      </c>
      <c r="O342" t="s">
        <v>43</v>
      </c>
      <c r="P342" t="s">
        <v>1570</v>
      </c>
      <c r="Q342">
        <v>2021</v>
      </c>
      <c r="S342" t="s">
        <v>722</v>
      </c>
      <c r="T342" t="s">
        <v>134</v>
      </c>
      <c r="U342" t="s">
        <v>23</v>
      </c>
    </row>
    <row r="343" spans="1:21" x14ac:dyDescent="0.25">
      <c r="A343" t="s">
        <v>1326</v>
      </c>
      <c r="B343" t="s">
        <v>1326</v>
      </c>
      <c r="C343">
        <v>3.6029312029999998</v>
      </c>
      <c r="D343" s="27">
        <v>45945</v>
      </c>
      <c r="E343" s="27">
        <v>45031</v>
      </c>
      <c r="F343">
        <v>18.221783309999999</v>
      </c>
      <c r="G343">
        <v>444.77523187700001</v>
      </c>
      <c r="H343">
        <v>100.1875</v>
      </c>
      <c r="I343" t="s">
        <v>164</v>
      </c>
      <c r="J343">
        <v>20210526</v>
      </c>
      <c r="K343" t="s">
        <v>43</v>
      </c>
      <c r="L343" t="s">
        <v>785</v>
      </c>
      <c r="M343" t="s">
        <v>43</v>
      </c>
      <c r="N343" t="s">
        <v>43</v>
      </c>
      <c r="O343" t="s">
        <v>43</v>
      </c>
      <c r="P343" t="s">
        <v>1570</v>
      </c>
      <c r="Q343">
        <v>2021</v>
      </c>
      <c r="S343" t="s">
        <v>785</v>
      </c>
      <c r="T343" t="s">
        <v>134</v>
      </c>
      <c r="U343" t="s">
        <v>27</v>
      </c>
    </row>
    <row r="344" spans="1:21" x14ac:dyDescent="0.25">
      <c r="A344" t="s">
        <v>1114</v>
      </c>
      <c r="B344" t="s">
        <v>1114</v>
      </c>
      <c r="C344">
        <v>8.5290392379999993</v>
      </c>
      <c r="D344" s="27">
        <v>45950</v>
      </c>
      <c r="E344" s="27">
        <v>46305</v>
      </c>
      <c r="F344">
        <v>17.546339571000001</v>
      </c>
      <c r="G344">
        <v>418.368231364</v>
      </c>
      <c r="H344">
        <v>99.778000000000006</v>
      </c>
      <c r="I344" t="s">
        <v>211</v>
      </c>
      <c r="J344">
        <v>20241010</v>
      </c>
      <c r="K344" t="s">
        <v>169</v>
      </c>
      <c r="L344" t="s">
        <v>43</v>
      </c>
      <c r="M344" t="s">
        <v>43</v>
      </c>
      <c r="N344" t="s">
        <v>43</v>
      </c>
      <c r="O344" t="s">
        <v>43</v>
      </c>
      <c r="P344" t="s">
        <v>1115</v>
      </c>
      <c r="Q344">
        <v>2024</v>
      </c>
      <c r="S344" t="s">
        <v>169</v>
      </c>
      <c r="T344" t="s">
        <v>159</v>
      </c>
      <c r="U344" t="s">
        <v>27</v>
      </c>
    </row>
    <row r="345" spans="1:21" x14ac:dyDescent="0.25">
      <c r="A345" t="s">
        <v>673</v>
      </c>
      <c r="B345" t="s">
        <v>673</v>
      </c>
      <c r="C345">
        <v>8.5133252590000001</v>
      </c>
      <c r="D345" s="27">
        <v>45955</v>
      </c>
      <c r="E345" s="27">
        <v>46320</v>
      </c>
      <c r="F345">
        <v>18.135315712000001</v>
      </c>
      <c r="G345">
        <v>195.27817900599999</v>
      </c>
      <c r="H345">
        <v>100.3164</v>
      </c>
      <c r="I345" t="s">
        <v>111</v>
      </c>
      <c r="J345">
        <v>20241025</v>
      </c>
      <c r="K345" t="s">
        <v>43</v>
      </c>
      <c r="L345" t="s">
        <v>43</v>
      </c>
      <c r="M345" t="s">
        <v>573</v>
      </c>
      <c r="N345" t="s">
        <v>43</v>
      </c>
      <c r="O345" t="s">
        <v>43</v>
      </c>
      <c r="P345" t="s">
        <v>335</v>
      </c>
      <c r="Q345">
        <v>2024</v>
      </c>
      <c r="S345" t="s">
        <v>573</v>
      </c>
      <c r="T345" t="s">
        <v>155</v>
      </c>
      <c r="U345" t="s">
        <v>23</v>
      </c>
    </row>
    <row r="346" spans="1:21" x14ac:dyDescent="0.25">
      <c r="A346" t="s">
        <v>860</v>
      </c>
      <c r="B346" t="s">
        <v>860</v>
      </c>
      <c r="C346">
        <v>8.1084960370000001</v>
      </c>
      <c r="D346" s="27">
        <v>45950</v>
      </c>
      <c r="E346" s="27">
        <v>46497</v>
      </c>
      <c r="F346">
        <v>16.616900955999999</v>
      </c>
      <c r="G346">
        <v>438.48849799700002</v>
      </c>
      <c r="H346">
        <v>101.875</v>
      </c>
      <c r="I346" t="s">
        <v>160</v>
      </c>
      <c r="J346">
        <v>20250421</v>
      </c>
      <c r="K346" t="s">
        <v>169</v>
      </c>
      <c r="L346" t="s">
        <v>43</v>
      </c>
      <c r="M346" t="s">
        <v>43</v>
      </c>
      <c r="N346" t="s">
        <v>43</v>
      </c>
      <c r="O346" t="s">
        <v>43</v>
      </c>
      <c r="P346" t="s">
        <v>390</v>
      </c>
      <c r="Q346">
        <v>2025</v>
      </c>
      <c r="S346" t="s">
        <v>169</v>
      </c>
      <c r="T346" t="s">
        <v>159</v>
      </c>
      <c r="U346" t="s">
        <v>27</v>
      </c>
    </row>
    <row r="347" spans="1:21" x14ac:dyDescent="0.25">
      <c r="A347" t="s">
        <v>1381</v>
      </c>
      <c r="B347" t="s">
        <v>1381</v>
      </c>
      <c r="C347">
        <v>8.6892004969999999</v>
      </c>
      <c r="D347" s="27">
        <v>45950</v>
      </c>
      <c r="E347" s="27">
        <v>46497</v>
      </c>
      <c r="F347">
        <v>10.515698586999999</v>
      </c>
      <c r="G347">
        <v>841.55098666499998</v>
      </c>
      <c r="H347">
        <v>99.081800000000001</v>
      </c>
      <c r="I347" t="s">
        <v>160</v>
      </c>
      <c r="J347">
        <v>20250421</v>
      </c>
      <c r="K347" t="s">
        <v>179</v>
      </c>
      <c r="L347" t="s">
        <v>43</v>
      </c>
      <c r="M347" t="s">
        <v>43</v>
      </c>
      <c r="N347" t="s">
        <v>43</v>
      </c>
      <c r="O347" t="s">
        <v>43</v>
      </c>
      <c r="P347" t="s">
        <v>390</v>
      </c>
      <c r="Q347">
        <v>2025</v>
      </c>
      <c r="S347" t="s">
        <v>179</v>
      </c>
      <c r="T347" t="s">
        <v>159</v>
      </c>
      <c r="U347" t="s">
        <v>31</v>
      </c>
    </row>
    <row r="348" spans="1:21" x14ac:dyDescent="0.25">
      <c r="A348" t="s">
        <v>1394</v>
      </c>
      <c r="B348" t="s">
        <v>1394</v>
      </c>
      <c r="C348">
        <v>5.6217117050000001</v>
      </c>
      <c r="D348" s="27">
        <v>45950</v>
      </c>
      <c r="E348" s="27">
        <v>45127</v>
      </c>
      <c r="F348">
        <v>8.6891639509999994</v>
      </c>
      <c r="G348">
        <v>751.37957335600004</v>
      </c>
      <c r="H348">
        <v>75.031800000000004</v>
      </c>
      <c r="I348" t="s">
        <v>77</v>
      </c>
      <c r="J348">
        <v>20210720</v>
      </c>
      <c r="K348" t="s">
        <v>43</v>
      </c>
      <c r="L348" t="s">
        <v>43</v>
      </c>
      <c r="M348" t="s">
        <v>43</v>
      </c>
      <c r="N348" t="s">
        <v>179</v>
      </c>
      <c r="O348" t="s">
        <v>43</v>
      </c>
      <c r="P348" t="s">
        <v>76</v>
      </c>
      <c r="Q348">
        <v>2021</v>
      </c>
      <c r="S348" t="s">
        <v>179</v>
      </c>
      <c r="T348" t="s">
        <v>622</v>
      </c>
      <c r="U348" t="s">
        <v>31</v>
      </c>
    </row>
    <row r="349" spans="1:21" x14ac:dyDescent="0.25">
      <c r="A349" t="s">
        <v>1392</v>
      </c>
      <c r="B349" t="s">
        <v>1392</v>
      </c>
      <c r="C349">
        <v>6.2828397450000004</v>
      </c>
      <c r="D349" s="27">
        <v>45950</v>
      </c>
      <c r="E349" s="27">
        <v>45311</v>
      </c>
      <c r="F349">
        <v>6.2692914240000004</v>
      </c>
      <c r="G349">
        <v>879.84878710999999</v>
      </c>
      <c r="H349">
        <v>70.748500000000007</v>
      </c>
      <c r="I349" t="s">
        <v>77</v>
      </c>
      <c r="J349">
        <v>20211119</v>
      </c>
      <c r="K349" t="s">
        <v>43</v>
      </c>
      <c r="L349" t="s">
        <v>43</v>
      </c>
      <c r="M349" t="s">
        <v>43</v>
      </c>
      <c r="N349" t="s">
        <v>179</v>
      </c>
      <c r="O349" t="s">
        <v>43</v>
      </c>
      <c r="P349" t="s">
        <v>76</v>
      </c>
      <c r="Q349">
        <v>2021</v>
      </c>
      <c r="S349" t="s">
        <v>179</v>
      </c>
      <c r="T349" t="s">
        <v>622</v>
      </c>
      <c r="U349" t="s">
        <v>31</v>
      </c>
    </row>
    <row r="350" spans="1:21" x14ac:dyDescent="0.25">
      <c r="A350" t="s">
        <v>1396</v>
      </c>
      <c r="B350" t="s">
        <v>1396</v>
      </c>
      <c r="C350">
        <v>5.0533222499999999</v>
      </c>
      <c r="D350" s="27">
        <v>45950</v>
      </c>
      <c r="E350" s="27">
        <v>44911</v>
      </c>
      <c r="F350">
        <v>10.582575523999999</v>
      </c>
      <c r="G350">
        <v>578.31378027000005</v>
      </c>
      <c r="H350">
        <v>83.453100000000006</v>
      </c>
      <c r="I350" t="s">
        <v>77</v>
      </c>
      <c r="J350">
        <v>20201216</v>
      </c>
      <c r="K350" t="s">
        <v>43</v>
      </c>
      <c r="L350" t="s">
        <v>43</v>
      </c>
      <c r="M350" t="s">
        <v>43</v>
      </c>
      <c r="N350" t="s">
        <v>179</v>
      </c>
      <c r="O350" t="s">
        <v>43</v>
      </c>
      <c r="P350" t="s">
        <v>76</v>
      </c>
      <c r="Q350">
        <v>2020</v>
      </c>
      <c r="S350" t="s">
        <v>179</v>
      </c>
      <c r="T350" t="s">
        <v>622</v>
      </c>
      <c r="U350" t="s">
        <v>31</v>
      </c>
    </row>
    <row r="351" spans="1:21" x14ac:dyDescent="0.25">
      <c r="A351" t="s">
        <v>1398</v>
      </c>
      <c r="B351" t="s">
        <v>1398</v>
      </c>
      <c r="C351">
        <v>5.0533222499999999</v>
      </c>
      <c r="D351" s="27">
        <v>45950</v>
      </c>
      <c r="E351" s="27">
        <v>44911</v>
      </c>
      <c r="F351">
        <v>10.582575523999999</v>
      </c>
      <c r="G351">
        <v>583.779034153</v>
      </c>
      <c r="H351">
        <v>63.052100000000003</v>
      </c>
      <c r="I351" t="s">
        <v>77</v>
      </c>
      <c r="J351">
        <v>20201216</v>
      </c>
      <c r="K351" t="s">
        <v>43</v>
      </c>
      <c r="L351" t="s">
        <v>43</v>
      </c>
      <c r="M351" t="s">
        <v>43</v>
      </c>
      <c r="N351" t="s">
        <v>179</v>
      </c>
      <c r="O351" t="s">
        <v>43</v>
      </c>
      <c r="P351" t="s">
        <v>76</v>
      </c>
      <c r="Q351">
        <v>2020</v>
      </c>
      <c r="S351" t="s">
        <v>179</v>
      </c>
      <c r="T351" t="s">
        <v>622</v>
      </c>
      <c r="U351" t="s">
        <v>31</v>
      </c>
    </row>
    <row r="352" spans="1:21" x14ac:dyDescent="0.25">
      <c r="A352" t="s">
        <v>1404</v>
      </c>
      <c r="B352" t="s">
        <v>1404</v>
      </c>
      <c r="C352">
        <v>3.8763730999999999</v>
      </c>
      <c r="D352" s="27">
        <v>45945</v>
      </c>
      <c r="E352" s="27">
        <v>45031</v>
      </c>
      <c r="F352">
        <v>9.8564855179999995</v>
      </c>
      <c r="G352">
        <v>550.491057361</v>
      </c>
      <c r="H352">
        <v>87.234099999999998</v>
      </c>
      <c r="I352" t="s">
        <v>82</v>
      </c>
      <c r="J352">
        <v>20210331</v>
      </c>
      <c r="K352" t="s">
        <v>43</v>
      </c>
      <c r="L352" t="s">
        <v>43</v>
      </c>
      <c r="M352" t="s">
        <v>43</v>
      </c>
      <c r="N352" t="s">
        <v>179</v>
      </c>
      <c r="O352" t="s">
        <v>43</v>
      </c>
      <c r="P352" t="s">
        <v>286</v>
      </c>
      <c r="Q352">
        <v>2021</v>
      </c>
      <c r="S352" t="s">
        <v>179</v>
      </c>
      <c r="T352" t="s">
        <v>622</v>
      </c>
      <c r="U352" t="s">
        <v>31</v>
      </c>
    </row>
    <row r="353" spans="1:21" x14ac:dyDescent="0.25">
      <c r="A353" t="s">
        <v>1420</v>
      </c>
      <c r="B353" t="s">
        <v>1420</v>
      </c>
      <c r="C353">
        <v>4.5418052309999997</v>
      </c>
      <c r="D353" s="27">
        <v>45945</v>
      </c>
      <c r="E353" s="27">
        <v>45282</v>
      </c>
      <c r="F353">
        <v>10.372312392</v>
      </c>
      <c r="G353">
        <v>912.44497825799999</v>
      </c>
      <c r="H353">
        <v>86.621499999999997</v>
      </c>
      <c r="I353" t="s">
        <v>99</v>
      </c>
      <c r="J353">
        <v>20211222</v>
      </c>
      <c r="K353" t="s">
        <v>43</v>
      </c>
      <c r="L353" t="s">
        <v>43</v>
      </c>
      <c r="M353" t="s">
        <v>43</v>
      </c>
      <c r="N353" t="s">
        <v>179</v>
      </c>
      <c r="O353" t="s">
        <v>43</v>
      </c>
      <c r="P353" t="s">
        <v>309</v>
      </c>
      <c r="Q353">
        <v>2021</v>
      </c>
      <c r="S353" t="s">
        <v>179</v>
      </c>
      <c r="T353" t="s">
        <v>622</v>
      </c>
      <c r="U353" t="s">
        <v>31</v>
      </c>
    </row>
    <row r="354" spans="1:21" x14ac:dyDescent="0.25">
      <c r="A354" t="s">
        <v>1436</v>
      </c>
      <c r="B354" t="s">
        <v>1436</v>
      </c>
      <c r="C354">
        <v>1.623314245</v>
      </c>
      <c r="D354" s="27">
        <v>45945</v>
      </c>
      <c r="E354" s="27">
        <v>44576</v>
      </c>
      <c r="F354">
        <v>26.072296024</v>
      </c>
      <c r="G354">
        <v>837.452161133</v>
      </c>
      <c r="H354">
        <v>95.236800000000002</v>
      </c>
      <c r="I354" t="s">
        <v>114</v>
      </c>
      <c r="J354">
        <v>20201208</v>
      </c>
      <c r="K354" t="s">
        <v>43</v>
      </c>
      <c r="L354" t="s">
        <v>43</v>
      </c>
      <c r="M354" t="s">
        <v>43</v>
      </c>
      <c r="N354" t="s">
        <v>31</v>
      </c>
      <c r="O354" t="s">
        <v>43</v>
      </c>
      <c r="P354" t="s">
        <v>341</v>
      </c>
      <c r="Q354">
        <v>2020</v>
      </c>
      <c r="S354" t="s">
        <v>31</v>
      </c>
      <c r="T354" t="s">
        <v>622</v>
      </c>
      <c r="U354" t="s">
        <v>31</v>
      </c>
    </row>
    <row r="355" spans="1:21" x14ac:dyDescent="0.25">
      <c r="A355" t="s">
        <v>1440</v>
      </c>
      <c r="B355" t="s">
        <v>1440</v>
      </c>
      <c r="C355">
        <v>1.248734096</v>
      </c>
      <c r="D355" s="27">
        <v>45945</v>
      </c>
      <c r="E355" s="27">
        <v>45122</v>
      </c>
      <c r="F355">
        <v>15.266060328</v>
      </c>
      <c r="G355">
        <v>776.41223325399994</v>
      </c>
      <c r="H355">
        <v>96.969499999999996</v>
      </c>
      <c r="I355" t="s">
        <v>124</v>
      </c>
      <c r="J355">
        <v>20210623</v>
      </c>
      <c r="K355" t="s">
        <v>43</v>
      </c>
      <c r="L355" t="s">
        <v>43</v>
      </c>
      <c r="M355" t="s">
        <v>43</v>
      </c>
      <c r="N355" t="s">
        <v>179</v>
      </c>
      <c r="O355" t="s">
        <v>43</v>
      </c>
      <c r="P355" t="s">
        <v>341</v>
      </c>
      <c r="Q355">
        <v>2021</v>
      </c>
      <c r="S355" t="s">
        <v>179</v>
      </c>
      <c r="T355" t="s">
        <v>622</v>
      </c>
      <c r="U355" t="s">
        <v>31</v>
      </c>
    </row>
    <row r="356" spans="1:21" x14ac:dyDescent="0.25">
      <c r="A356" t="s">
        <v>1438</v>
      </c>
      <c r="B356" t="s">
        <v>1438</v>
      </c>
      <c r="C356">
        <v>1.0687953699999999</v>
      </c>
      <c r="D356" s="27">
        <v>45945</v>
      </c>
      <c r="E356" s="27">
        <v>45031</v>
      </c>
      <c r="F356">
        <v>16.091490920999998</v>
      </c>
      <c r="G356">
        <v>742.22961858999997</v>
      </c>
      <c r="H356">
        <v>97.627399999999994</v>
      </c>
      <c r="I356" t="s">
        <v>114</v>
      </c>
      <c r="J356">
        <v>20210519</v>
      </c>
      <c r="K356" t="s">
        <v>43</v>
      </c>
      <c r="L356" t="s">
        <v>43</v>
      </c>
      <c r="M356" t="s">
        <v>43</v>
      </c>
      <c r="N356" t="s">
        <v>179</v>
      </c>
      <c r="O356" t="s">
        <v>43</v>
      </c>
      <c r="P356" t="s">
        <v>341</v>
      </c>
      <c r="Q356">
        <v>2021</v>
      </c>
      <c r="S356" t="s">
        <v>179</v>
      </c>
      <c r="T356" t="s">
        <v>622</v>
      </c>
      <c r="U356" t="s">
        <v>31</v>
      </c>
    </row>
    <row r="357" spans="1:21" x14ac:dyDescent="0.25">
      <c r="A357" t="s">
        <v>1383</v>
      </c>
      <c r="B357" t="s">
        <v>1383</v>
      </c>
      <c r="C357">
        <v>3.5174538740000001</v>
      </c>
      <c r="D357" s="27">
        <v>45945</v>
      </c>
      <c r="E357" s="27">
        <v>45306</v>
      </c>
      <c r="F357">
        <v>11.792795058999999</v>
      </c>
      <c r="G357">
        <v>601.80479621100005</v>
      </c>
      <c r="H357">
        <v>93.24</v>
      </c>
      <c r="I357" t="s">
        <v>160</v>
      </c>
      <c r="J357">
        <v>20211222</v>
      </c>
      <c r="K357" t="s">
        <v>1376</v>
      </c>
      <c r="L357" t="s">
        <v>43</v>
      </c>
      <c r="M357" t="s">
        <v>43</v>
      </c>
      <c r="N357" t="s">
        <v>43</v>
      </c>
      <c r="O357" t="s">
        <v>43</v>
      </c>
      <c r="P357" t="s">
        <v>390</v>
      </c>
      <c r="Q357">
        <v>2021</v>
      </c>
      <c r="S357" t="s">
        <v>1376</v>
      </c>
      <c r="T357" t="s">
        <v>159</v>
      </c>
      <c r="U357" t="s">
        <v>31</v>
      </c>
    </row>
    <row r="358" spans="1:21" x14ac:dyDescent="0.25">
      <c r="A358" t="s">
        <v>1143</v>
      </c>
      <c r="B358" t="s">
        <v>1143</v>
      </c>
      <c r="C358">
        <v>9.0307088929999999</v>
      </c>
      <c r="D358" s="27">
        <v>45955</v>
      </c>
      <c r="E358" s="27">
        <v>46320</v>
      </c>
      <c r="F358">
        <v>12.145216861</v>
      </c>
      <c r="G358">
        <v>290.32525124900002</v>
      </c>
      <c r="H358">
        <v>101.0003</v>
      </c>
      <c r="I358" t="s">
        <v>111</v>
      </c>
      <c r="J358">
        <v>20241025</v>
      </c>
      <c r="K358" t="s">
        <v>43</v>
      </c>
      <c r="L358" t="s">
        <v>43</v>
      </c>
      <c r="M358" t="s">
        <v>27</v>
      </c>
      <c r="N358" t="s">
        <v>43</v>
      </c>
      <c r="O358" t="s">
        <v>43</v>
      </c>
      <c r="P358" t="s">
        <v>335</v>
      </c>
      <c r="Q358">
        <v>2024</v>
      </c>
      <c r="S358" t="s">
        <v>27</v>
      </c>
      <c r="T358" t="s">
        <v>155</v>
      </c>
      <c r="U358" t="s">
        <v>27</v>
      </c>
    </row>
    <row r="359" spans="1:21" x14ac:dyDescent="0.25">
      <c r="A359" t="s">
        <v>1125</v>
      </c>
      <c r="B359" t="s">
        <v>1125</v>
      </c>
      <c r="C359">
        <v>9.0513523520000003</v>
      </c>
      <c r="D359" s="27">
        <v>45952</v>
      </c>
      <c r="E359" s="27">
        <v>46225</v>
      </c>
      <c r="F359">
        <v>11.941870768999999</v>
      </c>
      <c r="G359">
        <v>339.91588140300001</v>
      </c>
      <c r="H359">
        <v>99.996300000000005</v>
      </c>
      <c r="I359" t="s">
        <v>111</v>
      </c>
      <c r="J359">
        <v>20240809</v>
      </c>
      <c r="K359" t="s">
        <v>43</v>
      </c>
      <c r="L359" t="s">
        <v>43</v>
      </c>
      <c r="M359" t="s">
        <v>27</v>
      </c>
      <c r="N359" t="s">
        <v>43</v>
      </c>
      <c r="O359" t="s">
        <v>43</v>
      </c>
      <c r="P359" t="s">
        <v>335</v>
      </c>
      <c r="Q359">
        <v>2024</v>
      </c>
      <c r="S359" t="s">
        <v>27</v>
      </c>
      <c r="T359" t="s">
        <v>155</v>
      </c>
      <c r="U359" t="s">
        <v>27</v>
      </c>
    </row>
    <row r="360" spans="1:21" x14ac:dyDescent="0.25">
      <c r="A360" t="s">
        <v>1147</v>
      </c>
      <c r="B360" t="s">
        <v>1147</v>
      </c>
      <c r="C360">
        <v>9.3749059779999993</v>
      </c>
      <c r="D360" s="27">
        <v>45953</v>
      </c>
      <c r="E360" s="27">
        <v>46471</v>
      </c>
      <c r="F360">
        <v>12.856417766</v>
      </c>
      <c r="G360">
        <v>259.59933593</v>
      </c>
      <c r="H360">
        <v>100.005</v>
      </c>
      <c r="I360" t="s">
        <v>111</v>
      </c>
      <c r="J360">
        <v>20250325</v>
      </c>
      <c r="K360" t="s">
        <v>43</v>
      </c>
      <c r="L360" t="s">
        <v>43</v>
      </c>
      <c r="M360" t="s">
        <v>169</v>
      </c>
      <c r="N360" t="s">
        <v>43</v>
      </c>
      <c r="O360" t="s">
        <v>43</v>
      </c>
      <c r="P360" t="s">
        <v>335</v>
      </c>
      <c r="Q360">
        <v>2025</v>
      </c>
      <c r="S360" t="s">
        <v>169</v>
      </c>
      <c r="T360" t="s">
        <v>155</v>
      </c>
      <c r="U360" t="s">
        <v>27</v>
      </c>
    </row>
    <row r="361" spans="1:21" x14ac:dyDescent="0.25">
      <c r="A361" t="s">
        <v>1139</v>
      </c>
      <c r="B361" t="s">
        <v>1139</v>
      </c>
      <c r="C361">
        <v>6.578649038</v>
      </c>
      <c r="D361" s="27">
        <v>45951</v>
      </c>
      <c r="E361" s="27">
        <v>45382</v>
      </c>
      <c r="F361">
        <v>10.77049923</v>
      </c>
      <c r="G361">
        <v>316.87751121500003</v>
      </c>
      <c r="H361">
        <v>100.15770000000001</v>
      </c>
      <c r="I361" t="s">
        <v>112</v>
      </c>
      <c r="J361">
        <v>20220331</v>
      </c>
      <c r="K361" t="s">
        <v>43</v>
      </c>
      <c r="L361" t="s">
        <v>43</v>
      </c>
      <c r="M361" t="s">
        <v>169</v>
      </c>
      <c r="N361" t="s">
        <v>43</v>
      </c>
      <c r="O361" t="s">
        <v>43</v>
      </c>
      <c r="P361" t="s">
        <v>335</v>
      </c>
      <c r="Q361">
        <v>2022</v>
      </c>
      <c r="S361" t="s">
        <v>169</v>
      </c>
      <c r="T361" t="s">
        <v>155</v>
      </c>
      <c r="U361" t="s">
        <v>27</v>
      </c>
    </row>
    <row r="362" spans="1:21" x14ac:dyDescent="0.25">
      <c r="A362" t="s">
        <v>671</v>
      </c>
      <c r="B362" t="s">
        <v>671</v>
      </c>
      <c r="C362">
        <v>8.28757375</v>
      </c>
      <c r="D362" s="27">
        <v>45948</v>
      </c>
      <c r="E362" s="27">
        <v>46221</v>
      </c>
      <c r="F362">
        <v>17.826155635999999</v>
      </c>
      <c r="G362">
        <v>202.090982962</v>
      </c>
      <c r="H362">
        <v>100.52030000000001</v>
      </c>
      <c r="I362" t="s">
        <v>111</v>
      </c>
      <c r="J362">
        <v>20240718</v>
      </c>
      <c r="K362" t="s">
        <v>43</v>
      </c>
      <c r="L362" t="s">
        <v>43</v>
      </c>
      <c r="M362" t="s">
        <v>573</v>
      </c>
      <c r="N362" t="s">
        <v>43</v>
      </c>
      <c r="O362" t="s">
        <v>43</v>
      </c>
      <c r="P362" t="s">
        <v>335</v>
      </c>
      <c r="Q362">
        <v>2024</v>
      </c>
      <c r="S362" t="s">
        <v>573</v>
      </c>
      <c r="T362" t="s">
        <v>155</v>
      </c>
      <c r="U362" t="s">
        <v>23</v>
      </c>
    </row>
    <row r="363" spans="1:21" x14ac:dyDescent="0.25">
      <c r="A363" t="s">
        <v>1141</v>
      </c>
      <c r="B363" t="s">
        <v>1141</v>
      </c>
      <c r="C363">
        <v>8.8546129269999998</v>
      </c>
      <c r="D363" s="27">
        <v>45948</v>
      </c>
      <c r="E363" s="27">
        <v>46221</v>
      </c>
      <c r="F363">
        <v>11.813435317</v>
      </c>
      <c r="G363">
        <v>309.081955585</v>
      </c>
      <c r="H363">
        <v>100.3882</v>
      </c>
      <c r="I363" t="s">
        <v>111</v>
      </c>
      <c r="J363">
        <v>20240718</v>
      </c>
      <c r="K363" t="s">
        <v>43</v>
      </c>
      <c r="L363" t="s">
        <v>43</v>
      </c>
      <c r="M363" t="s">
        <v>169</v>
      </c>
      <c r="N363" t="s">
        <v>43</v>
      </c>
      <c r="O363" t="s">
        <v>43</v>
      </c>
      <c r="P363" t="s">
        <v>335</v>
      </c>
      <c r="Q363">
        <v>2024</v>
      </c>
      <c r="S363" t="s">
        <v>169</v>
      </c>
      <c r="T363" t="s">
        <v>155</v>
      </c>
      <c r="U363" t="s">
        <v>27</v>
      </c>
    </row>
    <row r="364" spans="1:21" x14ac:dyDescent="0.25">
      <c r="A364" t="s">
        <v>1127</v>
      </c>
      <c r="B364" t="s">
        <v>1127</v>
      </c>
      <c r="C364">
        <v>4.8816673740000001</v>
      </c>
      <c r="D364" s="27">
        <v>45945</v>
      </c>
      <c r="E364" s="27">
        <v>45031</v>
      </c>
      <c r="F364">
        <v>10.848923362000001</v>
      </c>
      <c r="G364">
        <v>301.12053889100002</v>
      </c>
      <c r="H364">
        <v>100.3659</v>
      </c>
      <c r="I364" t="s">
        <v>112</v>
      </c>
      <c r="J364">
        <v>20220202</v>
      </c>
      <c r="K364" t="s">
        <v>169</v>
      </c>
      <c r="L364" t="s">
        <v>43</v>
      </c>
      <c r="M364" t="s">
        <v>43</v>
      </c>
      <c r="N364" t="s">
        <v>43</v>
      </c>
      <c r="O364" t="s">
        <v>43</v>
      </c>
      <c r="P364" t="s">
        <v>335</v>
      </c>
      <c r="Q364">
        <v>2022</v>
      </c>
      <c r="S364" t="s">
        <v>169</v>
      </c>
      <c r="T364" t="s">
        <v>159</v>
      </c>
      <c r="U364" t="s">
        <v>27</v>
      </c>
    </row>
    <row r="365" spans="1:21" x14ac:dyDescent="0.25">
      <c r="A365" t="s">
        <v>1129</v>
      </c>
      <c r="B365" t="s">
        <v>1129</v>
      </c>
      <c r="C365">
        <v>4.0759011259999998</v>
      </c>
      <c r="D365" s="27">
        <v>45950</v>
      </c>
      <c r="E365" s="27">
        <v>44671</v>
      </c>
      <c r="F365">
        <v>12.100782524</v>
      </c>
      <c r="G365">
        <v>317.20696102900001</v>
      </c>
      <c r="H365">
        <v>100.313</v>
      </c>
      <c r="I365" t="s">
        <v>112</v>
      </c>
      <c r="J365">
        <v>20210420</v>
      </c>
      <c r="K365" t="s">
        <v>169</v>
      </c>
      <c r="L365" t="s">
        <v>43</v>
      </c>
      <c r="M365" t="s">
        <v>43</v>
      </c>
      <c r="N365" t="s">
        <v>43</v>
      </c>
      <c r="O365" t="s">
        <v>43</v>
      </c>
      <c r="P365" t="s">
        <v>335</v>
      </c>
      <c r="Q365">
        <v>2021</v>
      </c>
      <c r="S365" t="s">
        <v>169</v>
      </c>
      <c r="T365" t="s">
        <v>159</v>
      </c>
      <c r="U365" t="s">
        <v>27</v>
      </c>
    </row>
    <row r="366" spans="1:21" x14ac:dyDescent="0.25">
      <c r="A366" t="s">
        <v>1119</v>
      </c>
      <c r="B366" t="s">
        <v>1119</v>
      </c>
      <c r="C366">
        <v>8.3703028600000007</v>
      </c>
      <c r="D366" s="27">
        <v>45945</v>
      </c>
      <c r="E366" s="27">
        <v>46396</v>
      </c>
      <c r="F366">
        <v>13.226648836000001</v>
      </c>
      <c r="G366">
        <v>285.19466826299998</v>
      </c>
      <c r="H366">
        <v>100.30419999999999</v>
      </c>
      <c r="I366" t="s">
        <v>111</v>
      </c>
      <c r="J366">
        <v>20250109</v>
      </c>
      <c r="K366" t="s">
        <v>43</v>
      </c>
      <c r="L366" t="s">
        <v>43</v>
      </c>
      <c r="M366" t="s">
        <v>763</v>
      </c>
      <c r="N366" t="s">
        <v>43</v>
      </c>
      <c r="O366" t="s">
        <v>43</v>
      </c>
      <c r="P366" t="s">
        <v>335</v>
      </c>
      <c r="Q366">
        <v>2025</v>
      </c>
      <c r="S366" t="s">
        <v>763</v>
      </c>
      <c r="T366" t="s">
        <v>155</v>
      </c>
      <c r="U366" t="s">
        <v>27</v>
      </c>
    </row>
    <row r="367" spans="1:21" x14ac:dyDescent="0.25">
      <c r="A367" t="s">
        <v>1117</v>
      </c>
      <c r="B367" t="s">
        <v>1117</v>
      </c>
      <c r="C367">
        <v>4.8130989199999998</v>
      </c>
      <c r="D367" s="27">
        <v>45945</v>
      </c>
      <c r="E367" s="27">
        <v>44849</v>
      </c>
      <c r="F367">
        <v>11.196499884</v>
      </c>
      <c r="G367">
        <v>344.99594603399999</v>
      </c>
      <c r="H367">
        <v>100.2454</v>
      </c>
      <c r="I367" t="s">
        <v>112</v>
      </c>
      <c r="J367">
        <v>20211029</v>
      </c>
      <c r="K367" t="s">
        <v>169</v>
      </c>
      <c r="L367" t="s">
        <v>43</v>
      </c>
      <c r="M367" t="s">
        <v>43</v>
      </c>
      <c r="N367" t="s">
        <v>43</v>
      </c>
      <c r="O367" t="s">
        <v>43</v>
      </c>
      <c r="P367" t="s">
        <v>335</v>
      </c>
      <c r="Q367">
        <v>2021</v>
      </c>
      <c r="S367" t="s">
        <v>169</v>
      </c>
      <c r="T367" t="s">
        <v>159</v>
      </c>
      <c r="U367" t="s">
        <v>27</v>
      </c>
    </row>
    <row r="368" spans="1:21" x14ac:dyDescent="0.25">
      <c r="A368" t="s">
        <v>669</v>
      </c>
      <c r="B368" t="s">
        <v>669</v>
      </c>
      <c r="C368">
        <v>8.7623761210000009</v>
      </c>
      <c r="D368" s="27">
        <v>45945</v>
      </c>
      <c r="E368" s="27">
        <v>46402</v>
      </c>
      <c r="F368">
        <v>18.342440232000001</v>
      </c>
      <c r="G368">
        <v>190.51879334899999</v>
      </c>
      <c r="H368">
        <v>100.6567</v>
      </c>
      <c r="I368" t="s">
        <v>111</v>
      </c>
      <c r="J368">
        <v>20241218</v>
      </c>
      <c r="K368" t="s">
        <v>43</v>
      </c>
      <c r="L368" t="s">
        <v>43</v>
      </c>
      <c r="M368" t="s">
        <v>573</v>
      </c>
      <c r="N368" t="s">
        <v>43</v>
      </c>
      <c r="O368" t="s">
        <v>43</v>
      </c>
      <c r="P368" t="s">
        <v>335</v>
      </c>
      <c r="Q368">
        <v>2024</v>
      </c>
      <c r="S368" t="s">
        <v>573</v>
      </c>
      <c r="T368" t="s">
        <v>155</v>
      </c>
      <c r="U368" t="s">
        <v>23</v>
      </c>
    </row>
    <row r="369" spans="1:21" x14ac:dyDescent="0.25">
      <c r="A369" t="s">
        <v>1121</v>
      </c>
      <c r="B369" t="s">
        <v>1121</v>
      </c>
      <c r="C369">
        <v>9.2316113739999999</v>
      </c>
      <c r="D369" s="27">
        <v>45945</v>
      </c>
      <c r="E369" s="27">
        <v>46402</v>
      </c>
      <c r="F369">
        <v>12.367496834000001</v>
      </c>
      <c r="G369">
        <v>287.70997070099997</v>
      </c>
      <c r="H369">
        <v>100.501</v>
      </c>
      <c r="I369" t="s">
        <v>111</v>
      </c>
      <c r="J369">
        <v>20241218</v>
      </c>
      <c r="K369" t="s">
        <v>43</v>
      </c>
      <c r="L369" t="s">
        <v>43</v>
      </c>
      <c r="M369" t="s">
        <v>169</v>
      </c>
      <c r="N369" t="s">
        <v>43</v>
      </c>
      <c r="O369" t="s">
        <v>43</v>
      </c>
      <c r="P369" t="s">
        <v>335</v>
      </c>
      <c r="Q369">
        <v>2024</v>
      </c>
      <c r="S369" t="s">
        <v>169</v>
      </c>
      <c r="T369" t="s">
        <v>155</v>
      </c>
      <c r="U369" t="s">
        <v>27</v>
      </c>
    </row>
    <row r="370" spans="1:21" x14ac:dyDescent="0.25">
      <c r="A370" t="s">
        <v>585</v>
      </c>
      <c r="B370" t="s">
        <v>585</v>
      </c>
      <c r="C370">
        <v>2.9017850269999999</v>
      </c>
      <c r="F370">
        <v>21.773822043999999</v>
      </c>
      <c r="G370">
        <v>218.99394916599999</v>
      </c>
      <c r="H370">
        <v>100.1879</v>
      </c>
      <c r="I370" t="s">
        <v>112</v>
      </c>
      <c r="J370">
        <v>20210222</v>
      </c>
      <c r="K370" t="s">
        <v>23</v>
      </c>
      <c r="L370" t="s">
        <v>43</v>
      </c>
      <c r="M370" t="s">
        <v>43</v>
      </c>
      <c r="N370" t="s">
        <v>43</v>
      </c>
      <c r="O370" t="s">
        <v>43</v>
      </c>
      <c r="P370" t="s">
        <v>1571</v>
      </c>
      <c r="Q370">
        <v>2021</v>
      </c>
      <c r="S370" t="s">
        <v>23</v>
      </c>
      <c r="T370" t="s">
        <v>159</v>
      </c>
      <c r="U370" t="s">
        <v>23</v>
      </c>
    </row>
    <row r="371" spans="1:21" x14ac:dyDescent="0.25">
      <c r="A371" t="s">
        <v>1135</v>
      </c>
      <c r="B371" t="s">
        <v>1135</v>
      </c>
      <c r="C371">
        <v>6.0841395240000002</v>
      </c>
      <c r="D371" s="27">
        <v>45949</v>
      </c>
      <c r="E371" s="27">
        <v>45126</v>
      </c>
      <c r="F371">
        <v>11.582135095</v>
      </c>
      <c r="G371">
        <v>321.766074102</v>
      </c>
      <c r="H371">
        <v>100.46129999999999</v>
      </c>
      <c r="I371" t="s">
        <v>112</v>
      </c>
      <c r="J371">
        <v>20210628</v>
      </c>
      <c r="K371" t="s">
        <v>169</v>
      </c>
      <c r="L371" t="s">
        <v>43</v>
      </c>
      <c r="M371" t="s">
        <v>43</v>
      </c>
      <c r="N371" t="s">
        <v>43</v>
      </c>
      <c r="O371" t="s">
        <v>43</v>
      </c>
      <c r="P371" t="s">
        <v>335</v>
      </c>
      <c r="Q371">
        <v>2021</v>
      </c>
      <c r="S371" t="s">
        <v>169</v>
      </c>
      <c r="T371" t="s">
        <v>159</v>
      </c>
      <c r="U371" t="s">
        <v>27</v>
      </c>
    </row>
    <row r="372" spans="1:21" x14ac:dyDescent="0.25">
      <c r="A372" t="s">
        <v>1131</v>
      </c>
      <c r="B372" t="s">
        <v>1131</v>
      </c>
      <c r="C372">
        <v>6.0538467149999997</v>
      </c>
      <c r="D372" s="27">
        <v>45947</v>
      </c>
      <c r="E372" s="27">
        <v>45094</v>
      </c>
      <c r="F372">
        <v>11.346323097000001</v>
      </c>
      <c r="G372">
        <v>311.08180850899998</v>
      </c>
      <c r="H372">
        <v>100.2454</v>
      </c>
      <c r="I372" t="s">
        <v>112</v>
      </c>
      <c r="J372">
        <v>20210617</v>
      </c>
      <c r="K372" t="s">
        <v>169</v>
      </c>
      <c r="L372" t="s">
        <v>43</v>
      </c>
      <c r="M372" t="s">
        <v>43</v>
      </c>
      <c r="N372" t="s">
        <v>43</v>
      </c>
      <c r="O372" t="s">
        <v>43</v>
      </c>
      <c r="P372" t="s">
        <v>335</v>
      </c>
      <c r="Q372">
        <v>2021</v>
      </c>
      <c r="S372" t="s">
        <v>169</v>
      </c>
      <c r="T372" t="s">
        <v>159</v>
      </c>
      <c r="U372" t="s">
        <v>27</v>
      </c>
    </row>
    <row r="373" spans="1:21" x14ac:dyDescent="0.25">
      <c r="A373" t="s">
        <v>1123</v>
      </c>
      <c r="B373" t="s">
        <v>1123</v>
      </c>
      <c r="C373">
        <v>8.8334126289999997</v>
      </c>
      <c r="D373" s="27">
        <v>45946</v>
      </c>
      <c r="E373" s="27">
        <v>46219</v>
      </c>
      <c r="F373">
        <v>11.954360748999999</v>
      </c>
      <c r="G373">
        <v>305.70847486899999</v>
      </c>
      <c r="H373">
        <v>100.9504</v>
      </c>
      <c r="I373" t="s">
        <v>111</v>
      </c>
      <c r="J373">
        <v>20240829</v>
      </c>
      <c r="K373" t="s">
        <v>43</v>
      </c>
      <c r="L373" t="s">
        <v>43</v>
      </c>
      <c r="M373" t="s">
        <v>763</v>
      </c>
      <c r="N373" t="s">
        <v>43</v>
      </c>
      <c r="O373" t="s">
        <v>43</v>
      </c>
      <c r="P373" t="s">
        <v>335</v>
      </c>
      <c r="Q373">
        <v>2024</v>
      </c>
      <c r="S373" t="s">
        <v>763</v>
      </c>
      <c r="T373" t="s">
        <v>155</v>
      </c>
      <c r="U373" t="s">
        <v>27</v>
      </c>
    </row>
    <row r="374" spans="1:21" x14ac:dyDescent="0.25">
      <c r="A374" t="s">
        <v>1133</v>
      </c>
      <c r="B374" t="s">
        <v>1133</v>
      </c>
      <c r="C374">
        <v>4.0119716089999997</v>
      </c>
      <c r="D374" s="27">
        <v>45949</v>
      </c>
      <c r="E374" s="27">
        <v>44618</v>
      </c>
      <c r="F374">
        <v>12.228600527999999</v>
      </c>
      <c r="G374">
        <v>313.15938441999998</v>
      </c>
      <c r="H374">
        <v>100.4474</v>
      </c>
      <c r="I374" t="s">
        <v>112</v>
      </c>
      <c r="J374">
        <v>20210226</v>
      </c>
      <c r="K374" t="s">
        <v>169</v>
      </c>
      <c r="L374" t="s">
        <v>43</v>
      </c>
      <c r="M374" t="s">
        <v>43</v>
      </c>
      <c r="N374" t="s">
        <v>43</v>
      </c>
      <c r="O374" t="s">
        <v>43</v>
      </c>
      <c r="P374" t="s">
        <v>335</v>
      </c>
      <c r="Q374">
        <v>2021</v>
      </c>
      <c r="S374" t="s">
        <v>169</v>
      </c>
      <c r="T374" t="s">
        <v>159</v>
      </c>
      <c r="U374" t="s">
        <v>27</v>
      </c>
    </row>
    <row r="375" spans="1:21" x14ac:dyDescent="0.25">
      <c r="A375" t="s">
        <v>1137</v>
      </c>
      <c r="B375" t="s">
        <v>1137</v>
      </c>
      <c r="C375">
        <v>6.469160821</v>
      </c>
      <c r="D375" s="27">
        <v>45952</v>
      </c>
      <c r="E375" s="27">
        <v>45289</v>
      </c>
      <c r="F375">
        <v>10.428775306</v>
      </c>
      <c r="G375">
        <v>347.03383579400003</v>
      </c>
      <c r="H375">
        <v>99.684799999999996</v>
      </c>
      <c r="I375" t="s">
        <v>112</v>
      </c>
      <c r="J375">
        <v>20211229</v>
      </c>
      <c r="K375" t="s">
        <v>169</v>
      </c>
      <c r="L375" t="s">
        <v>43</v>
      </c>
      <c r="M375" t="s">
        <v>43</v>
      </c>
      <c r="N375" t="s">
        <v>43</v>
      </c>
      <c r="O375" t="s">
        <v>43</v>
      </c>
      <c r="P375" t="s">
        <v>335</v>
      </c>
      <c r="Q375">
        <v>2021</v>
      </c>
      <c r="S375" t="s">
        <v>169</v>
      </c>
      <c r="T375" t="s">
        <v>159</v>
      </c>
      <c r="U375" t="s">
        <v>27</v>
      </c>
    </row>
    <row r="376" spans="1:21" x14ac:dyDescent="0.25">
      <c r="A376" t="s">
        <v>675</v>
      </c>
      <c r="B376" t="s">
        <v>675</v>
      </c>
      <c r="C376">
        <v>8.6338724459999998</v>
      </c>
      <c r="D376" s="27">
        <v>45950</v>
      </c>
      <c r="E376" s="27">
        <v>46407</v>
      </c>
      <c r="F376">
        <v>18.127448955999999</v>
      </c>
      <c r="G376">
        <v>173.18261903999999</v>
      </c>
      <c r="H376">
        <v>100.4695</v>
      </c>
      <c r="I376" t="s">
        <v>111</v>
      </c>
      <c r="J376">
        <v>20250115</v>
      </c>
      <c r="K376" t="s">
        <v>43</v>
      </c>
      <c r="L376" t="s">
        <v>43</v>
      </c>
      <c r="M376" t="s">
        <v>573</v>
      </c>
      <c r="N376" t="s">
        <v>43</v>
      </c>
      <c r="O376" t="s">
        <v>43</v>
      </c>
      <c r="P376" t="s">
        <v>335</v>
      </c>
      <c r="Q376">
        <v>2025</v>
      </c>
      <c r="S376" t="s">
        <v>573</v>
      </c>
      <c r="T376" t="s">
        <v>155</v>
      </c>
      <c r="U376" t="s">
        <v>23</v>
      </c>
    </row>
    <row r="377" spans="1:21" x14ac:dyDescent="0.25">
      <c r="A377" t="s">
        <v>1145</v>
      </c>
      <c r="B377" t="s">
        <v>1145</v>
      </c>
      <c r="C377">
        <v>9.1776957479999997</v>
      </c>
      <c r="D377" s="27">
        <v>45950</v>
      </c>
      <c r="E377" s="27">
        <v>46407</v>
      </c>
      <c r="F377">
        <v>12.136774490000001</v>
      </c>
      <c r="G377">
        <v>264.31799430299998</v>
      </c>
      <c r="H377">
        <v>100.39190000000001</v>
      </c>
      <c r="I377" t="s">
        <v>111</v>
      </c>
      <c r="J377">
        <v>20250115</v>
      </c>
      <c r="K377" t="s">
        <v>43</v>
      </c>
      <c r="L377" t="s">
        <v>43</v>
      </c>
      <c r="M377" t="s">
        <v>27</v>
      </c>
      <c r="N377" t="s">
        <v>43</v>
      </c>
      <c r="O377" t="s">
        <v>43</v>
      </c>
      <c r="P377" t="s">
        <v>335</v>
      </c>
      <c r="Q377">
        <v>2025</v>
      </c>
      <c r="S377" t="s">
        <v>27</v>
      </c>
      <c r="T377" t="s">
        <v>155</v>
      </c>
      <c r="U377" t="s">
        <v>27</v>
      </c>
    </row>
    <row r="378" spans="1:21" x14ac:dyDescent="0.25">
      <c r="A378" t="s">
        <v>1110</v>
      </c>
      <c r="B378" t="s">
        <v>1110</v>
      </c>
      <c r="C378">
        <v>6.4531112080000002</v>
      </c>
      <c r="D378" s="27">
        <v>45955</v>
      </c>
      <c r="E378" s="27">
        <v>45275</v>
      </c>
      <c r="F378">
        <v>10.69401332</v>
      </c>
      <c r="G378">
        <v>319.33662651600002</v>
      </c>
      <c r="H378">
        <v>100.6105</v>
      </c>
      <c r="I378" t="s">
        <v>113</v>
      </c>
      <c r="J378">
        <v>20211215</v>
      </c>
      <c r="K378" t="s">
        <v>169</v>
      </c>
      <c r="L378" t="s">
        <v>43</v>
      </c>
      <c r="M378" t="s">
        <v>43</v>
      </c>
      <c r="N378" t="s">
        <v>43</v>
      </c>
      <c r="O378" t="s">
        <v>43</v>
      </c>
      <c r="P378" t="s">
        <v>339</v>
      </c>
      <c r="Q378">
        <v>2021</v>
      </c>
      <c r="S378" t="s">
        <v>169</v>
      </c>
      <c r="T378" t="s">
        <v>159</v>
      </c>
      <c r="U378" t="s">
        <v>27</v>
      </c>
    </row>
    <row r="379" spans="1:21" x14ac:dyDescent="0.25">
      <c r="A379" t="s">
        <v>1112</v>
      </c>
      <c r="B379" t="s">
        <v>1112</v>
      </c>
      <c r="C379">
        <v>6.3546943980000004</v>
      </c>
      <c r="D379" s="27">
        <v>45945</v>
      </c>
      <c r="E379" s="27">
        <v>45397</v>
      </c>
      <c r="F379">
        <v>10.621222633</v>
      </c>
      <c r="G379">
        <v>296.96483753699999</v>
      </c>
      <c r="H379">
        <v>100.4101</v>
      </c>
      <c r="I379" t="s">
        <v>113</v>
      </c>
      <c r="J379">
        <v>20220223</v>
      </c>
      <c r="K379" t="s">
        <v>43</v>
      </c>
      <c r="L379" t="s">
        <v>43</v>
      </c>
      <c r="M379" t="s">
        <v>169</v>
      </c>
      <c r="N379" t="s">
        <v>43</v>
      </c>
      <c r="O379" t="s">
        <v>43</v>
      </c>
      <c r="P379" t="s">
        <v>339</v>
      </c>
      <c r="Q379">
        <v>2022</v>
      </c>
      <c r="S379" t="s">
        <v>169</v>
      </c>
      <c r="T379" t="s">
        <v>155</v>
      </c>
      <c r="U379" t="s">
        <v>27</v>
      </c>
    </row>
    <row r="380" spans="1:21" x14ac:dyDescent="0.25">
      <c r="A380" t="s">
        <v>677</v>
      </c>
      <c r="B380" t="s">
        <v>677</v>
      </c>
      <c r="C380">
        <v>2.6334108020000002</v>
      </c>
      <c r="D380" s="27">
        <v>45945</v>
      </c>
      <c r="E380" s="27">
        <v>45122</v>
      </c>
      <c r="F380">
        <v>21.602694813999999</v>
      </c>
      <c r="G380">
        <v>324.58436588000001</v>
      </c>
      <c r="H380">
        <v>100.2764</v>
      </c>
      <c r="I380" t="s">
        <v>124</v>
      </c>
      <c r="J380">
        <v>20210623</v>
      </c>
      <c r="K380" t="s">
        <v>23</v>
      </c>
      <c r="L380" t="s">
        <v>43</v>
      </c>
      <c r="M380" t="s">
        <v>43</v>
      </c>
      <c r="N380" t="s">
        <v>23</v>
      </c>
      <c r="O380" t="s">
        <v>43</v>
      </c>
      <c r="P380" t="s">
        <v>341</v>
      </c>
      <c r="Q380">
        <v>2021</v>
      </c>
      <c r="S380" t="s">
        <v>23</v>
      </c>
      <c r="T380" t="s">
        <v>159</v>
      </c>
      <c r="U380" t="s">
        <v>23</v>
      </c>
    </row>
    <row r="381" spans="1:21" x14ac:dyDescent="0.25">
      <c r="A381" t="s">
        <v>680</v>
      </c>
      <c r="B381" t="s">
        <v>680</v>
      </c>
      <c r="C381">
        <v>7.1282724100000001</v>
      </c>
      <c r="D381" s="27">
        <v>45945</v>
      </c>
      <c r="E381" s="27">
        <v>46283</v>
      </c>
      <c r="F381">
        <v>24.986358040999999</v>
      </c>
      <c r="G381">
        <v>260.66371138599999</v>
      </c>
      <c r="H381">
        <v>99.084500000000006</v>
      </c>
      <c r="I381" t="s">
        <v>124</v>
      </c>
      <c r="J381">
        <v>20240918</v>
      </c>
      <c r="K381" t="s">
        <v>23</v>
      </c>
      <c r="L381" t="s">
        <v>43</v>
      </c>
      <c r="M381" t="s">
        <v>43</v>
      </c>
      <c r="N381" t="s">
        <v>43</v>
      </c>
      <c r="O381" t="s">
        <v>43</v>
      </c>
      <c r="P381" t="s">
        <v>341</v>
      </c>
      <c r="Q381">
        <v>2024</v>
      </c>
      <c r="S381" t="s">
        <v>23</v>
      </c>
      <c r="T381" t="s">
        <v>159</v>
      </c>
      <c r="U381" t="s">
        <v>23</v>
      </c>
    </row>
    <row r="382" spans="1:21" x14ac:dyDescent="0.25">
      <c r="A382" t="s">
        <v>1159</v>
      </c>
      <c r="B382" t="s">
        <v>1159</v>
      </c>
      <c r="C382">
        <v>7.5585808649999997</v>
      </c>
      <c r="D382" s="27">
        <v>45945</v>
      </c>
      <c r="E382" s="27">
        <v>46283</v>
      </c>
      <c r="F382">
        <v>19.025009012000002</v>
      </c>
      <c r="G382">
        <v>448.39231420099998</v>
      </c>
      <c r="H382">
        <v>101.8399</v>
      </c>
      <c r="I382" t="s">
        <v>124</v>
      </c>
      <c r="J382">
        <v>20240918</v>
      </c>
      <c r="K382" t="s">
        <v>169</v>
      </c>
      <c r="L382" t="s">
        <v>43</v>
      </c>
      <c r="M382" t="s">
        <v>43</v>
      </c>
      <c r="N382" t="s">
        <v>43</v>
      </c>
      <c r="O382" t="s">
        <v>43</v>
      </c>
      <c r="P382" t="s">
        <v>341</v>
      </c>
      <c r="Q382">
        <v>2024</v>
      </c>
      <c r="S382" t="s">
        <v>169</v>
      </c>
      <c r="T382" t="s">
        <v>159</v>
      </c>
      <c r="U382" t="s">
        <v>27</v>
      </c>
    </row>
    <row r="383" spans="1:21" x14ac:dyDescent="0.25">
      <c r="A383" t="s">
        <v>1157</v>
      </c>
      <c r="B383" t="s">
        <v>1157</v>
      </c>
      <c r="C383">
        <v>5.8098467229999997</v>
      </c>
      <c r="D383" s="27">
        <v>45953</v>
      </c>
      <c r="E383" s="27">
        <v>45039</v>
      </c>
      <c r="F383">
        <v>12.422227638000001</v>
      </c>
      <c r="G383">
        <v>350.068617007</v>
      </c>
      <c r="H383">
        <v>100.2834</v>
      </c>
      <c r="I383" t="s">
        <v>212</v>
      </c>
      <c r="J383">
        <v>20210521</v>
      </c>
      <c r="K383" t="s">
        <v>763</v>
      </c>
      <c r="L383" t="s">
        <v>43</v>
      </c>
      <c r="M383" t="s">
        <v>43</v>
      </c>
      <c r="N383" t="s">
        <v>43</v>
      </c>
      <c r="O383" t="s">
        <v>43</v>
      </c>
      <c r="P383" t="s">
        <v>1572</v>
      </c>
      <c r="Q383">
        <v>2021</v>
      </c>
      <c r="S383" t="s">
        <v>763</v>
      </c>
      <c r="T383" t="s">
        <v>159</v>
      </c>
      <c r="U383" t="s">
        <v>27</v>
      </c>
    </row>
    <row r="384" spans="1:21" x14ac:dyDescent="0.25">
      <c r="A384" t="s">
        <v>1154</v>
      </c>
      <c r="B384" t="s">
        <v>1154</v>
      </c>
      <c r="C384">
        <v>6.1676719709999999</v>
      </c>
      <c r="D384" s="27">
        <v>45949</v>
      </c>
      <c r="E384" s="27">
        <v>45246</v>
      </c>
      <c r="F384">
        <v>12.01001393</v>
      </c>
      <c r="G384">
        <v>360.61595884100001</v>
      </c>
      <c r="H384">
        <v>100.26909999999999</v>
      </c>
      <c r="I384" t="s">
        <v>212</v>
      </c>
      <c r="J384">
        <v>20211116</v>
      </c>
      <c r="K384" t="s">
        <v>43</v>
      </c>
      <c r="L384" t="s">
        <v>785</v>
      </c>
      <c r="M384" t="s">
        <v>43</v>
      </c>
      <c r="N384" t="s">
        <v>43</v>
      </c>
      <c r="O384" t="s">
        <v>43</v>
      </c>
      <c r="P384" t="s">
        <v>1573</v>
      </c>
      <c r="Q384">
        <v>2021</v>
      </c>
      <c r="S384" t="s">
        <v>785</v>
      </c>
      <c r="T384" t="s">
        <v>134</v>
      </c>
      <c r="U384" t="s">
        <v>27</v>
      </c>
    </row>
    <row r="385" spans="1:21" x14ac:dyDescent="0.25">
      <c r="A385" t="s">
        <v>564</v>
      </c>
      <c r="B385" t="s">
        <v>564</v>
      </c>
      <c r="C385">
        <v>3.682672202</v>
      </c>
      <c r="D385" s="27">
        <v>45947</v>
      </c>
      <c r="E385" s="27">
        <v>45033</v>
      </c>
      <c r="F385">
        <v>17.381918609</v>
      </c>
      <c r="H385">
        <v>100.28619999999999</v>
      </c>
      <c r="I385" t="s">
        <v>213</v>
      </c>
      <c r="J385">
        <v>20200227</v>
      </c>
      <c r="K385" t="s">
        <v>23</v>
      </c>
      <c r="L385" t="s">
        <v>43</v>
      </c>
      <c r="M385" t="s">
        <v>43</v>
      </c>
      <c r="N385" t="s">
        <v>43</v>
      </c>
      <c r="O385" t="s">
        <v>43</v>
      </c>
      <c r="P385" t="s">
        <v>565</v>
      </c>
      <c r="Q385">
        <v>2020</v>
      </c>
      <c r="S385" t="s">
        <v>23</v>
      </c>
      <c r="T385" t="s">
        <v>159</v>
      </c>
      <c r="U385" t="s">
        <v>23</v>
      </c>
    </row>
    <row r="386" spans="1:21" x14ac:dyDescent="0.25">
      <c r="A386" t="s">
        <v>567</v>
      </c>
      <c r="B386" t="s">
        <v>567</v>
      </c>
      <c r="C386">
        <v>5.3737713730000003</v>
      </c>
      <c r="D386" s="27">
        <v>45950</v>
      </c>
      <c r="E386" s="27">
        <v>45234</v>
      </c>
      <c r="F386">
        <v>18.885951308999999</v>
      </c>
      <c r="G386">
        <v>293.88845093100002</v>
      </c>
      <c r="H386">
        <v>100.32129999999999</v>
      </c>
      <c r="I386" t="s">
        <v>213</v>
      </c>
      <c r="J386">
        <v>20211104</v>
      </c>
      <c r="K386" t="s">
        <v>43</v>
      </c>
      <c r="L386" t="s">
        <v>569</v>
      </c>
      <c r="M386" t="s">
        <v>43</v>
      </c>
      <c r="N386" t="s">
        <v>43</v>
      </c>
      <c r="O386" t="s">
        <v>43</v>
      </c>
      <c r="P386" t="s">
        <v>565</v>
      </c>
      <c r="Q386">
        <v>2021</v>
      </c>
      <c r="S386" t="s">
        <v>569</v>
      </c>
      <c r="T386" t="s">
        <v>134</v>
      </c>
      <c r="U386" t="s">
        <v>23</v>
      </c>
    </row>
    <row r="387" spans="1:21" x14ac:dyDescent="0.25">
      <c r="A387" t="s">
        <v>1149</v>
      </c>
      <c r="B387" t="s">
        <v>1149</v>
      </c>
      <c r="C387">
        <v>6.3799806710000002</v>
      </c>
      <c r="D387" s="27">
        <v>45953</v>
      </c>
      <c r="E387" s="27">
        <v>45836</v>
      </c>
      <c r="F387">
        <v>11.154722792999999</v>
      </c>
      <c r="G387">
        <v>342.661744236</v>
      </c>
      <c r="H387">
        <v>100.1112</v>
      </c>
      <c r="I387" t="s">
        <v>214</v>
      </c>
      <c r="J387">
        <v>20240628</v>
      </c>
      <c r="K387" t="s">
        <v>763</v>
      </c>
      <c r="L387" t="s">
        <v>43</v>
      </c>
      <c r="M387" t="s">
        <v>43</v>
      </c>
      <c r="N387" t="s">
        <v>43</v>
      </c>
      <c r="O387" t="s">
        <v>43</v>
      </c>
      <c r="P387" t="s">
        <v>348</v>
      </c>
      <c r="Q387">
        <v>2024</v>
      </c>
      <c r="S387" t="s">
        <v>763</v>
      </c>
      <c r="T387" t="s">
        <v>159</v>
      </c>
      <c r="U387" t="s">
        <v>27</v>
      </c>
    </row>
    <row r="388" spans="1:21" x14ac:dyDescent="0.25">
      <c r="A388" t="s">
        <v>1166</v>
      </c>
      <c r="B388" t="s">
        <v>1166</v>
      </c>
      <c r="C388">
        <v>8.4864670370000006</v>
      </c>
      <c r="D388" s="27">
        <v>45950</v>
      </c>
      <c r="E388" s="27">
        <v>46365</v>
      </c>
      <c r="F388">
        <v>12.000027115</v>
      </c>
      <c r="G388">
        <v>283.98044937899999</v>
      </c>
      <c r="H388">
        <v>100.3878</v>
      </c>
      <c r="I388" t="s">
        <v>215</v>
      </c>
      <c r="J388">
        <v>20241209</v>
      </c>
      <c r="K388" t="s">
        <v>43</v>
      </c>
      <c r="L388" t="s">
        <v>43</v>
      </c>
      <c r="M388" t="s">
        <v>169</v>
      </c>
      <c r="N388" t="s">
        <v>43</v>
      </c>
      <c r="O388" t="s">
        <v>43</v>
      </c>
      <c r="P388" t="s">
        <v>351</v>
      </c>
      <c r="Q388">
        <v>2024</v>
      </c>
      <c r="S388" t="s">
        <v>169</v>
      </c>
      <c r="T388" t="s">
        <v>155</v>
      </c>
      <c r="U388" t="s">
        <v>27</v>
      </c>
    </row>
    <row r="389" spans="1:21" x14ac:dyDescent="0.25">
      <c r="A389" t="s">
        <v>1164</v>
      </c>
      <c r="B389" t="s">
        <v>1164</v>
      </c>
      <c r="C389">
        <v>9.4796255479999996</v>
      </c>
      <c r="D389" s="27">
        <v>45945</v>
      </c>
      <c r="E389" s="27">
        <v>46437</v>
      </c>
      <c r="F389">
        <v>12.001717855000001</v>
      </c>
      <c r="G389">
        <v>271.05379960699997</v>
      </c>
      <c r="H389">
        <v>99.557299999999998</v>
      </c>
      <c r="I389" t="s">
        <v>215</v>
      </c>
      <c r="J389">
        <v>20250219</v>
      </c>
      <c r="K389" t="s">
        <v>43</v>
      </c>
      <c r="L389" t="s">
        <v>43</v>
      </c>
      <c r="M389" t="s">
        <v>169</v>
      </c>
      <c r="N389" t="s">
        <v>43</v>
      </c>
      <c r="O389" t="s">
        <v>43</v>
      </c>
      <c r="P389" t="s">
        <v>351</v>
      </c>
      <c r="Q389">
        <v>2025</v>
      </c>
      <c r="S389" t="s">
        <v>169</v>
      </c>
      <c r="T389" t="s">
        <v>155</v>
      </c>
      <c r="U389" t="s">
        <v>27</v>
      </c>
    </row>
    <row r="390" spans="1:21" x14ac:dyDescent="0.25">
      <c r="A390" t="s">
        <v>1169</v>
      </c>
      <c r="B390" t="s">
        <v>1169</v>
      </c>
      <c r="C390">
        <v>6.1742103999999998</v>
      </c>
      <c r="D390" s="27">
        <v>45944</v>
      </c>
      <c r="E390" s="27">
        <v>46101</v>
      </c>
      <c r="F390">
        <v>11.125777378</v>
      </c>
      <c r="G390">
        <v>265.615435902</v>
      </c>
      <c r="H390">
        <v>100.2174</v>
      </c>
      <c r="I390" t="s">
        <v>216</v>
      </c>
      <c r="J390">
        <v>20250320</v>
      </c>
      <c r="K390" t="s">
        <v>169</v>
      </c>
      <c r="L390" t="s">
        <v>43</v>
      </c>
      <c r="M390" t="s">
        <v>43</v>
      </c>
      <c r="N390" t="s">
        <v>43</v>
      </c>
      <c r="O390" t="s">
        <v>43</v>
      </c>
      <c r="P390" t="s">
        <v>351</v>
      </c>
      <c r="Q390">
        <v>2025</v>
      </c>
      <c r="S390" t="s">
        <v>169</v>
      </c>
      <c r="T390" t="s">
        <v>159</v>
      </c>
      <c r="U390" t="s">
        <v>27</v>
      </c>
    </row>
    <row r="391" spans="1:21" x14ac:dyDescent="0.25">
      <c r="A391" t="s">
        <v>1161</v>
      </c>
      <c r="B391" t="s">
        <v>1161</v>
      </c>
      <c r="C391">
        <v>3.3646189909999999</v>
      </c>
      <c r="D391" s="27">
        <v>45955</v>
      </c>
      <c r="E391" s="27">
        <v>43671</v>
      </c>
      <c r="F391">
        <v>13.361529319000001</v>
      </c>
      <c r="G391">
        <v>325.83472608300002</v>
      </c>
      <c r="H391">
        <v>100.4456</v>
      </c>
      <c r="I391" t="s">
        <v>85</v>
      </c>
      <c r="J391">
        <v>20210303</v>
      </c>
      <c r="K391" t="s">
        <v>43</v>
      </c>
      <c r="L391" t="s">
        <v>908</v>
      </c>
      <c r="M391" t="s">
        <v>43</v>
      </c>
      <c r="N391" t="s">
        <v>43</v>
      </c>
      <c r="O391" t="s">
        <v>43</v>
      </c>
      <c r="P391" t="s">
        <v>1574</v>
      </c>
      <c r="Q391">
        <v>2021</v>
      </c>
      <c r="S391" t="s">
        <v>908</v>
      </c>
      <c r="T391" t="s">
        <v>134</v>
      </c>
      <c r="U391" t="s">
        <v>27</v>
      </c>
    </row>
    <row r="392" spans="1:21" x14ac:dyDescent="0.25">
      <c r="A392" t="s">
        <v>1363</v>
      </c>
      <c r="B392" t="s">
        <v>1363</v>
      </c>
      <c r="C392">
        <v>5.9432115760000004</v>
      </c>
      <c r="D392" s="27">
        <v>45950</v>
      </c>
      <c r="E392" s="27">
        <v>45127</v>
      </c>
      <c r="F392">
        <v>12.262366335999999</v>
      </c>
      <c r="G392">
        <v>396.69692009800002</v>
      </c>
      <c r="H392">
        <v>100.20399999999999</v>
      </c>
      <c r="I392" t="s">
        <v>152</v>
      </c>
      <c r="J392">
        <v>20210729</v>
      </c>
      <c r="K392" t="s">
        <v>43</v>
      </c>
      <c r="L392" t="s">
        <v>785</v>
      </c>
      <c r="M392" t="s">
        <v>43</v>
      </c>
      <c r="N392" t="s">
        <v>43</v>
      </c>
      <c r="O392" t="s">
        <v>43</v>
      </c>
      <c r="P392" t="s">
        <v>733</v>
      </c>
      <c r="Q392">
        <v>2021</v>
      </c>
      <c r="S392" t="s">
        <v>785</v>
      </c>
      <c r="T392" t="s">
        <v>134</v>
      </c>
      <c r="U392" t="s">
        <v>27</v>
      </c>
    </row>
    <row r="393" spans="1:21" x14ac:dyDescent="0.25">
      <c r="A393" t="s">
        <v>732</v>
      </c>
      <c r="B393" t="s">
        <v>732</v>
      </c>
      <c r="C393">
        <v>5.7796780969999997</v>
      </c>
      <c r="D393" s="27">
        <v>45947</v>
      </c>
      <c r="E393" s="27">
        <v>45216</v>
      </c>
      <c r="F393">
        <v>16.997714115000001</v>
      </c>
      <c r="H393">
        <v>100.005</v>
      </c>
      <c r="I393" t="s">
        <v>152</v>
      </c>
      <c r="J393">
        <v>20211123</v>
      </c>
      <c r="K393" t="s">
        <v>43</v>
      </c>
      <c r="L393" t="s">
        <v>569</v>
      </c>
      <c r="M393" t="s">
        <v>43</v>
      </c>
      <c r="N393" t="s">
        <v>43</v>
      </c>
      <c r="O393" t="s">
        <v>43</v>
      </c>
      <c r="P393" t="s">
        <v>733</v>
      </c>
      <c r="Q393">
        <v>2021</v>
      </c>
      <c r="S393" t="s">
        <v>569</v>
      </c>
      <c r="T393" t="s">
        <v>134</v>
      </c>
      <c r="U393" t="s">
        <v>23</v>
      </c>
    </row>
    <row r="394" spans="1:21" x14ac:dyDescent="0.25">
      <c r="A394" t="s">
        <v>1365</v>
      </c>
      <c r="B394" t="s">
        <v>1365</v>
      </c>
      <c r="C394">
        <v>6.218061413</v>
      </c>
      <c r="D394" s="27">
        <v>45947</v>
      </c>
      <c r="E394" s="27">
        <v>45216</v>
      </c>
      <c r="F394">
        <v>10.442185317</v>
      </c>
      <c r="G394">
        <v>380.89023727300003</v>
      </c>
      <c r="H394">
        <v>99.753799999999998</v>
      </c>
      <c r="I394" t="s">
        <v>152</v>
      </c>
      <c r="J394">
        <v>20211123</v>
      </c>
      <c r="K394" t="s">
        <v>43</v>
      </c>
      <c r="L394" t="s">
        <v>785</v>
      </c>
      <c r="M394" t="s">
        <v>43</v>
      </c>
      <c r="N394" t="s">
        <v>43</v>
      </c>
      <c r="O394" t="s">
        <v>43</v>
      </c>
      <c r="P394" t="s">
        <v>733</v>
      </c>
      <c r="Q394">
        <v>2021</v>
      </c>
      <c r="S394" t="s">
        <v>785</v>
      </c>
      <c r="T394" t="s">
        <v>134</v>
      </c>
      <c r="U394" t="s">
        <v>27</v>
      </c>
    </row>
    <row r="395" spans="1:21" x14ac:dyDescent="0.25">
      <c r="A395" t="s">
        <v>1183</v>
      </c>
      <c r="B395" t="s">
        <v>1183</v>
      </c>
      <c r="C395">
        <v>9.2708154139999994</v>
      </c>
      <c r="D395" s="27">
        <v>45952</v>
      </c>
      <c r="E395" s="27">
        <v>46372</v>
      </c>
      <c r="F395">
        <v>11.889148394999999</v>
      </c>
      <c r="G395">
        <v>263.92980898799999</v>
      </c>
      <c r="H395">
        <v>100.42310000000001</v>
      </c>
      <c r="I395" t="s">
        <v>127</v>
      </c>
      <c r="J395">
        <v>20241216</v>
      </c>
      <c r="K395" t="s">
        <v>169</v>
      </c>
      <c r="L395" t="s">
        <v>43</v>
      </c>
      <c r="M395" t="s">
        <v>43</v>
      </c>
      <c r="N395" t="s">
        <v>43</v>
      </c>
      <c r="O395" t="s">
        <v>43</v>
      </c>
      <c r="P395" t="s">
        <v>356</v>
      </c>
      <c r="Q395">
        <v>2024</v>
      </c>
      <c r="S395" t="s">
        <v>169</v>
      </c>
      <c r="T395" t="s">
        <v>159</v>
      </c>
      <c r="U395" t="s">
        <v>27</v>
      </c>
    </row>
    <row r="396" spans="1:21" x14ac:dyDescent="0.25">
      <c r="A396" t="s">
        <v>1187</v>
      </c>
      <c r="B396" t="s">
        <v>1187</v>
      </c>
      <c r="C396">
        <v>8.8050649920000001</v>
      </c>
      <c r="D396" s="27">
        <v>45950</v>
      </c>
      <c r="E396" s="27">
        <v>46223</v>
      </c>
      <c r="F396">
        <v>11.985213849999999</v>
      </c>
      <c r="G396">
        <v>284.95618268999999</v>
      </c>
      <c r="H396">
        <v>100.3327</v>
      </c>
      <c r="I396" t="s">
        <v>127</v>
      </c>
      <c r="J396">
        <v>20240711</v>
      </c>
      <c r="K396" t="s">
        <v>169</v>
      </c>
      <c r="L396" t="s">
        <v>43</v>
      </c>
      <c r="M396" t="s">
        <v>43</v>
      </c>
      <c r="N396" t="s">
        <v>43</v>
      </c>
      <c r="O396" t="s">
        <v>43</v>
      </c>
      <c r="P396" t="s">
        <v>356</v>
      </c>
      <c r="Q396">
        <v>2024</v>
      </c>
      <c r="S396" t="s">
        <v>169</v>
      </c>
      <c r="T396" t="s">
        <v>159</v>
      </c>
      <c r="U396" t="s">
        <v>27</v>
      </c>
    </row>
    <row r="397" spans="1:21" x14ac:dyDescent="0.25">
      <c r="A397" t="s">
        <v>685</v>
      </c>
      <c r="B397" t="s">
        <v>685</v>
      </c>
      <c r="C397">
        <v>8.2209395460000003</v>
      </c>
      <c r="D397" s="27">
        <v>45950</v>
      </c>
      <c r="E397" s="27">
        <v>46223</v>
      </c>
      <c r="F397">
        <v>17.986221997000001</v>
      </c>
      <c r="G397">
        <v>191.66242638599999</v>
      </c>
      <c r="H397">
        <v>100.54810000000001</v>
      </c>
      <c r="I397" t="s">
        <v>127</v>
      </c>
      <c r="J397">
        <v>20240711</v>
      </c>
      <c r="K397" t="s">
        <v>23</v>
      </c>
      <c r="L397" t="s">
        <v>43</v>
      </c>
      <c r="M397" t="s">
        <v>43</v>
      </c>
      <c r="N397" t="s">
        <v>43</v>
      </c>
      <c r="O397" t="s">
        <v>43</v>
      </c>
      <c r="P397" t="s">
        <v>356</v>
      </c>
      <c r="Q397">
        <v>2024</v>
      </c>
      <c r="S397" t="s">
        <v>23</v>
      </c>
      <c r="T397" t="s">
        <v>159</v>
      </c>
      <c r="U397" t="s">
        <v>23</v>
      </c>
    </row>
    <row r="398" spans="1:21" x14ac:dyDescent="0.25">
      <c r="A398" t="s">
        <v>1210</v>
      </c>
      <c r="B398" t="s">
        <v>1210</v>
      </c>
      <c r="C398">
        <v>9.0507018559999999</v>
      </c>
      <c r="D398" s="27">
        <v>45955</v>
      </c>
      <c r="E398" s="27">
        <v>46320</v>
      </c>
      <c r="F398">
        <v>11.924196997999999</v>
      </c>
      <c r="G398">
        <v>298.30899583299998</v>
      </c>
      <c r="H398">
        <v>100.7937</v>
      </c>
      <c r="I398" t="s">
        <v>217</v>
      </c>
      <c r="J398">
        <v>20240925</v>
      </c>
      <c r="K398" t="s">
        <v>27</v>
      </c>
      <c r="L398" t="s">
        <v>43</v>
      </c>
      <c r="M398" t="s">
        <v>43</v>
      </c>
      <c r="N398" t="s">
        <v>43</v>
      </c>
      <c r="O398" t="s">
        <v>43</v>
      </c>
      <c r="P398" t="s">
        <v>693</v>
      </c>
      <c r="Q398">
        <v>2024</v>
      </c>
      <c r="S398" t="s">
        <v>27</v>
      </c>
      <c r="T398" t="s">
        <v>159</v>
      </c>
      <c r="U398" t="s">
        <v>27</v>
      </c>
    </row>
    <row r="399" spans="1:21" x14ac:dyDescent="0.25">
      <c r="A399" t="s">
        <v>1236</v>
      </c>
      <c r="B399" t="s">
        <v>1236</v>
      </c>
      <c r="C399">
        <v>6.3401163809999996</v>
      </c>
      <c r="D399" s="27">
        <v>45949</v>
      </c>
      <c r="E399" s="27">
        <v>45262</v>
      </c>
      <c r="F399">
        <v>11.412920385</v>
      </c>
      <c r="G399">
        <v>338.025519793</v>
      </c>
      <c r="H399">
        <v>100.4113</v>
      </c>
      <c r="I399" t="s">
        <v>127</v>
      </c>
      <c r="J399">
        <v>20211202</v>
      </c>
      <c r="K399" t="s">
        <v>169</v>
      </c>
      <c r="L399" t="s">
        <v>43</v>
      </c>
      <c r="M399" t="s">
        <v>43</v>
      </c>
      <c r="N399" t="s">
        <v>43</v>
      </c>
      <c r="O399" t="s">
        <v>43</v>
      </c>
      <c r="P399" t="s">
        <v>1239</v>
      </c>
      <c r="Q399">
        <v>2021</v>
      </c>
      <c r="S399" t="s">
        <v>169</v>
      </c>
      <c r="T399" t="s">
        <v>159</v>
      </c>
      <c r="U399" t="s">
        <v>27</v>
      </c>
    </row>
    <row r="400" spans="1:21" x14ac:dyDescent="0.25">
      <c r="A400" t="s">
        <v>1173</v>
      </c>
      <c r="B400" t="s">
        <v>1173</v>
      </c>
      <c r="C400">
        <v>8.255387035</v>
      </c>
      <c r="D400" s="27">
        <v>45951</v>
      </c>
      <c r="E400" s="27">
        <v>46275</v>
      </c>
      <c r="F400">
        <v>11.925521958999999</v>
      </c>
      <c r="G400">
        <v>291.85435162499999</v>
      </c>
      <c r="H400">
        <v>100.5157</v>
      </c>
      <c r="I400" t="s">
        <v>127</v>
      </c>
      <c r="J400">
        <v>20240910</v>
      </c>
      <c r="K400" t="s">
        <v>169</v>
      </c>
      <c r="L400" t="s">
        <v>43</v>
      </c>
      <c r="M400" t="s">
        <v>43</v>
      </c>
      <c r="N400" t="s">
        <v>43</v>
      </c>
      <c r="O400" t="s">
        <v>43</v>
      </c>
      <c r="P400" t="s">
        <v>356</v>
      </c>
      <c r="Q400">
        <v>2024</v>
      </c>
      <c r="S400" t="s">
        <v>169</v>
      </c>
      <c r="T400" t="s">
        <v>159</v>
      </c>
      <c r="U400" t="s">
        <v>27</v>
      </c>
    </row>
    <row r="401" spans="1:21" x14ac:dyDescent="0.25">
      <c r="A401" t="s">
        <v>1238</v>
      </c>
      <c r="B401" t="s">
        <v>1238</v>
      </c>
      <c r="C401">
        <v>8.8457775000000005</v>
      </c>
      <c r="D401" s="27">
        <v>45950</v>
      </c>
      <c r="E401" s="27">
        <v>46176</v>
      </c>
      <c r="F401">
        <v>11.879383364000001</v>
      </c>
      <c r="G401">
        <v>298.26980315200001</v>
      </c>
      <c r="H401">
        <v>100.4465</v>
      </c>
      <c r="I401" t="s">
        <v>127</v>
      </c>
      <c r="J401">
        <v>20240603</v>
      </c>
      <c r="K401" t="s">
        <v>169</v>
      </c>
      <c r="L401" t="s">
        <v>43</v>
      </c>
      <c r="M401" t="s">
        <v>43</v>
      </c>
      <c r="N401" t="s">
        <v>43</v>
      </c>
      <c r="O401" t="s">
        <v>43</v>
      </c>
      <c r="P401" t="s">
        <v>1239</v>
      </c>
      <c r="Q401">
        <v>2024</v>
      </c>
      <c r="S401" t="s">
        <v>169</v>
      </c>
      <c r="T401" t="s">
        <v>159</v>
      </c>
      <c r="U401" t="s">
        <v>27</v>
      </c>
    </row>
    <row r="402" spans="1:21" x14ac:dyDescent="0.25">
      <c r="A402" t="s">
        <v>1204</v>
      </c>
      <c r="B402" t="s">
        <v>1204</v>
      </c>
      <c r="C402">
        <v>8.8929303760000007</v>
      </c>
      <c r="D402" s="27">
        <v>45950</v>
      </c>
      <c r="E402" s="27">
        <v>46407</v>
      </c>
      <c r="F402">
        <v>11.964747543</v>
      </c>
      <c r="G402">
        <v>269.41802625000003</v>
      </c>
      <c r="H402">
        <v>100.3753</v>
      </c>
      <c r="I402" t="s">
        <v>217</v>
      </c>
      <c r="J402">
        <v>20250121</v>
      </c>
      <c r="K402" t="s">
        <v>169</v>
      </c>
      <c r="L402" t="s">
        <v>43</v>
      </c>
      <c r="M402" t="s">
        <v>43</v>
      </c>
      <c r="N402" t="s">
        <v>43</v>
      </c>
      <c r="O402" t="s">
        <v>43</v>
      </c>
      <c r="P402" t="s">
        <v>693</v>
      </c>
      <c r="Q402">
        <v>2025</v>
      </c>
      <c r="S402" t="s">
        <v>169</v>
      </c>
      <c r="T402" t="s">
        <v>159</v>
      </c>
      <c r="U402" t="s">
        <v>27</v>
      </c>
    </row>
    <row r="403" spans="1:21" x14ac:dyDescent="0.25">
      <c r="A403" t="s">
        <v>1181</v>
      </c>
      <c r="B403" t="s">
        <v>1181</v>
      </c>
      <c r="C403">
        <v>9.2585942879999994</v>
      </c>
      <c r="D403" s="27">
        <v>45950</v>
      </c>
      <c r="E403" s="27">
        <v>46407</v>
      </c>
      <c r="F403">
        <v>11.936688683</v>
      </c>
      <c r="G403">
        <v>268.43014655600001</v>
      </c>
      <c r="H403">
        <v>100.4573</v>
      </c>
      <c r="I403" t="s">
        <v>127</v>
      </c>
      <c r="J403">
        <v>20241203</v>
      </c>
      <c r="K403" t="s">
        <v>169</v>
      </c>
      <c r="L403" t="s">
        <v>43</v>
      </c>
      <c r="M403" t="s">
        <v>43</v>
      </c>
      <c r="N403" t="s">
        <v>43</v>
      </c>
      <c r="O403" t="s">
        <v>43</v>
      </c>
      <c r="P403" t="s">
        <v>356</v>
      </c>
      <c r="Q403">
        <v>2024</v>
      </c>
      <c r="S403" t="s">
        <v>169</v>
      </c>
      <c r="T403" t="s">
        <v>159</v>
      </c>
      <c r="U403" t="s">
        <v>27</v>
      </c>
    </row>
    <row r="404" spans="1:21" x14ac:dyDescent="0.25">
      <c r="A404" t="s">
        <v>1179</v>
      </c>
      <c r="B404" t="s">
        <v>1179</v>
      </c>
      <c r="C404">
        <v>8.6662160539999995</v>
      </c>
      <c r="D404" s="27">
        <v>45950</v>
      </c>
      <c r="E404" s="27">
        <v>46122</v>
      </c>
      <c r="F404">
        <v>11.914417628000001</v>
      </c>
      <c r="G404">
        <v>350.34985889299998</v>
      </c>
      <c r="H404">
        <v>100.6186</v>
      </c>
      <c r="I404" t="s">
        <v>127</v>
      </c>
      <c r="J404">
        <v>20240410</v>
      </c>
      <c r="K404" t="s">
        <v>169</v>
      </c>
      <c r="L404" t="s">
        <v>43</v>
      </c>
      <c r="M404" t="s">
        <v>43</v>
      </c>
      <c r="N404" t="s">
        <v>43</v>
      </c>
      <c r="O404" t="s">
        <v>43</v>
      </c>
      <c r="P404" t="s">
        <v>356</v>
      </c>
      <c r="Q404">
        <v>2024</v>
      </c>
      <c r="S404" t="s">
        <v>169</v>
      </c>
      <c r="T404" t="s">
        <v>159</v>
      </c>
      <c r="U404" t="s">
        <v>27</v>
      </c>
    </row>
    <row r="405" spans="1:21" x14ac:dyDescent="0.25">
      <c r="A405" t="s">
        <v>1208</v>
      </c>
      <c r="B405" t="s">
        <v>1208</v>
      </c>
      <c r="C405">
        <v>7.3418136140000003</v>
      </c>
      <c r="D405" s="27">
        <v>45947</v>
      </c>
      <c r="E405" s="27">
        <v>46098</v>
      </c>
      <c r="F405">
        <v>12.121097084000001</v>
      </c>
      <c r="G405">
        <v>242.262870161</v>
      </c>
      <c r="H405">
        <v>100.1563</v>
      </c>
      <c r="I405" t="s">
        <v>217</v>
      </c>
      <c r="J405">
        <v>20250317</v>
      </c>
      <c r="K405" t="s">
        <v>169</v>
      </c>
      <c r="L405" t="s">
        <v>43</v>
      </c>
      <c r="M405" t="s">
        <v>43</v>
      </c>
      <c r="N405" t="s">
        <v>43</v>
      </c>
      <c r="O405" t="s">
        <v>43</v>
      </c>
      <c r="P405" t="s">
        <v>693</v>
      </c>
      <c r="Q405">
        <v>2025</v>
      </c>
      <c r="S405" t="s">
        <v>169</v>
      </c>
      <c r="T405" t="s">
        <v>159</v>
      </c>
      <c r="U405" t="s">
        <v>27</v>
      </c>
    </row>
    <row r="406" spans="1:21" x14ac:dyDescent="0.25">
      <c r="A406" t="s">
        <v>1206</v>
      </c>
      <c r="B406" t="s">
        <v>1206</v>
      </c>
      <c r="C406">
        <v>8.8497823130000004</v>
      </c>
      <c r="D406" s="27">
        <v>45950</v>
      </c>
      <c r="E406" s="27">
        <v>46261</v>
      </c>
      <c r="F406">
        <v>11.950355028000001</v>
      </c>
      <c r="G406">
        <v>296.69582815299998</v>
      </c>
      <c r="H406">
        <v>100.88930000000001</v>
      </c>
      <c r="I406" t="s">
        <v>217</v>
      </c>
      <c r="J406">
        <v>20240827</v>
      </c>
      <c r="K406" t="s">
        <v>27</v>
      </c>
      <c r="L406" t="s">
        <v>43</v>
      </c>
      <c r="M406" t="s">
        <v>43</v>
      </c>
      <c r="N406" t="s">
        <v>43</v>
      </c>
      <c r="O406" t="s">
        <v>43</v>
      </c>
      <c r="P406" t="s">
        <v>693</v>
      </c>
      <c r="Q406">
        <v>2024</v>
      </c>
      <c r="S406" t="s">
        <v>27</v>
      </c>
      <c r="T406" t="s">
        <v>159</v>
      </c>
      <c r="U406" t="s">
        <v>27</v>
      </c>
    </row>
    <row r="407" spans="1:21" x14ac:dyDescent="0.25">
      <c r="A407" t="s">
        <v>692</v>
      </c>
      <c r="B407" t="s">
        <v>692</v>
      </c>
      <c r="C407">
        <v>8.6996069580000004</v>
      </c>
      <c r="D407" s="27">
        <v>45951</v>
      </c>
      <c r="E407" s="27">
        <v>46408</v>
      </c>
      <c r="F407">
        <v>18.044497045</v>
      </c>
      <c r="G407">
        <v>179.36489314400001</v>
      </c>
      <c r="H407">
        <v>100.387</v>
      </c>
      <c r="I407" t="s">
        <v>217</v>
      </c>
      <c r="J407">
        <v>20241227</v>
      </c>
      <c r="K407" t="s">
        <v>23</v>
      </c>
      <c r="L407" t="s">
        <v>43</v>
      </c>
      <c r="M407" t="s">
        <v>43</v>
      </c>
      <c r="N407" t="s">
        <v>43</v>
      </c>
      <c r="O407" t="s">
        <v>43</v>
      </c>
      <c r="P407" t="s">
        <v>693</v>
      </c>
      <c r="Q407">
        <v>2024</v>
      </c>
      <c r="S407" t="s">
        <v>23</v>
      </c>
      <c r="T407" t="s">
        <v>159</v>
      </c>
      <c r="U407" t="s">
        <v>23</v>
      </c>
    </row>
    <row r="408" spans="1:21" x14ac:dyDescent="0.25">
      <c r="A408" t="s">
        <v>1191</v>
      </c>
      <c r="B408" t="s">
        <v>1191</v>
      </c>
      <c r="C408">
        <v>9.0986853199999995</v>
      </c>
      <c r="D408" s="27">
        <v>45945</v>
      </c>
      <c r="E408" s="27">
        <v>46275</v>
      </c>
      <c r="F408">
        <v>11.489954000000001</v>
      </c>
      <c r="G408">
        <v>325.98295675399999</v>
      </c>
      <c r="H408">
        <v>100.26430000000001</v>
      </c>
      <c r="I408" t="s">
        <v>129</v>
      </c>
      <c r="J408">
        <v>20240910</v>
      </c>
      <c r="K408" t="s">
        <v>169</v>
      </c>
      <c r="L408" t="s">
        <v>43</v>
      </c>
      <c r="M408" t="s">
        <v>43</v>
      </c>
      <c r="N408" t="s">
        <v>43</v>
      </c>
      <c r="O408" t="s">
        <v>43</v>
      </c>
      <c r="P408" t="s">
        <v>364</v>
      </c>
      <c r="Q408">
        <v>2024</v>
      </c>
      <c r="S408" t="s">
        <v>169</v>
      </c>
      <c r="T408" t="s">
        <v>159</v>
      </c>
      <c r="U408" t="s">
        <v>27</v>
      </c>
    </row>
    <row r="409" spans="1:21" x14ac:dyDescent="0.25">
      <c r="A409" t="s">
        <v>688</v>
      </c>
      <c r="B409" t="s">
        <v>688</v>
      </c>
      <c r="C409">
        <v>8.6967420969999996</v>
      </c>
      <c r="D409" s="27">
        <v>45945</v>
      </c>
      <c r="E409" s="27">
        <v>46362</v>
      </c>
      <c r="F409">
        <v>19.167905509000001</v>
      </c>
      <c r="G409">
        <v>192.111211258</v>
      </c>
      <c r="H409">
        <v>100.1947</v>
      </c>
      <c r="I409" t="s">
        <v>129</v>
      </c>
      <c r="J409">
        <v>20241206</v>
      </c>
      <c r="K409" t="s">
        <v>573</v>
      </c>
      <c r="L409" t="s">
        <v>43</v>
      </c>
      <c r="M409" t="s">
        <v>43</v>
      </c>
      <c r="N409" t="s">
        <v>43</v>
      </c>
      <c r="O409" t="s">
        <v>43</v>
      </c>
      <c r="P409" t="s">
        <v>364</v>
      </c>
      <c r="Q409">
        <v>2024</v>
      </c>
      <c r="S409" t="s">
        <v>573</v>
      </c>
      <c r="T409" t="s">
        <v>159</v>
      </c>
      <c r="U409" t="s">
        <v>23</v>
      </c>
    </row>
    <row r="410" spans="1:21" x14ac:dyDescent="0.25">
      <c r="A410" t="s">
        <v>1189</v>
      </c>
      <c r="B410" t="s">
        <v>1189</v>
      </c>
      <c r="C410">
        <v>9.3279796919999995</v>
      </c>
      <c r="D410" s="27">
        <v>45945</v>
      </c>
      <c r="E410" s="27">
        <v>46362</v>
      </c>
      <c r="F410">
        <v>12.681379408</v>
      </c>
      <c r="G410">
        <v>294.39574424599999</v>
      </c>
      <c r="H410">
        <v>100.3854</v>
      </c>
      <c r="I410" t="s">
        <v>129</v>
      </c>
      <c r="J410">
        <v>20241206</v>
      </c>
      <c r="K410" t="s">
        <v>763</v>
      </c>
      <c r="L410" t="s">
        <v>43</v>
      </c>
      <c r="M410" t="s">
        <v>43</v>
      </c>
      <c r="N410" t="s">
        <v>43</v>
      </c>
      <c r="O410" t="s">
        <v>43</v>
      </c>
      <c r="P410" t="s">
        <v>364</v>
      </c>
      <c r="Q410">
        <v>2024</v>
      </c>
      <c r="S410" t="s">
        <v>763</v>
      </c>
      <c r="T410" t="s">
        <v>159</v>
      </c>
      <c r="U410" t="s">
        <v>27</v>
      </c>
    </row>
    <row r="411" spans="1:21" x14ac:dyDescent="0.25">
      <c r="A411" t="s">
        <v>1193</v>
      </c>
      <c r="B411" t="s">
        <v>1193</v>
      </c>
      <c r="C411">
        <v>9.4396035210000004</v>
      </c>
      <c r="F411">
        <v>12.489411711000001</v>
      </c>
      <c r="G411">
        <v>264.48537290799999</v>
      </c>
      <c r="H411">
        <v>100.3845</v>
      </c>
      <c r="I411" t="s">
        <v>221</v>
      </c>
      <c r="J411">
        <v>20250411</v>
      </c>
      <c r="K411" t="s">
        <v>27</v>
      </c>
      <c r="L411" t="s">
        <v>43</v>
      </c>
      <c r="M411" t="s">
        <v>43</v>
      </c>
      <c r="N411" t="s">
        <v>43</v>
      </c>
      <c r="O411" t="s">
        <v>43</v>
      </c>
      <c r="P411" t="s">
        <v>364</v>
      </c>
      <c r="Q411">
        <v>2025</v>
      </c>
      <c r="S411" t="s">
        <v>27</v>
      </c>
      <c r="T411" t="s">
        <v>159</v>
      </c>
      <c r="U411" t="s">
        <v>27</v>
      </c>
    </row>
    <row r="412" spans="1:21" x14ac:dyDescent="0.25">
      <c r="A412" t="s">
        <v>690</v>
      </c>
      <c r="B412" t="s">
        <v>690</v>
      </c>
      <c r="C412">
        <v>8.7709917419999996</v>
      </c>
      <c r="D412" s="27">
        <v>45945</v>
      </c>
      <c r="E412" s="27">
        <v>46402</v>
      </c>
      <c r="F412">
        <v>17.968499622</v>
      </c>
      <c r="G412">
        <v>182.599077131</v>
      </c>
      <c r="H412">
        <v>100.51430000000001</v>
      </c>
      <c r="I412" t="s">
        <v>221</v>
      </c>
      <c r="J412">
        <v>20241220</v>
      </c>
      <c r="K412" t="s">
        <v>23</v>
      </c>
      <c r="L412" t="s">
        <v>43</v>
      </c>
      <c r="M412" t="s">
        <v>43</v>
      </c>
      <c r="N412" t="s">
        <v>43</v>
      </c>
      <c r="O412" t="s">
        <v>43</v>
      </c>
      <c r="P412" t="s">
        <v>364</v>
      </c>
      <c r="Q412">
        <v>2024</v>
      </c>
      <c r="S412" t="s">
        <v>23</v>
      </c>
      <c r="T412" t="s">
        <v>159</v>
      </c>
      <c r="U412" t="s">
        <v>23</v>
      </c>
    </row>
    <row r="413" spans="1:21" x14ac:dyDescent="0.25">
      <c r="A413" t="s">
        <v>1212</v>
      </c>
      <c r="B413" t="s">
        <v>1212</v>
      </c>
      <c r="C413">
        <v>9.4318943019999999</v>
      </c>
      <c r="D413" s="27">
        <v>45946</v>
      </c>
      <c r="E413" s="27">
        <v>46472</v>
      </c>
      <c r="F413">
        <v>12.06514451</v>
      </c>
      <c r="G413">
        <v>242.20671390699999</v>
      </c>
      <c r="H413">
        <v>100.53830000000001</v>
      </c>
      <c r="I413" t="s">
        <v>217</v>
      </c>
      <c r="J413">
        <v>20250326</v>
      </c>
      <c r="K413" t="s">
        <v>169</v>
      </c>
      <c r="L413" t="s">
        <v>43</v>
      </c>
      <c r="M413" t="s">
        <v>43</v>
      </c>
      <c r="N413" t="s">
        <v>43</v>
      </c>
      <c r="O413" t="s">
        <v>43</v>
      </c>
      <c r="P413" t="s">
        <v>693</v>
      </c>
      <c r="Q413">
        <v>2025</v>
      </c>
      <c r="S413" t="s">
        <v>169</v>
      </c>
      <c r="T413" t="s">
        <v>159</v>
      </c>
      <c r="U413" t="s">
        <v>27</v>
      </c>
    </row>
    <row r="414" spans="1:21" x14ac:dyDescent="0.25">
      <c r="A414" t="s">
        <v>1219</v>
      </c>
      <c r="B414" t="s">
        <v>1219</v>
      </c>
      <c r="C414">
        <v>4.6780564289999997</v>
      </c>
      <c r="D414" s="27">
        <v>45955</v>
      </c>
      <c r="E414" s="27">
        <v>45772</v>
      </c>
      <c r="F414">
        <v>11.556790697</v>
      </c>
      <c r="G414">
        <v>409.88136086399999</v>
      </c>
      <c r="H414">
        <v>100.2372</v>
      </c>
      <c r="I414" t="s">
        <v>130</v>
      </c>
      <c r="J414">
        <v>20190913</v>
      </c>
      <c r="K414" t="s">
        <v>43</v>
      </c>
      <c r="L414" t="s">
        <v>785</v>
      </c>
      <c r="M414" t="s">
        <v>43</v>
      </c>
      <c r="N414" t="s">
        <v>43</v>
      </c>
      <c r="O414" t="s">
        <v>43</v>
      </c>
      <c r="P414" t="s">
        <v>1575</v>
      </c>
      <c r="Q414">
        <v>2019</v>
      </c>
      <c r="S414" t="s">
        <v>785</v>
      </c>
      <c r="T414" t="s">
        <v>134</v>
      </c>
      <c r="U414" t="s">
        <v>27</v>
      </c>
    </row>
    <row r="415" spans="1:21" x14ac:dyDescent="0.25">
      <c r="A415" t="s">
        <v>1223</v>
      </c>
      <c r="B415" t="s">
        <v>1223</v>
      </c>
      <c r="C415">
        <v>9.3028813039999996</v>
      </c>
      <c r="D415" s="27">
        <v>45952</v>
      </c>
      <c r="E415" s="27">
        <v>46409</v>
      </c>
      <c r="F415">
        <v>12.261381796</v>
      </c>
      <c r="G415">
        <v>283.14639329599999</v>
      </c>
      <c r="H415">
        <v>100.4744</v>
      </c>
      <c r="I415" t="s">
        <v>130</v>
      </c>
      <c r="J415">
        <v>20250110</v>
      </c>
      <c r="K415" t="s">
        <v>43</v>
      </c>
      <c r="L415" t="s">
        <v>43</v>
      </c>
      <c r="M415" t="s">
        <v>169</v>
      </c>
      <c r="N415" t="s">
        <v>43</v>
      </c>
      <c r="O415" t="s">
        <v>43</v>
      </c>
      <c r="P415" t="s">
        <v>1576</v>
      </c>
      <c r="Q415">
        <v>2025</v>
      </c>
      <c r="S415" t="s">
        <v>169</v>
      </c>
      <c r="T415" t="s">
        <v>155</v>
      </c>
      <c r="U415" t="s">
        <v>27</v>
      </c>
    </row>
    <row r="416" spans="1:21" x14ac:dyDescent="0.25">
      <c r="A416" t="s">
        <v>1227</v>
      </c>
      <c r="B416" t="s">
        <v>1227</v>
      </c>
      <c r="C416">
        <v>5.9896885720000004</v>
      </c>
      <c r="D416" s="27">
        <v>45945</v>
      </c>
      <c r="E416" s="27">
        <v>45122</v>
      </c>
      <c r="F416">
        <v>10.113190807000001</v>
      </c>
      <c r="G416">
        <v>327.84966778799998</v>
      </c>
      <c r="H416">
        <v>100.1546</v>
      </c>
      <c r="I416" t="s">
        <v>130</v>
      </c>
      <c r="J416">
        <v>20210714</v>
      </c>
      <c r="K416" t="s">
        <v>43</v>
      </c>
      <c r="L416" t="s">
        <v>785</v>
      </c>
      <c r="M416" t="s">
        <v>43</v>
      </c>
      <c r="N416" t="s">
        <v>43</v>
      </c>
      <c r="O416" t="s">
        <v>43</v>
      </c>
      <c r="P416" t="s">
        <v>1577</v>
      </c>
      <c r="Q416">
        <v>2021</v>
      </c>
      <c r="S416" t="s">
        <v>785</v>
      </c>
      <c r="T416" t="s">
        <v>134</v>
      </c>
      <c r="U416" t="s">
        <v>27</v>
      </c>
    </row>
    <row r="417" spans="1:21" x14ac:dyDescent="0.25">
      <c r="A417" t="s">
        <v>1221</v>
      </c>
      <c r="B417" t="s">
        <v>1221</v>
      </c>
      <c r="C417">
        <v>6.4799685450000002</v>
      </c>
      <c r="D417" s="27">
        <v>45945</v>
      </c>
      <c r="E417" s="27">
        <v>45397</v>
      </c>
      <c r="F417">
        <v>9.0579098939999998</v>
      </c>
      <c r="G417">
        <v>357.830071444</v>
      </c>
      <c r="H417">
        <v>98.014499999999998</v>
      </c>
      <c r="I417" t="s">
        <v>130</v>
      </c>
      <c r="J417">
        <v>20220304</v>
      </c>
      <c r="K417" t="s">
        <v>169</v>
      </c>
      <c r="L417" t="s">
        <v>43</v>
      </c>
      <c r="M417" t="s">
        <v>43</v>
      </c>
      <c r="N417" t="s">
        <v>43</v>
      </c>
      <c r="O417" t="s">
        <v>43</v>
      </c>
      <c r="P417" t="s">
        <v>1578</v>
      </c>
      <c r="Q417">
        <v>2022</v>
      </c>
      <c r="S417" t="s">
        <v>169</v>
      </c>
      <c r="T417" t="s">
        <v>159</v>
      </c>
      <c r="U417" t="s">
        <v>27</v>
      </c>
    </row>
    <row r="418" spans="1:21" x14ac:dyDescent="0.25">
      <c r="A418" t="s">
        <v>1225</v>
      </c>
      <c r="B418" t="s">
        <v>1225</v>
      </c>
      <c r="C418">
        <v>8.6634616520000005</v>
      </c>
      <c r="D418" s="27">
        <v>45945</v>
      </c>
      <c r="E418" s="27">
        <v>46075</v>
      </c>
      <c r="F418">
        <v>11.664110109999999</v>
      </c>
      <c r="G418">
        <v>398.79715744700002</v>
      </c>
      <c r="H418">
        <v>100.38500000000001</v>
      </c>
      <c r="I418" t="s">
        <v>130</v>
      </c>
      <c r="J418">
        <v>20240222</v>
      </c>
      <c r="K418" t="s">
        <v>169</v>
      </c>
      <c r="L418" t="s">
        <v>43</v>
      </c>
      <c r="M418" t="s">
        <v>43</v>
      </c>
      <c r="N418" t="s">
        <v>43</v>
      </c>
      <c r="O418" t="s">
        <v>43</v>
      </c>
      <c r="P418" t="s">
        <v>1579</v>
      </c>
      <c r="Q418">
        <v>2024</v>
      </c>
      <c r="S418" t="s">
        <v>169</v>
      </c>
      <c r="T418" t="s">
        <v>159</v>
      </c>
      <c r="U418" t="s">
        <v>27</v>
      </c>
    </row>
    <row r="419" spans="1:21" x14ac:dyDescent="0.25">
      <c r="A419" t="s">
        <v>1214</v>
      </c>
      <c r="B419" t="s">
        <v>1214</v>
      </c>
      <c r="C419">
        <v>3.242261461</v>
      </c>
      <c r="D419" s="27">
        <v>45947</v>
      </c>
      <c r="E419" s="27">
        <v>44029</v>
      </c>
      <c r="F419">
        <v>13.032905514999999</v>
      </c>
      <c r="G419">
        <v>310.06510001300001</v>
      </c>
      <c r="H419">
        <v>100.45610000000001</v>
      </c>
      <c r="I419" t="s">
        <v>130</v>
      </c>
      <c r="J419">
        <v>20180717</v>
      </c>
      <c r="K419" t="s">
        <v>169</v>
      </c>
      <c r="L419" t="s">
        <v>43</v>
      </c>
      <c r="M419" t="s">
        <v>43</v>
      </c>
      <c r="N419" t="s">
        <v>43</v>
      </c>
      <c r="O419" t="s">
        <v>43</v>
      </c>
      <c r="P419" t="s">
        <v>370</v>
      </c>
      <c r="Q419">
        <v>2018</v>
      </c>
      <c r="S419" t="s">
        <v>169</v>
      </c>
      <c r="T419" t="s">
        <v>159</v>
      </c>
      <c r="U419" t="s">
        <v>27</v>
      </c>
    </row>
    <row r="420" spans="1:21" x14ac:dyDescent="0.25">
      <c r="A420" t="s">
        <v>1217</v>
      </c>
      <c r="B420" t="s">
        <v>1217</v>
      </c>
      <c r="C420">
        <v>3.1716607560000001</v>
      </c>
      <c r="D420" s="27">
        <v>45950</v>
      </c>
      <c r="E420" s="27">
        <v>45553</v>
      </c>
      <c r="F420">
        <v>19.038389585000001</v>
      </c>
      <c r="G420">
        <v>311.82993430599998</v>
      </c>
      <c r="H420">
        <v>100.252</v>
      </c>
      <c r="I420" t="s">
        <v>130</v>
      </c>
      <c r="J420">
        <v>20181128</v>
      </c>
      <c r="K420" t="s">
        <v>43</v>
      </c>
      <c r="L420" t="s">
        <v>915</v>
      </c>
      <c r="M420" t="s">
        <v>43</v>
      </c>
      <c r="N420" t="s">
        <v>43</v>
      </c>
      <c r="O420" t="s">
        <v>43</v>
      </c>
      <c r="P420" t="s">
        <v>1580</v>
      </c>
      <c r="Q420">
        <v>2018</v>
      </c>
      <c r="S420" t="s">
        <v>915</v>
      </c>
      <c r="T420" t="s">
        <v>134</v>
      </c>
      <c r="U420" t="s">
        <v>27</v>
      </c>
    </row>
    <row r="421" spans="1:21" x14ac:dyDescent="0.25">
      <c r="A421" t="s">
        <v>1229</v>
      </c>
      <c r="B421" t="s">
        <v>1229</v>
      </c>
      <c r="C421">
        <v>9.0544673150000001</v>
      </c>
      <c r="D421" s="27">
        <v>45950</v>
      </c>
      <c r="E421" s="27">
        <v>46315</v>
      </c>
      <c r="F421">
        <v>12.846340079999999</v>
      </c>
      <c r="G421">
        <v>299.59756122900001</v>
      </c>
      <c r="H421">
        <v>100.7038</v>
      </c>
      <c r="I421" t="s">
        <v>130</v>
      </c>
      <c r="J421">
        <v>20241021</v>
      </c>
      <c r="K421" t="s">
        <v>43</v>
      </c>
      <c r="L421" t="s">
        <v>43</v>
      </c>
      <c r="M421" t="s">
        <v>169</v>
      </c>
      <c r="N421" t="s">
        <v>43</v>
      </c>
      <c r="O421" t="s">
        <v>43</v>
      </c>
      <c r="P421" t="s">
        <v>1581</v>
      </c>
      <c r="Q421">
        <v>2024</v>
      </c>
      <c r="S421" t="s">
        <v>169</v>
      </c>
      <c r="T421" t="s">
        <v>155</v>
      </c>
      <c r="U421" t="s">
        <v>27</v>
      </c>
    </row>
    <row r="422" spans="1:21" x14ac:dyDescent="0.25">
      <c r="A422" t="s">
        <v>1234</v>
      </c>
      <c r="B422" t="s">
        <v>1234</v>
      </c>
      <c r="C422">
        <v>9.4914776379999992</v>
      </c>
      <c r="D422" s="27">
        <v>45952</v>
      </c>
      <c r="E422" s="27">
        <v>46499</v>
      </c>
      <c r="F422">
        <v>12.113317849</v>
      </c>
      <c r="G422">
        <v>250.805644091</v>
      </c>
      <c r="H422">
        <v>100.6587</v>
      </c>
      <c r="I422" t="s">
        <v>130</v>
      </c>
      <c r="J422">
        <v>20250328</v>
      </c>
      <c r="K422" t="s">
        <v>43</v>
      </c>
      <c r="L422" t="s">
        <v>43</v>
      </c>
      <c r="M422" t="s">
        <v>169</v>
      </c>
      <c r="N422" t="s">
        <v>43</v>
      </c>
      <c r="O422" t="s">
        <v>43</v>
      </c>
      <c r="P422" t="s">
        <v>1582</v>
      </c>
      <c r="Q422">
        <v>2025</v>
      </c>
      <c r="S422" t="s">
        <v>169</v>
      </c>
      <c r="T422" t="s">
        <v>155</v>
      </c>
      <c r="U422" t="s">
        <v>27</v>
      </c>
    </row>
    <row r="423" spans="1:21" x14ac:dyDescent="0.25">
      <c r="A423" t="s">
        <v>1231</v>
      </c>
      <c r="B423" t="s">
        <v>1231</v>
      </c>
      <c r="C423">
        <v>7.9476811170000001</v>
      </c>
      <c r="D423" s="27">
        <v>45950</v>
      </c>
      <c r="E423" s="27">
        <v>45950</v>
      </c>
      <c r="F423">
        <v>12.071532547</v>
      </c>
      <c r="G423">
        <v>411.12574331600001</v>
      </c>
      <c r="H423">
        <v>100.517</v>
      </c>
      <c r="I423" t="s">
        <v>130</v>
      </c>
      <c r="J423">
        <v>20231109</v>
      </c>
      <c r="K423" t="s">
        <v>43</v>
      </c>
      <c r="L423" t="s">
        <v>43</v>
      </c>
      <c r="M423" t="s">
        <v>169</v>
      </c>
      <c r="N423" t="s">
        <v>43</v>
      </c>
      <c r="O423" t="s">
        <v>43</v>
      </c>
      <c r="P423" t="s">
        <v>1583</v>
      </c>
      <c r="Q423">
        <v>2023</v>
      </c>
      <c r="S423" t="s">
        <v>169</v>
      </c>
      <c r="T423" t="s">
        <v>155</v>
      </c>
      <c r="U423" t="s">
        <v>27</v>
      </c>
    </row>
    <row r="424" spans="1:21" x14ac:dyDescent="0.25">
      <c r="A424" t="s">
        <v>1175</v>
      </c>
      <c r="B424" t="s">
        <v>1175</v>
      </c>
      <c r="C424">
        <v>9.2305555560000005</v>
      </c>
      <c r="D424" s="27">
        <v>45951</v>
      </c>
      <c r="E424" s="27">
        <v>46236</v>
      </c>
      <c r="F424">
        <v>10.721297354000001</v>
      </c>
      <c r="G424">
        <v>410.24045592800002</v>
      </c>
      <c r="H424">
        <v>100.6371</v>
      </c>
      <c r="I424" t="s">
        <v>127</v>
      </c>
      <c r="J424">
        <v>20240802</v>
      </c>
      <c r="K424" t="s">
        <v>169</v>
      </c>
      <c r="L424" t="s">
        <v>43</v>
      </c>
      <c r="M424" t="s">
        <v>43</v>
      </c>
      <c r="N424" t="s">
        <v>43</v>
      </c>
      <c r="O424" t="s">
        <v>43</v>
      </c>
      <c r="P424" t="s">
        <v>356</v>
      </c>
      <c r="Q424">
        <v>2024</v>
      </c>
      <c r="S424" t="s">
        <v>169</v>
      </c>
      <c r="T424" t="s">
        <v>159</v>
      </c>
      <c r="U424" t="s">
        <v>27</v>
      </c>
    </row>
    <row r="425" spans="1:21" x14ac:dyDescent="0.25">
      <c r="A425" t="s">
        <v>682</v>
      </c>
      <c r="B425" t="s">
        <v>682</v>
      </c>
      <c r="C425">
        <v>7.7114266970000003</v>
      </c>
      <c r="D425" s="27">
        <v>45950</v>
      </c>
      <c r="E425" s="27">
        <v>46132</v>
      </c>
      <c r="F425">
        <v>17.980870631999998</v>
      </c>
      <c r="G425">
        <v>224.15269092899999</v>
      </c>
      <c r="H425">
        <v>100.6704</v>
      </c>
      <c r="I425" t="s">
        <v>127</v>
      </c>
      <c r="J425">
        <v>20240328</v>
      </c>
      <c r="K425" t="s">
        <v>23</v>
      </c>
      <c r="L425" t="s">
        <v>43</v>
      </c>
      <c r="M425" t="s">
        <v>43</v>
      </c>
      <c r="N425" t="s">
        <v>43</v>
      </c>
      <c r="O425" t="s">
        <v>43</v>
      </c>
      <c r="P425" t="s">
        <v>356</v>
      </c>
      <c r="Q425">
        <v>2024</v>
      </c>
      <c r="S425" t="s">
        <v>23</v>
      </c>
      <c r="T425" t="s">
        <v>159</v>
      </c>
      <c r="U425" t="s">
        <v>23</v>
      </c>
    </row>
    <row r="426" spans="1:21" x14ac:dyDescent="0.25">
      <c r="A426" t="s">
        <v>1177</v>
      </c>
      <c r="B426" t="s">
        <v>1177</v>
      </c>
      <c r="C426">
        <v>8.220652394</v>
      </c>
      <c r="D426" s="27">
        <v>45950</v>
      </c>
      <c r="E426" s="27">
        <v>46132</v>
      </c>
      <c r="F426">
        <v>12.729645886</v>
      </c>
      <c r="G426">
        <v>332.99854204100001</v>
      </c>
      <c r="H426">
        <v>100.7474</v>
      </c>
      <c r="I426" t="s">
        <v>127</v>
      </c>
      <c r="J426">
        <v>20240328</v>
      </c>
      <c r="K426" t="s">
        <v>27</v>
      </c>
      <c r="L426" t="s">
        <v>43</v>
      </c>
      <c r="M426" t="s">
        <v>43</v>
      </c>
      <c r="N426" t="s">
        <v>43</v>
      </c>
      <c r="O426" t="s">
        <v>43</v>
      </c>
      <c r="P426" t="s">
        <v>356</v>
      </c>
      <c r="Q426">
        <v>2024</v>
      </c>
      <c r="S426" t="s">
        <v>27</v>
      </c>
      <c r="T426" t="s">
        <v>159</v>
      </c>
      <c r="U426" t="s">
        <v>27</v>
      </c>
    </row>
    <row r="427" spans="1:21" x14ac:dyDescent="0.25">
      <c r="A427" t="s">
        <v>1171</v>
      </c>
      <c r="B427" t="s">
        <v>1171</v>
      </c>
      <c r="C427">
        <v>9.3192894129999999</v>
      </c>
      <c r="D427" s="27">
        <v>45950</v>
      </c>
      <c r="E427" s="27">
        <v>46457</v>
      </c>
      <c r="F427">
        <v>11.934857134</v>
      </c>
      <c r="G427">
        <v>254.08030531399999</v>
      </c>
      <c r="H427">
        <v>99.700699999999998</v>
      </c>
      <c r="I427" t="s">
        <v>127</v>
      </c>
      <c r="J427">
        <v>20250311</v>
      </c>
      <c r="K427" t="s">
        <v>169</v>
      </c>
      <c r="L427" t="s">
        <v>43</v>
      </c>
      <c r="M427" t="s">
        <v>43</v>
      </c>
      <c r="N427" t="s">
        <v>43</v>
      </c>
      <c r="O427" t="s">
        <v>43</v>
      </c>
      <c r="P427" t="s">
        <v>356</v>
      </c>
      <c r="Q427">
        <v>2025</v>
      </c>
      <c r="S427" t="s">
        <v>169</v>
      </c>
      <c r="T427" t="s">
        <v>159</v>
      </c>
      <c r="U427" t="s">
        <v>27</v>
      </c>
    </row>
    <row r="428" spans="1:21" x14ac:dyDescent="0.25">
      <c r="A428" t="s">
        <v>1185</v>
      </c>
      <c r="B428" t="s">
        <v>1185</v>
      </c>
      <c r="C428">
        <v>9.0338301679999997</v>
      </c>
      <c r="D428" s="27">
        <v>45950</v>
      </c>
      <c r="E428" s="27">
        <v>46396</v>
      </c>
      <c r="F428">
        <v>11.91333867</v>
      </c>
      <c r="G428">
        <v>271.03684029700003</v>
      </c>
      <c r="H428">
        <v>99.573499999999996</v>
      </c>
      <c r="I428" t="s">
        <v>127</v>
      </c>
      <c r="J428">
        <v>20250109</v>
      </c>
      <c r="K428" t="s">
        <v>169</v>
      </c>
      <c r="L428" t="s">
        <v>43</v>
      </c>
      <c r="M428" t="s">
        <v>43</v>
      </c>
      <c r="N428" t="s">
        <v>43</v>
      </c>
      <c r="O428" t="s">
        <v>43</v>
      </c>
      <c r="P428" t="s">
        <v>356</v>
      </c>
      <c r="Q428">
        <v>2025</v>
      </c>
      <c r="S428" t="s">
        <v>169</v>
      </c>
      <c r="T428" t="s">
        <v>159</v>
      </c>
      <c r="U428" t="s">
        <v>27</v>
      </c>
    </row>
    <row r="429" spans="1:21" x14ac:dyDescent="0.25">
      <c r="A429" t="s">
        <v>767</v>
      </c>
      <c r="B429" t="s">
        <v>767</v>
      </c>
      <c r="C429">
        <v>8.7571252529999999</v>
      </c>
      <c r="D429" s="27">
        <v>45955</v>
      </c>
      <c r="E429" s="27">
        <v>46187</v>
      </c>
      <c r="F429">
        <v>12.096093314000001</v>
      </c>
      <c r="G429">
        <v>346.29219905600002</v>
      </c>
      <c r="H429">
        <v>100.56189999999999</v>
      </c>
      <c r="I429" t="s">
        <v>222</v>
      </c>
      <c r="J429">
        <v>20240614</v>
      </c>
      <c r="K429" t="s">
        <v>169</v>
      </c>
      <c r="L429" t="s">
        <v>43</v>
      </c>
      <c r="M429" t="s">
        <v>43</v>
      </c>
      <c r="N429" t="s">
        <v>43</v>
      </c>
      <c r="O429" t="s">
        <v>43</v>
      </c>
      <c r="P429" t="s">
        <v>1584</v>
      </c>
      <c r="Q429">
        <v>2024</v>
      </c>
      <c r="S429" t="s">
        <v>169</v>
      </c>
      <c r="T429" t="s">
        <v>159</v>
      </c>
      <c r="U429" t="s">
        <v>27</v>
      </c>
    </row>
    <row r="430" spans="1:21" x14ac:dyDescent="0.25">
      <c r="A430" t="s">
        <v>764</v>
      </c>
      <c r="B430" t="s">
        <v>764</v>
      </c>
      <c r="C430">
        <v>7.9320862270000001</v>
      </c>
      <c r="D430" s="27">
        <v>45955</v>
      </c>
      <c r="E430" s="27">
        <v>46010</v>
      </c>
      <c r="F430">
        <v>12.174953878</v>
      </c>
      <c r="G430">
        <v>514.15173217899996</v>
      </c>
      <c r="H430">
        <v>100.8954</v>
      </c>
      <c r="I430" t="s">
        <v>222</v>
      </c>
      <c r="J430">
        <v>20231219</v>
      </c>
      <c r="K430" t="s">
        <v>169</v>
      </c>
      <c r="L430" t="s">
        <v>43</v>
      </c>
      <c r="M430" t="s">
        <v>43</v>
      </c>
      <c r="N430" t="s">
        <v>43</v>
      </c>
      <c r="O430" t="s">
        <v>43</v>
      </c>
      <c r="P430" t="s">
        <v>1584</v>
      </c>
      <c r="Q430">
        <v>2023</v>
      </c>
      <c r="S430" t="s">
        <v>169</v>
      </c>
      <c r="T430" t="s">
        <v>159</v>
      </c>
      <c r="U430" t="s">
        <v>27</v>
      </c>
    </row>
    <row r="431" spans="1:21" x14ac:dyDescent="0.25">
      <c r="A431" t="s">
        <v>1246</v>
      </c>
      <c r="B431" t="s">
        <v>1246</v>
      </c>
      <c r="C431">
        <v>6.2830814159999999</v>
      </c>
      <c r="D431" s="27">
        <v>45945</v>
      </c>
      <c r="E431" s="27">
        <v>45269</v>
      </c>
      <c r="F431">
        <v>12.243812149</v>
      </c>
      <c r="H431">
        <v>100.005</v>
      </c>
      <c r="I431" t="s">
        <v>131</v>
      </c>
      <c r="J431">
        <v>20211209</v>
      </c>
      <c r="K431" t="s">
        <v>43</v>
      </c>
      <c r="L431" t="s">
        <v>785</v>
      </c>
      <c r="M431" t="s">
        <v>43</v>
      </c>
      <c r="N431" t="s">
        <v>43</v>
      </c>
      <c r="O431" t="s">
        <v>43</v>
      </c>
      <c r="P431" t="s">
        <v>374</v>
      </c>
      <c r="Q431">
        <v>2021</v>
      </c>
      <c r="S431" t="s">
        <v>785</v>
      </c>
      <c r="T431" t="s">
        <v>134</v>
      </c>
      <c r="U431" t="s">
        <v>27</v>
      </c>
    </row>
    <row r="432" spans="1:21" x14ac:dyDescent="0.25">
      <c r="A432" t="s">
        <v>697</v>
      </c>
      <c r="B432" t="s">
        <v>697</v>
      </c>
      <c r="C432">
        <v>8.1649085390000007</v>
      </c>
      <c r="D432" s="27">
        <v>45950</v>
      </c>
      <c r="E432" s="27">
        <v>46223</v>
      </c>
      <c r="F432">
        <v>18.240613832000001</v>
      </c>
      <c r="G432">
        <v>188.07571710799999</v>
      </c>
      <c r="H432">
        <v>100.453</v>
      </c>
      <c r="I432" t="s">
        <v>131</v>
      </c>
      <c r="J432">
        <v>20240711</v>
      </c>
      <c r="K432" t="s">
        <v>23</v>
      </c>
      <c r="L432" t="s">
        <v>43</v>
      </c>
      <c r="M432" t="s">
        <v>43</v>
      </c>
      <c r="N432" t="s">
        <v>43</v>
      </c>
      <c r="O432" t="s">
        <v>43</v>
      </c>
      <c r="P432" t="s">
        <v>374</v>
      </c>
      <c r="Q432">
        <v>2024</v>
      </c>
      <c r="S432" t="s">
        <v>23</v>
      </c>
      <c r="T432" t="s">
        <v>159</v>
      </c>
      <c r="U432" t="s">
        <v>23</v>
      </c>
    </row>
    <row r="433" spans="1:21" x14ac:dyDescent="0.25">
      <c r="A433" t="s">
        <v>1249</v>
      </c>
      <c r="B433" t="s">
        <v>1249</v>
      </c>
      <c r="C433">
        <v>8.7308479689999992</v>
      </c>
      <c r="D433" s="27">
        <v>45950</v>
      </c>
      <c r="E433" s="27">
        <v>46223</v>
      </c>
      <c r="F433">
        <v>12.258219722</v>
      </c>
      <c r="G433">
        <v>289.03881326200002</v>
      </c>
      <c r="H433">
        <v>100.3917</v>
      </c>
      <c r="I433" t="s">
        <v>131</v>
      </c>
      <c r="J433">
        <v>20240711</v>
      </c>
      <c r="K433" t="s">
        <v>169</v>
      </c>
      <c r="L433" t="s">
        <v>43</v>
      </c>
      <c r="M433" t="s">
        <v>43</v>
      </c>
      <c r="N433" t="s">
        <v>43</v>
      </c>
      <c r="O433" t="s">
        <v>43</v>
      </c>
      <c r="P433" t="s">
        <v>374</v>
      </c>
      <c r="Q433">
        <v>2024</v>
      </c>
      <c r="S433" t="s">
        <v>169</v>
      </c>
      <c r="T433" t="s">
        <v>159</v>
      </c>
      <c r="U433" t="s">
        <v>27</v>
      </c>
    </row>
    <row r="434" spans="1:21" x14ac:dyDescent="0.25">
      <c r="A434" t="s">
        <v>699</v>
      </c>
      <c r="B434" t="s">
        <v>699</v>
      </c>
      <c r="C434">
        <v>8.8587417849999994</v>
      </c>
      <c r="D434" s="27">
        <v>45950</v>
      </c>
      <c r="E434" s="27">
        <v>46452</v>
      </c>
      <c r="F434">
        <v>18.409725199</v>
      </c>
      <c r="G434">
        <v>163.55089501099999</v>
      </c>
      <c r="H434">
        <v>100.43810000000001</v>
      </c>
      <c r="I434" t="s">
        <v>131</v>
      </c>
      <c r="J434">
        <v>20250306</v>
      </c>
      <c r="K434" t="s">
        <v>23</v>
      </c>
      <c r="L434" t="s">
        <v>43</v>
      </c>
      <c r="M434" t="s">
        <v>43</v>
      </c>
      <c r="N434" t="s">
        <v>43</v>
      </c>
      <c r="O434" t="s">
        <v>43</v>
      </c>
      <c r="P434" t="s">
        <v>374</v>
      </c>
      <c r="Q434">
        <v>2025</v>
      </c>
      <c r="S434" t="s">
        <v>23</v>
      </c>
      <c r="T434" t="s">
        <v>159</v>
      </c>
      <c r="U434" t="s">
        <v>23</v>
      </c>
    </row>
    <row r="435" spans="1:21" x14ac:dyDescent="0.25">
      <c r="A435" t="s">
        <v>1251</v>
      </c>
      <c r="B435" t="s">
        <v>1251</v>
      </c>
      <c r="C435">
        <v>9.4072302610000005</v>
      </c>
      <c r="D435" s="27">
        <v>45950</v>
      </c>
      <c r="E435" s="27">
        <v>46452</v>
      </c>
      <c r="F435">
        <v>12.439705091</v>
      </c>
      <c r="G435">
        <v>247.26767253099999</v>
      </c>
      <c r="H435">
        <v>99.806899999999999</v>
      </c>
      <c r="I435" t="s">
        <v>131</v>
      </c>
      <c r="J435">
        <v>20250306</v>
      </c>
      <c r="K435" t="s">
        <v>169</v>
      </c>
      <c r="L435" t="s">
        <v>43</v>
      </c>
      <c r="M435" t="s">
        <v>43</v>
      </c>
      <c r="N435" t="s">
        <v>43</v>
      </c>
      <c r="O435" t="s">
        <v>43</v>
      </c>
      <c r="P435" t="s">
        <v>374</v>
      </c>
      <c r="Q435">
        <v>2025</v>
      </c>
      <c r="S435" t="s">
        <v>169</v>
      </c>
      <c r="T435" t="s">
        <v>159</v>
      </c>
      <c r="U435" t="s">
        <v>27</v>
      </c>
    </row>
    <row r="436" spans="1:21" x14ac:dyDescent="0.25">
      <c r="A436" t="s">
        <v>695</v>
      </c>
      <c r="B436" t="s">
        <v>695</v>
      </c>
      <c r="C436">
        <v>8.9379400320000002</v>
      </c>
      <c r="D436" s="27">
        <v>45955</v>
      </c>
      <c r="E436" s="27">
        <v>46493</v>
      </c>
      <c r="F436">
        <v>18.115994107999999</v>
      </c>
      <c r="G436">
        <v>183.156647795</v>
      </c>
      <c r="H436">
        <v>100.47669999999999</v>
      </c>
      <c r="I436" t="s">
        <v>223</v>
      </c>
      <c r="J436">
        <v>20250416</v>
      </c>
      <c r="K436" t="s">
        <v>43</v>
      </c>
      <c r="L436" t="s">
        <v>43</v>
      </c>
      <c r="M436" t="s">
        <v>23</v>
      </c>
      <c r="N436" t="s">
        <v>43</v>
      </c>
      <c r="O436" t="s">
        <v>43</v>
      </c>
      <c r="P436" t="s">
        <v>136</v>
      </c>
      <c r="Q436">
        <v>2025</v>
      </c>
      <c r="S436" t="s">
        <v>23</v>
      </c>
      <c r="T436" t="s">
        <v>155</v>
      </c>
      <c r="U436" t="s">
        <v>23</v>
      </c>
    </row>
    <row r="437" spans="1:21" x14ac:dyDescent="0.25">
      <c r="A437" t="s">
        <v>1244</v>
      </c>
      <c r="B437" t="s">
        <v>1244</v>
      </c>
      <c r="C437">
        <v>9.4689049399999998</v>
      </c>
      <c r="D437" s="27">
        <v>45955</v>
      </c>
      <c r="E437" s="27">
        <v>46493</v>
      </c>
      <c r="F437">
        <v>12.124481482</v>
      </c>
      <c r="G437">
        <v>280.489202659</v>
      </c>
      <c r="H437">
        <v>100.3035</v>
      </c>
      <c r="I437" t="s">
        <v>223</v>
      </c>
      <c r="J437">
        <v>20250416</v>
      </c>
      <c r="K437" t="s">
        <v>43</v>
      </c>
      <c r="L437" t="s">
        <v>43</v>
      </c>
      <c r="M437" t="s">
        <v>169</v>
      </c>
      <c r="N437" t="s">
        <v>43</v>
      </c>
      <c r="O437" t="s">
        <v>43</v>
      </c>
      <c r="P437" t="s">
        <v>136</v>
      </c>
      <c r="Q437">
        <v>2025</v>
      </c>
      <c r="S437" t="s">
        <v>169</v>
      </c>
      <c r="T437" t="s">
        <v>155</v>
      </c>
      <c r="U437" t="s">
        <v>27</v>
      </c>
    </row>
    <row r="438" spans="1:21" x14ac:dyDescent="0.25">
      <c r="A438" t="s">
        <v>1242</v>
      </c>
      <c r="B438" t="s">
        <v>1242</v>
      </c>
      <c r="C438">
        <v>9.2386458650000005</v>
      </c>
      <c r="D438" s="27">
        <v>45955</v>
      </c>
      <c r="E438" s="27">
        <v>46412</v>
      </c>
      <c r="F438">
        <v>12.587547347999999</v>
      </c>
      <c r="G438">
        <v>289.95231722599999</v>
      </c>
      <c r="H438">
        <v>100.34439999999999</v>
      </c>
      <c r="I438" t="s">
        <v>223</v>
      </c>
      <c r="J438">
        <v>20250128</v>
      </c>
      <c r="K438" t="s">
        <v>43</v>
      </c>
      <c r="L438" t="s">
        <v>43</v>
      </c>
      <c r="M438" t="s">
        <v>27</v>
      </c>
      <c r="N438" t="s">
        <v>43</v>
      </c>
      <c r="O438" t="s">
        <v>43</v>
      </c>
      <c r="P438" t="s">
        <v>136</v>
      </c>
      <c r="Q438">
        <v>2025</v>
      </c>
      <c r="S438" t="s">
        <v>27</v>
      </c>
      <c r="T438" t="s">
        <v>155</v>
      </c>
      <c r="U438" t="s">
        <v>27</v>
      </c>
    </row>
    <row r="439" spans="1:21" x14ac:dyDescent="0.25">
      <c r="A439" t="s">
        <v>701</v>
      </c>
      <c r="B439" t="s">
        <v>701</v>
      </c>
      <c r="C439">
        <v>8.6597029719999998</v>
      </c>
      <c r="D439" s="27">
        <v>45945</v>
      </c>
      <c r="E439" s="27">
        <v>46402</v>
      </c>
      <c r="F439">
        <v>17.998641959</v>
      </c>
      <c r="G439">
        <v>178.649973273</v>
      </c>
      <c r="H439">
        <v>100.0879</v>
      </c>
      <c r="I439" t="s">
        <v>110</v>
      </c>
      <c r="J439">
        <v>20250115</v>
      </c>
      <c r="K439" t="s">
        <v>23</v>
      </c>
      <c r="L439" t="s">
        <v>43</v>
      </c>
      <c r="M439" t="s">
        <v>43</v>
      </c>
      <c r="N439" t="s">
        <v>43</v>
      </c>
      <c r="O439" t="s">
        <v>43</v>
      </c>
      <c r="P439" t="s">
        <v>702</v>
      </c>
      <c r="Q439">
        <v>2025</v>
      </c>
      <c r="S439" t="s">
        <v>23</v>
      </c>
      <c r="T439" t="s">
        <v>159</v>
      </c>
      <c r="U439" t="s">
        <v>23</v>
      </c>
    </row>
    <row r="440" spans="1:21" x14ac:dyDescent="0.25">
      <c r="A440" t="s">
        <v>1253</v>
      </c>
      <c r="B440" t="s">
        <v>1253</v>
      </c>
      <c r="C440">
        <v>9.2084536349999997</v>
      </c>
      <c r="D440" s="27">
        <v>45945</v>
      </c>
      <c r="E440" s="27">
        <v>46402</v>
      </c>
      <c r="F440">
        <v>11.99854259</v>
      </c>
      <c r="G440">
        <v>258.92469740000001</v>
      </c>
      <c r="H440">
        <v>100.42100000000001</v>
      </c>
      <c r="I440" t="s">
        <v>110</v>
      </c>
      <c r="J440">
        <v>20250115</v>
      </c>
      <c r="K440" t="s">
        <v>169</v>
      </c>
      <c r="L440" t="s">
        <v>43</v>
      </c>
      <c r="M440" t="s">
        <v>43</v>
      </c>
      <c r="N440" t="s">
        <v>43</v>
      </c>
      <c r="O440" t="s">
        <v>43</v>
      </c>
      <c r="P440" t="s">
        <v>702</v>
      </c>
      <c r="Q440">
        <v>2025</v>
      </c>
      <c r="S440" t="s">
        <v>169</v>
      </c>
      <c r="T440" t="s">
        <v>159</v>
      </c>
      <c r="U440" t="s">
        <v>27</v>
      </c>
    </row>
    <row r="441" spans="1:21" x14ac:dyDescent="0.25">
      <c r="A441" t="s">
        <v>1261</v>
      </c>
      <c r="B441" t="s">
        <v>1261</v>
      </c>
      <c r="C441">
        <v>8.5557780819999998</v>
      </c>
      <c r="D441" s="27">
        <v>45950</v>
      </c>
      <c r="E441" s="27">
        <v>45983</v>
      </c>
      <c r="F441">
        <v>11.602152973999999</v>
      </c>
      <c r="G441">
        <v>484.07370830299999</v>
      </c>
      <c r="H441">
        <v>100.96040000000001</v>
      </c>
      <c r="I441" t="s">
        <v>224</v>
      </c>
      <c r="J441">
        <v>20231122</v>
      </c>
      <c r="K441" t="s">
        <v>43</v>
      </c>
      <c r="L441" t="s">
        <v>43</v>
      </c>
      <c r="M441" t="s">
        <v>169</v>
      </c>
      <c r="N441" t="s">
        <v>43</v>
      </c>
      <c r="O441" t="s">
        <v>43</v>
      </c>
      <c r="P441" t="s">
        <v>377</v>
      </c>
      <c r="Q441">
        <v>2023</v>
      </c>
      <c r="S441" t="s">
        <v>169</v>
      </c>
      <c r="T441" t="s">
        <v>155</v>
      </c>
      <c r="U441" t="s">
        <v>27</v>
      </c>
    </row>
    <row r="442" spans="1:21" x14ac:dyDescent="0.25">
      <c r="A442" t="s">
        <v>1257</v>
      </c>
      <c r="B442" t="s">
        <v>1257</v>
      </c>
      <c r="C442">
        <v>5.7780782740000003</v>
      </c>
      <c r="D442" s="27">
        <v>45947</v>
      </c>
      <c r="E442" s="27">
        <v>45764</v>
      </c>
      <c r="F442">
        <v>11.761713537</v>
      </c>
      <c r="G442">
        <v>410.525224127</v>
      </c>
      <c r="H442">
        <v>100.19629999999999</v>
      </c>
      <c r="I442" t="s">
        <v>224</v>
      </c>
      <c r="J442">
        <v>20240301</v>
      </c>
      <c r="K442" t="s">
        <v>27</v>
      </c>
      <c r="L442" t="s">
        <v>43</v>
      </c>
      <c r="M442" t="s">
        <v>43</v>
      </c>
      <c r="N442" t="s">
        <v>43</v>
      </c>
      <c r="O442" t="s">
        <v>43</v>
      </c>
      <c r="P442" t="s">
        <v>377</v>
      </c>
      <c r="Q442">
        <v>2024</v>
      </c>
      <c r="S442" t="s">
        <v>27</v>
      </c>
      <c r="T442" t="s">
        <v>159</v>
      </c>
      <c r="U442" t="s">
        <v>27</v>
      </c>
    </row>
    <row r="443" spans="1:21" x14ac:dyDescent="0.25">
      <c r="A443" t="s">
        <v>1259</v>
      </c>
      <c r="B443" t="s">
        <v>1259</v>
      </c>
      <c r="C443">
        <v>7.014098196</v>
      </c>
      <c r="D443" s="27">
        <v>45955</v>
      </c>
      <c r="E443" s="27">
        <v>46047</v>
      </c>
      <c r="F443">
        <v>12.125060673</v>
      </c>
      <c r="G443">
        <v>266.30053788999999</v>
      </c>
      <c r="H443">
        <v>99.632300000000001</v>
      </c>
      <c r="I443" t="s">
        <v>224</v>
      </c>
      <c r="J443">
        <v>20250214</v>
      </c>
      <c r="K443" t="s">
        <v>43</v>
      </c>
      <c r="L443" t="s">
        <v>43</v>
      </c>
      <c r="M443" t="s">
        <v>169</v>
      </c>
      <c r="N443" t="s">
        <v>43</v>
      </c>
      <c r="O443" t="s">
        <v>43</v>
      </c>
      <c r="P443" t="s">
        <v>377</v>
      </c>
      <c r="Q443">
        <v>2025</v>
      </c>
      <c r="S443" t="s">
        <v>169</v>
      </c>
      <c r="T443" t="s">
        <v>155</v>
      </c>
      <c r="U443" t="s">
        <v>27</v>
      </c>
    </row>
    <row r="444" spans="1:21" x14ac:dyDescent="0.25">
      <c r="A444" t="s">
        <v>704</v>
      </c>
      <c r="B444" t="s">
        <v>704</v>
      </c>
      <c r="C444">
        <v>8.6483314470000003</v>
      </c>
      <c r="D444" s="27">
        <v>45950</v>
      </c>
      <c r="E444" s="27">
        <v>46315</v>
      </c>
      <c r="F444">
        <v>17.342697068</v>
      </c>
      <c r="G444">
        <v>197.687299212</v>
      </c>
      <c r="H444">
        <v>100.49939999999999</v>
      </c>
      <c r="I444" t="s">
        <v>224</v>
      </c>
      <c r="J444">
        <v>20241021</v>
      </c>
      <c r="K444" t="s">
        <v>43</v>
      </c>
      <c r="L444" t="s">
        <v>43</v>
      </c>
      <c r="M444" t="s">
        <v>23</v>
      </c>
      <c r="N444" t="s">
        <v>43</v>
      </c>
      <c r="O444" t="s">
        <v>43</v>
      </c>
      <c r="P444" t="s">
        <v>377</v>
      </c>
      <c r="Q444">
        <v>2024</v>
      </c>
      <c r="S444" t="s">
        <v>23</v>
      </c>
      <c r="T444" t="s">
        <v>155</v>
      </c>
      <c r="U444" t="s">
        <v>23</v>
      </c>
    </row>
    <row r="445" spans="1:21" x14ac:dyDescent="0.25">
      <c r="A445" t="s">
        <v>1255</v>
      </c>
      <c r="B445" t="s">
        <v>1255</v>
      </c>
      <c r="C445">
        <v>9.0960109899999999</v>
      </c>
      <c r="D445" s="27">
        <v>45950</v>
      </c>
      <c r="E445" s="27">
        <v>46315</v>
      </c>
      <c r="F445">
        <v>12.302617621</v>
      </c>
      <c r="G445">
        <v>293.573114809</v>
      </c>
      <c r="H445">
        <v>100.4354</v>
      </c>
      <c r="I445" t="s">
        <v>224</v>
      </c>
      <c r="J445">
        <v>20241021</v>
      </c>
      <c r="K445" t="s">
        <v>43</v>
      </c>
      <c r="L445" t="s">
        <v>43</v>
      </c>
      <c r="M445" t="s">
        <v>27</v>
      </c>
      <c r="N445" t="s">
        <v>43</v>
      </c>
      <c r="O445" t="s">
        <v>43</v>
      </c>
      <c r="P445" t="s">
        <v>377</v>
      </c>
      <c r="Q445">
        <v>2024</v>
      </c>
      <c r="S445" t="s">
        <v>27</v>
      </c>
      <c r="T445" t="s">
        <v>155</v>
      </c>
      <c r="U445" t="s">
        <v>27</v>
      </c>
    </row>
    <row r="446" spans="1:21" x14ac:dyDescent="0.25">
      <c r="A446" t="s">
        <v>1263</v>
      </c>
      <c r="B446" t="s">
        <v>1263</v>
      </c>
      <c r="C446">
        <v>9.4517296589999997</v>
      </c>
      <c r="D446" s="27">
        <v>45950</v>
      </c>
      <c r="E446" s="27">
        <v>46497</v>
      </c>
      <c r="F446">
        <v>12.042573499</v>
      </c>
      <c r="G446">
        <v>272.074854346</v>
      </c>
      <c r="H446">
        <v>100.18989999999999</v>
      </c>
      <c r="I446" t="s">
        <v>224</v>
      </c>
      <c r="J446">
        <v>20250417</v>
      </c>
      <c r="K446" t="s">
        <v>43</v>
      </c>
      <c r="L446" t="s">
        <v>43</v>
      </c>
      <c r="M446" t="s">
        <v>169</v>
      </c>
      <c r="N446" t="s">
        <v>43</v>
      </c>
      <c r="O446" t="s">
        <v>43</v>
      </c>
      <c r="P446" t="s">
        <v>377</v>
      </c>
      <c r="Q446">
        <v>2025</v>
      </c>
      <c r="S446" t="s">
        <v>169</v>
      </c>
      <c r="T446" t="s">
        <v>155</v>
      </c>
      <c r="U446" t="s">
        <v>27</v>
      </c>
    </row>
    <row r="447" spans="1:21" x14ac:dyDescent="0.25">
      <c r="A447" t="s">
        <v>1265</v>
      </c>
      <c r="B447" t="s">
        <v>1265</v>
      </c>
      <c r="C447">
        <v>9.2488848909999994</v>
      </c>
      <c r="D447" s="27">
        <v>45945</v>
      </c>
      <c r="E447" s="27">
        <v>46402</v>
      </c>
      <c r="F447">
        <v>11.63737523</v>
      </c>
      <c r="G447">
        <v>255.797177232</v>
      </c>
      <c r="H447">
        <v>100.2908</v>
      </c>
      <c r="I447" t="s">
        <v>225</v>
      </c>
      <c r="J447">
        <v>20250211</v>
      </c>
      <c r="K447" t="s">
        <v>43</v>
      </c>
      <c r="L447" t="s">
        <v>43</v>
      </c>
      <c r="M447" t="s">
        <v>169</v>
      </c>
      <c r="N447" t="s">
        <v>43</v>
      </c>
      <c r="O447" t="s">
        <v>43</v>
      </c>
      <c r="P447" t="s">
        <v>1585</v>
      </c>
      <c r="Q447">
        <v>2025</v>
      </c>
      <c r="S447" t="s">
        <v>169</v>
      </c>
      <c r="T447" t="s">
        <v>155</v>
      </c>
      <c r="U447" t="s">
        <v>27</v>
      </c>
    </row>
    <row r="448" spans="1:21" x14ac:dyDescent="0.25">
      <c r="A448" t="s">
        <v>1275</v>
      </c>
      <c r="B448" t="s">
        <v>1275</v>
      </c>
      <c r="C448">
        <v>5.6146669730000003</v>
      </c>
      <c r="D448" s="27">
        <v>45950</v>
      </c>
      <c r="E448" s="27">
        <v>45036</v>
      </c>
      <c r="F448">
        <v>11.964372193000001</v>
      </c>
      <c r="G448">
        <v>326.93644713200001</v>
      </c>
      <c r="H448">
        <v>100.4209</v>
      </c>
      <c r="I448" t="s">
        <v>226</v>
      </c>
      <c r="J448">
        <v>20210513</v>
      </c>
      <c r="K448" t="s">
        <v>43</v>
      </c>
      <c r="L448" t="s">
        <v>785</v>
      </c>
      <c r="M448" t="s">
        <v>43</v>
      </c>
      <c r="N448" t="s">
        <v>43</v>
      </c>
      <c r="O448" t="s">
        <v>43</v>
      </c>
      <c r="P448" t="s">
        <v>1586</v>
      </c>
      <c r="Q448">
        <v>2021</v>
      </c>
      <c r="S448" t="s">
        <v>785</v>
      </c>
      <c r="T448" t="s">
        <v>134</v>
      </c>
      <c r="U448" t="s">
        <v>27</v>
      </c>
    </row>
    <row r="449" spans="1:21" x14ac:dyDescent="0.25">
      <c r="A449" t="s">
        <v>1277</v>
      </c>
      <c r="B449" t="s">
        <v>1277</v>
      </c>
      <c r="C449">
        <v>6.0054901129999996</v>
      </c>
      <c r="D449" s="27">
        <v>45920</v>
      </c>
      <c r="E449" s="27">
        <v>45097</v>
      </c>
      <c r="F449">
        <v>11.865882293</v>
      </c>
      <c r="G449">
        <v>326.43887878599998</v>
      </c>
      <c r="H449">
        <v>100.2253</v>
      </c>
      <c r="I449" t="s">
        <v>226</v>
      </c>
      <c r="J449">
        <v>20210621</v>
      </c>
      <c r="K449" t="s">
        <v>43</v>
      </c>
      <c r="L449" t="s">
        <v>785</v>
      </c>
      <c r="M449" t="s">
        <v>43</v>
      </c>
      <c r="N449" t="s">
        <v>43</v>
      </c>
      <c r="O449" t="s">
        <v>43</v>
      </c>
      <c r="P449" t="s">
        <v>1587</v>
      </c>
      <c r="Q449">
        <v>2021</v>
      </c>
      <c r="S449" t="s">
        <v>785</v>
      </c>
      <c r="T449" t="s">
        <v>134</v>
      </c>
      <c r="U449" t="s">
        <v>27</v>
      </c>
    </row>
    <row r="450" spans="1:21" x14ac:dyDescent="0.25">
      <c r="A450" t="s">
        <v>1267</v>
      </c>
      <c r="B450" t="s">
        <v>1267</v>
      </c>
      <c r="C450">
        <v>6.6301847169999997</v>
      </c>
      <c r="D450" s="27">
        <v>45950</v>
      </c>
      <c r="E450" s="27">
        <v>45950</v>
      </c>
      <c r="F450">
        <v>12.146722422</v>
      </c>
      <c r="G450">
        <v>304.99610486099999</v>
      </c>
      <c r="H450">
        <v>100.2608</v>
      </c>
      <c r="I450" t="s">
        <v>225</v>
      </c>
      <c r="J450">
        <v>20241021</v>
      </c>
      <c r="K450" t="s">
        <v>43</v>
      </c>
      <c r="L450" t="s">
        <v>43</v>
      </c>
      <c r="M450" t="s">
        <v>763</v>
      </c>
      <c r="N450" t="s">
        <v>43</v>
      </c>
      <c r="O450" t="s">
        <v>43</v>
      </c>
      <c r="P450" t="s">
        <v>1588</v>
      </c>
      <c r="Q450">
        <v>2024</v>
      </c>
      <c r="S450" t="s">
        <v>763</v>
      </c>
      <c r="T450" t="s">
        <v>155</v>
      </c>
      <c r="U450" t="s">
        <v>27</v>
      </c>
    </row>
    <row r="451" spans="1:21" x14ac:dyDescent="0.25">
      <c r="A451" t="s">
        <v>1271</v>
      </c>
      <c r="B451" t="s">
        <v>1271</v>
      </c>
      <c r="C451">
        <v>8.6439119170000005</v>
      </c>
      <c r="D451" s="27">
        <v>45956</v>
      </c>
      <c r="E451" s="27">
        <v>46096</v>
      </c>
      <c r="F451">
        <v>11.744197184000001</v>
      </c>
      <c r="G451">
        <v>357.96949232999998</v>
      </c>
      <c r="H451">
        <v>100.7701</v>
      </c>
      <c r="I451" t="s">
        <v>146</v>
      </c>
      <c r="J451">
        <v>20240315</v>
      </c>
      <c r="K451" t="s">
        <v>43</v>
      </c>
      <c r="L451" t="s">
        <v>43</v>
      </c>
      <c r="M451" t="s">
        <v>169</v>
      </c>
      <c r="N451" t="s">
        <v>43</v>
      </c>
      <c r="O451" t="s">
        <v>43</v>
      </c>
      <c r="P451" t="s">
        <v>1589</v>
      </c>
      <c r="Q451">
        <v>2024</v>
      </c>
      <c r="S451" t="s">
        <v>169</v>
      </c>
      <c r="T451" t="s">
        <v>155</v>
      </c>
      <c r="U451" t="s">
        <v>27</v>
      </c>
    </row>
    <row r="452" spans="1:21" x14ac:dyDescent="0.25">
      <c r="A452" t="s">
        <v>1273</v>
      </c>
      <c r="B452" t="s">
        <v>1273</v>
      </c>
      <c r="C452">
        <v>8.7875656880000008</v>
      </c>
      <c r="D452" s="27">
        <v>45945</v>
      </c>
      <c r="E452" s="27">
        <v>46271</v>
      </c>
      <c r="F452">
        <v>12.002255045</v>
      </c>
      <c r="G452">
        <v>294.59144834</v>
      </c>
      <c r="H452">
        <v>100.3552</v>
      </c>
      <c r="I452" t="s">
        <v>146</v>
      </c>
      <c r="J452">
        <v>20240906</v>
      </c>
      <c r="K452" t="s">
        <v>43</v>
      </c>
      <c r="L452" t="s">
        <v>43</v>
      </c>
      <c r="M452" t="s">
        <v>169</v>
      </c>
      <c r="N452" t="s">
        <v>43</v>
      </c>
      <c r="O452" t="s">
        <v>43</v>
      </c>
      <c r="P452" t="s">
        <v>1590</v>
      </c>
      <c r="Q452">
        <v>2024</v>
      </c>
      <c r="S452" t="s">
        <v>169</v>
      </c>
      <c r="T452" t="s">
        <v>155</v>
      </c>
      <c r="U452" t="s">
        <v>27</v>
      </c>
    </row>
    <row r="453" spans="1:21" x14ac:dyDescent="0.25">
      <c r="A453" t="s">
        <v>1269</v>
      </c>
      <c r="B453" t="s">
        <v>1269</v>
      </c>
      <c r="C453">
        <v>8.3321508160000004</v>
      </c>
      <c r="D453" s="27">
        <v>45955</v>
      </c>
      <c r="E453" s="27">
        <v>46003</v>
      </c>
      <c r="F453">
        <v>11.875192982</v>
      </c>
      <c r="G453">
        <v>508.70989095499999</v>
      </c>
      <c r="H453">
        <v>100.9558</v>
      </c>
      <c r="I453" t="s">
        <v>146</v>
      </c>
      <c r="J453">
        <v>20231212</v>
      </c>
      <c r="K453" t="s">
        <v>43</v>
      </c>
      <c r="L453" t="s">
        <v>43</v>
      </c>
      <c r="M453" t="s">
        <v>169</v>
      </c>
      <c r="N453" t="s">
        <v>43</v>
      </c>
      <c r="O453" t="s">
        <v>43</v>
      </c>
      <c r="P453" t="s">
        <v>1591</v>
      </c>
      <c r="Q453">
        <v>2023</v>
      </c>
      <c r="S453" t="s">
        <v>169</v>
      </c>
      <c r="T453" t="s">
        <v>155</v>
      </c>
      <c r="U453" t="s">
        <v>27</v>
      </c>
    </row>
    <row r="454" spans="1:21" x14ac:dyDescent="0.25">
      <c r="A454" t="s">
        <v>708</v>
      </c>
      <c r="B454" t="s">
        <v>708</v>
      </c>
      <c r="C454">
        <v>8.7194999539999998</v>
      </c>
      <c r="D454" s="27">
        <v>45955</v>
      </c>
      <c r="E454" s="27">
        <v>46412</v>
      </c>
      <c r="F454">
        <v>18</v>
      </c>
      <c r="G454">
        <v>176.49959169100001</v>
      </c>
      <c r="H454">
        <v>100.2396</v>
      </c>
      <c r="I454" t="s">
        <v>110</v>
      </c>
      <c r="J454">
        <v>20250205</v>
      </c>
      <c r="K454" t="s">
        <v>23</v>
      </c>
      <c r="L454" t="s">
        <v>43</v>
      </c>
      <c r="M454" t="s">
        <v>43</v>
      </c>
      <c r="N454" t="s">
        <v>43</v>
      </c>
      <c r="O454" t="s">
        <v>43</v>
      </c>
      <c r="P454" t="s">
        <v>1592</v>
      </c>
      <c r="Q454">
        <v>2025</v>
      </c>
      <c r="S454" t="s">
        <v>23</v>
      </c>
      <c r="T454" t="s">
        <v>159</v>
      </c>
      <c r="U454" t="s">
        <v>23</v>
      </c>
    </row>
    <row r="455" spans="1:21" x14ac:dyDescent="0.25">
      <c r="A455" t="s">
        <v>1285</v>
      </c>
      <c r="B455" t="s">
        <v>1285</v>
      </c>
      <c r="C455">
        <v>9.2609863019999992</v>
      </c>
      <c r="D455" s="27">
        <v>45955</v>
      </c>
      <c r="E455" s="27">
        <v>46412</v>
      </c>
      <c r="F455">
        <v>12</v>
      </c>
      <c r="G455">
        <v>256.19114636900002</v>
      </c>
      <c r="H455">
        <v>100.2629</v>
      </c>
      <c r="I455" t="s">
        <v>110</v>
      </c>
      <c r="J455">
        <v>20250205</v>
      </c>
      <c r="K455" t="s">
        <v>169</v>
      </c>
      <c r="L455" t="s">
        <v>43</v>
      </c>
      <c r="M455" t="s">
        <v>43</v>
      </c>
      <c r="N455" t="s">
        <v>43</v>
      </c>
      <c r="O455" t="s">
        <v>43</v>
      </c>
      <c r="P455" t="s">
        <v>1592</v>
      </c>
      <c r="Q455">
        <v>2025</v>
      </c>
      <c r="S455" t="s">
        <v>169</v>
      </c>
      <c r="T455" t="s">
        <v>159</v>
      </c>
      <c r="U455" t="s">
        <v>27</v>
      </c>
    </row>
    <row r="456" spans="1:21" x14ac:dyDescent="0.25">
      <c r="A456" t="s">
        <v>1282</v>
      </c>
      <c r="B456" t="s">
        <v>1282</v>
      </c>
      <c r="C456">
        <v>6.201122969</v>
      </c>
      <c r="D456" s="27">
        <v>45950</v>
      </c>
      <c r="E456" s="27">
        <v>45036</v>
      </c>
      <c r="F456">
        <v>11.172043797000001</v>
      </c>
      <c r="G456">
        <v>512.20018635400004</v>
      </c>
      <c r="H456">
        <v>100.559</v>
      </c>
      <c r="I456" t="s">
        <v>227</v>
      </c>
      <c r="J456">
        <v>20210415</v>
      </c>
      <c r="K456" t="s">
        <v>43</v>
      </c>
      <c r="L456" t="s">
        <v>785</v>
      </c>
      <c r="M456" t="s">
        <v>43</v>
      </c>
      <c r="N456" t="s">
        <v>43</v>
      </c>
      <c r="O456" t="s">
        <v>43</v>
      </c>
      <c r="P456" t="s">
        <v>1593</v>
      </c>
      <c r="Q456">
        <v>2021</v>
      </c>
      <c r="S456" t="s">
        <v>785</v>
      </c>
      <c r="T456" t="s">
        <v>134</v>
      </c>
      <c r="U456" t="s">
        <v>27</v>
      </c>
    </row>
    <row r="457" spans="1:21" x14ac:dyDescent="0.25">
      <c r="A457" t="s">
        <v>1279</v>
      </c>
      <c r="B457" t="s">
        <v>1279</v>
      </c>
      <c r="C457">
        <v>5.7483962489999998</v>
      </c>
      <c r="D457" s="27">
        <v>45950</v>
      </c>
      <c r="E457" s="27">
        <v>45036</v>
      </c>
      <c r="F457">
        <v>11.538608106</v>
      </c>
      <c r="H457">
        <v>100.005</v>
      </c>
      <c r="I457" t="s">
        <v>101</v>
      </c>
      <c r="J457">
        <v>20210607</v>
      </c>
      <c r="K457" t="s">
        <v>169</v>
      </c>
      <c r="L457" t="s">
        <v>43</v>
      </c>
      <c r="M457" t="s">
        <v>43</v>
      </c>
      <c r="N457" t="s">
        <v>43</v>
      </c>
      <c r="O457" t="s">
        <v>43</v>
      </c>
      <c r="P457" t="s">
        <v>1280</v>
      </c>
      <c r="Q457">
        <v>2021</v>
      </c>
      <c r="S457" t="s">
        <v>169</v>
      </c>
      <c r="T457" t="s">
        <v>159</v>
      </c>
      <c r="U457" t="s">
        <v>27</v>
      </c>
    </row>
    <row r="458" spans="1:21" x14ac:dyDescent="0.25">
      <c r="A458" t="s">
        <v>1310</v>
      </c>
      <c r="B458" t="s">
        <v>1310</v>
      </c>
      <c r="C458">
        <v>9.4252981580000004</v>
      </c>
      <c r="D458" s="27">
        <v>45945</v>
      </c>
      <c r="E458" s="27">
        <v>46488</v>
      </c>
      <c r="F458">
        <v>12.029263650000001</v>
      </c>
      <c r="G458">
        <v>274.45781907999998</v>
      </c>
      <c r="H458">
        <v>100.38330000000001</v>
      </c>
      <c r="I458" t="s">
        <v>149</v>
      </c>
      <c r="J458">
        <v>20250411</v>
      </c>
      <c r="K458" t="s">
        <v>43</v>
      </c>
      <c r="L458" t="s">
        <v>43</v>
      </c>
      <c r="M458" t="s">
        <v>169</v>
      </c>
      <c r="N458" t="s">
        <v>43</v>
      </c>
      <c r="O458" t="s">
        <v>43</v>
      </c>
      <c r="P458" t="s">
        <v>523</v>
      </c>
      <c r="Q458">
        <v>2025</v>
      </c>
      <c r="S458" t="s">
        <v>169</v>
      </c>
      <c r="T458" t="s">
        <v>155</v>
      </c>
      <c r="U458" t="s">
        <v>27</v>
      </c>
    </row>
    <row r="459" spans="1:21" x14ac:dyDescent="0.25">
      <c r="A459" t="s">
        <v>1305</v>
      </c>
      <c r="B459" t="s">
        <v>1305</v>
      </c>
      <c r="C459">
        <v>9.2428033060000008</v>
      </c>
      <c r="D459" s="27">
        <v>45950</v>
      </c>
      <c r="E459" s="27">
        <v>46407</v>
      </c>
      <c r="F459">
        <v>12.003085030999999</v>
      </c>
      <c r="G459">
        <v>284.29897166400002</v>
      </c>
      <c r="H459">
        <v>100.39109999999999</v>
      </c>
      <c r="I459" t="s">
        <v>228</v>
      </c>
      <c r="J459">
        <v>20250121</v>
      </c>
      <c r="K459" t="s">
        <v>43</v>
      </c>
      <c r="L459" t="s">
        <v>43</v>
      </c>
      <c r="M459" t="s">
        <v>169</v>
      </c>
      <c r="N459" t="s">
        <v>43</v>
      </c>
      <c r="O459" t="s">
        <v>43</v>
      </c>
      <c r="P459" t="s">
        <v>1594</v>
      </c>
      <c r="Q459">
        <v>2025</v>
      </c>
      <c r="S459" t="s">
        <v>169</v>
      </c>
      <c r="T459" t="s">
        <v>155</v>
      </c>
      <c r="U459" t="s">
        <v>27</v>
      </c>
    </row>
    <row r="460" spans="1:21" x14ac:dyDescent="0.25">
      <c r="A460" t="s">
        <v>1308</v>
      </c>
      <c r="B460" t="s">
        <v>1308</v>
      </c>
      <c r="C460">
        <v>9.2063093640000009</v>
      </c>
      <c r="D460" s="27">
        <v>45945</v>
      </c>
      <c r="E460" s="27">
        <v>46402</v>
      </c>
      <c r="F460">
        <v>12.00548071</v>
      </c>
      <c r="G460">
        <v>277.25626974199997</v>
      </c>
      <c r="H460">
        <v>100.5341</v>
      </c>
      <c r="I460" t="s">
        <v>229</v>
      </c>
      <c r="J460">
        <v>20250108</v>
      </c>
      <c r="K460" t="s">
        <v>43</v>
      </c>
      <c r="L460" t="s">
        <v>43</v>
      </c>
      <c r="M460" t="s">
        <v>169</v>
      </c>
      <c r="N460" t="s">
        <v>43</v>
      </c>
      <c r="O460" t="s">
        <v>43</v>
      </c>
      <c r="P460" t="s">
        <v>523</v>
      </c>
      <c r="Q460">
        <v>2025</v>
      </c>
      <c r="S460" t="s">
        <v>169</v>
      </c>
      <c r="T460" t="s">
        <v>155</v>
      </c>
      <c r="U460" t="s">
        <v>27</v>
      </c>
    </row>
    <row r="461" spans="1:21" x14ac:dyDescent="0.25">
      <c r="A461" t="s">
        <v>1292</v>
      </c>
      <c r="B461" t="s">
        <v>1292</v>
      </c>
      <c r="C461">
        <v>7.9786931470000004</v>
      </c>
      <c r="D461" s="27">
        <v>45953</v>
      </c>
      <c r="E461" s="27">
        <v>45953</v>
      </c>
      <c r="F461">
        <v>12.129889821000001</v>
      </c>
      <c r="G461">
        <v>410.638007265</v>
      </c>
      <c r="H461">
        <v>100.5487</v>
      </c>
      <c r="I461" t="s">
        <v>150</v>
      </c>
      <c r="J461">
        <v>20231102</v>
      </c>
      <c r="K461" t="s">
        <v>169</v>
      </c>
      <c r="L461" t="s">
        <v>43</v>
      </c>
      <c r="M461" t="s">
        <v>43</v>
      </c>
      <c r="N461" t="s">
        <v>43</v>
      </c>
      <c r="O461" t="s">
        <v>43</v>
      </c>
      <c r="P461" t="s">
        <v>528</v>
      </c>
      <c r="Q461">
        <v>2023</v>
      </c>
      <c r="S461" t="s">
        <v>169</v>
      </c>
      <c r="T461" t="s">
        <v>159</v>
      </c>
      <c r="U461" t="s">
        <v>27</v>
      </c>
    </row>
    <row r="462" spans="1:21" x14ac:dyDescent="0.25">
      <c r="A462" t="s">
        <v>1294</v>
      </c>
      <c r="B462" t="s">
        <v>1294</v>
      </c>
      <c r="C462">
        <v>8.6278665070000002</v>
      </c>
      <c r="D462" s="27">
        <v>45953</v>
      </c>
      <c r="E462" s="27">
        <v>46117</v>
      </c>
      <c r="F462">
        <v>11.957195878</v>
      </c>
      <c r="G462">
        <v>347.179974894</v>
      </c>
      <c r="H462">
        <v>100.8228</v>
      </c>
      <c r="I462" t="s">
        <v>150</v>
      </c>
      <c r="J462">
        <v>20240405</v>
      </c>
      <c r="K462" t="s">
        <v>169</v>
      </c>
      <c r="L462" t="s">
        <v>43</v>
      </c>
      <c r="M462" t="s">
        <v>43</v>
      </c>
      <c r="N462" t="s">
        <v>43</v>
      </c>
      <c r="O462" t="s">
        <v>43</v>
      </c>
      <c r="P462" t="s">
        <v>528</v>
      </c>
      <c r="Q462">
        <v>2024</v>
      </c>
      <c r="S462" t="s">
        <v>169</v>
      </c>
      <c r="T462" t="s">
        <v>159</v>
      </c>
      <c r="U462" t="s">
        <v>27</v>
      </c>
    </row>
    <row r="463" spans="1:21" x14ac:dyDescent="0.25">
      <c r="A463" t="s">
        <v>1290</v>
      </c>
      <c r="B463" t="s">
        <v>1290</v>
      </c>
      <c r="C463">
        <v>9.2610579160000004</v>
      </c>
      <c r="D463" s="27">
        <v>45950</v>
      </c>
      <c r="E463" s="27">
        <v>46494</v>
      </c>
      <c r="F463">
        <v>11.940969818999999</v>
      </c>
      <c r="G463">
        <v>265.63563365599998</v>
      </c>
      <c r="H463">
        <v>100.30110000000001</v>
      </c>
      <c r="I463" t="s">
        <v>150</v>
      </c>
      <c r="J463">
        <v>20250306</v>
      </c>
      <c r="K463" t="s">
        <v>169</v>
      </c>
      <c r="L463" t="s">
        <v>43</v>
      </c>
      <c r="M463" t="s">
        <v>43</v>
      </c>
      <c r="N463" t="s">
        <v>43</v>
      </c>
      <c r="O463" t="s">
        <v>43</v>
      </c>
      <c r="P463" t="s">
        <v>528</v>
      </c>
      <c r="Q463">
        <v>2025</v>
      </c>
      <c r="S463" t="s">
        <v>169</v>
      </c>
      <c r="T463" t="s">
        <v>159</v>
      </c>
      <c r="U463" t="s">
        <v>27</v>
      </c>
    </row>
    <row r="464" spans="1:21" x14ac:dyDescent="0.25">
      <c r="A464" t="s">
        <v>1296</v>
      </c>
      <c r="B464" t="s">
        <v>1296</v>
      </c>
      <c r="C464">
        <v>9.2407462220000003</v>
      </c>
      <c r="D464" s="27">
        <v>45947</v>
      </c>
      <c r="E464" s="27">
        <v>46369</v>
      </c>
      <c r="F464">
        <v>12.033079820999999</v>
      </c>
      <c r="G464">
        <v>276.32313910400001</v>
      </c>
      <c r="H464">
        <v>100.2505</v>
      </c>
      <c r="I464" t="s">
        <v>150</v>
      </c>
      <c r="J464">
        <v>20241213</v>
      </c>
      <c r="K464" t="s">
        <v>169</v>
      </c>
      <c r="L464" t="s">
        <v>43</v>
      </c>
      <c r="M464" t="s">
        <v>43</v>
      </c>
      <c r="N464" t="s">
        <v>43</v>
      </c>
      <c r="O464" t="s">
        <v>43</v>
      </c>
      <c r="P464" t="s">
        <v>528</v>
      </c>
      <c r="Q464">
        <v>2024</v>
      </c>
      <c r="S464" t="s">
        <v>169</v>
      </c>
      <c r="T464" t="s">
        <v>159</v>
      </c>
      <c r="U464" t="s">
        <v>27</v>
      </c>
    </row>
    <row r="465" spans="1:21" x14ac:dyDescent="0.25">
      <c r="A465" t="s">
        <v>1287</v>
      </c>
      <c r="B465" t="s">
        <v>1287</v>
      </c>
      <c r="C465">
        <v>9.2858591449999999</v>
      </c>
      <c r="D465" s="27">
        <v>45951</v>
      </c>
      <c r="E465" s="27">
        <v>46408</v>
      </c>
      <c r="F465">
        <v>11.760566664000001</v>
      </c>
      <c r="G465">
        <v>250.54096867600001</v>
      </c>
      <c r="H465">
        <v>100.31059999999999</v>
      </c>
      <c r="I465" t="s">
        <v>150</v>
      </c>
      <c r="J465">
        <v>20250220</v>
      </c>
      <c r="K465" t="s">
        <v>43</v>
      </c>
      <c r="L465" t="s">
        <v>43</v>
      </c>
      <c r="M465" t="s">
        <v>169</v>
      </c>
      <c r="N465" t="s">
        <v>43</v>
      </c>
      <c r="O465" t="s">
        <v>43</v>
      </c>
      <c r="P465" t="s">
        <v>528</v>
      </c>
      <c r="Q465">
        <v>2025</v>
      </c>
      <c r="S465" t="s">
        <v>169</v>
      </c>
      <c r="T465" t="s">
        <v>155</v>
      </c>
      <c r="U465" t="s">
        <v>27</v>
      </c>
    </row>
    <row r="466" spans="1:21" x14ac:dyDescent="0.25">
      <c r="A466" t="s">
        <v>1301</v>
      </c>
      <c r="B466" t="s">
        <v>1301</v>
      </c>
      <c r="C466">
        <v>9.4787647320000001</v>
      </c>
      <c r="D466" s="27">
        <v>45956</v>
      </c>
      <c r="E466" s="27">
        <v>46503</v>
      </c>
      <c r="F466">
        <v>12.558555712</v>
      </c>
      <c r="G466">
        <v>295.34545241299998</v>
      </c>
      <c r="H466">
        <v>100.3229</v>
      </c>
      <c r="I466" t="s">
        <v>230</v>
      </c>
      <c r="J466">
        <v>20250227</v>
      </c>
      <c r="K466" t="s">
        <v>43</v>
      </c>
      <c r="L466" t="s">
        <v>43</v>
      </c>
      <c r="M466" t="s">
        <v>169</v>
      </c>
      <c r="N466" t="s">
        <v>43</v>
      </c>
      <c r="O466" t="s">
        <v>43</v>
      </c>
      <c r="P466" t="s">
        <v>1595</v>
      </c>
      <c r="Q466">
        <v>2025</v>
      </c>
      <c r="S466" t="s">
        <v>169</v>
      </c>
      <c r="T466" t="s">
        <v>155</v>
      </c>
      <c r="U466" t="s">
        <v>27</v>
      </c>
    </row>
    <row r="467" spans="1:21" x14ac:dyDescent="0.25">
      <c r="A467" t="s">
        <v>1298</v>
      </c>
      <c r="B467" t="s">
        <v>1298</v>
      </c>
      <c r="C467">
        <v>6.2150524450000004</v>
      </c>
      <c r="D467" s="27">
        <v>45955</v>
      </c>
      <c r="E467" s="27">
        <v>45224</v>
      </c>
      <c r="F467">
        <v>10.844286336</v>
      </c>
      <c r="G467">
        <v>369.24269986000002</v>
      </c>
      <c r="H467">
        <v>99.069699999999997</v>
      </c>
      <c r="I467" t="s">
        <v>177</v>
      </c>
      <c r="J467">
        <v>20210916</v>
      </c>
      <c r="K467" t="s">
        <v>43</v>
      </c>
      <c r="L467" t="s">
        <v>785</v>
      </c>
      <c r="M467" t="s">
        <v>43</v>
      </c>
      <c r="N467" t="s">
        <v>43</v>
      </c>
      <c r="O467" t="s">
        <v>43</v>
      </c>
      <c r="P467" t="s">
        <v>1595</v>
      </c>
      <c r="Q467">
        <v>2021</v>
      </c>
      <c r="S467" t="s">
        <v>785</v>
      </c>
      <c r="T467" t="s">
        <v>134</v>
      </c>
      <c r="U467" t="s">
        <v>27</v>
      </c>
    </row>
    <row r="468" spans="1:21" x14ac:dyDescent="0.25">
      <c r="A468" t="s">
        <v>1303</v>
      </c>
      <c r="B468" t="s">
        <v>1303</v>
      </c>
      <c r="C468">
        <v>9.4540665209999997</v>
      </c>
      <c r="D468" s="27">
        <v>45945</v>
      </c>
      <c r="E468" s="27">
        <v>46507</v>
      </c>
      <c r="F468">
        <v>13.329762637</v>
      </c>
      <c r="G468">
        <v>417.24953291600002</v>
      </c>
      <c r="H468">
        <v>100.8276</v>
      </c>
      <c r="I468" t="s">
        <v>230</v>
      </c>
      <c r="J468">
        <v>20250430</v>
      </c>
      <c r="K468" t="s">
        <v>43</v>
      </c>
      <c r="L468" t="s">
        <v>43</v>
      </c>
      <c r="M468" t="s">
        <v>27</v>
      </c>
      <c r="N468" t="s">
        <v>43</v>
      </c>
      <c r="O468" t="s">
        <v>43</v>
      </c>
      <c r="P468" t="s">
        <v>1595</v>
      </c>
      <c r="Q468">
        <v>2025</v>
      </c>
      <c r="S468" t="s">
        <v>27</v>
      </c>
      <c r="T468" t="s">
        <v>155</v>
      </c>
      <c r="U468" t="s">
        <v>27</v>
      </c>
    </row>
    <row r="469" spans="1:21" x14ac:dyDescent="0.25">
      <c r="A469" t="s">
        <v>1312</v>
      </c>
      <c r="B469" t="s">
        <v>1312</v>
      </c>
      <c r="C469">
        <v>9.1235238509999999</v>
      </c>
      <c r="F469">
        <v>11.625815672</v>
      </c>
      <c r="G469">
        <v>304.53682101599998</v>
      </c>
      <c r="H469">
        <v>100.7123</v>
      </c>
      <c r="I469" t="s">
        <v>101</v>
      </c>
      <c r="J469">
        <v>20240923</v>
      </c>
      <c r="K469" t="s">
        <v>169</v>
      </c>
      <c r="L469" t="s">
        <v>43</v>
      </c>
      <c r="M469" t="s">
        <v>43</v>
      </c>
      <c r="N469" t="s">
        <v>43</v>
      </c>
      <c r="O469" t="s">
        <v>43</v>
      </c>
      <c r="P469" t="s">
        <v>1596</v>
      </c>
      <c r="Q469">
        <v>2024</v>
      </c>
      <c r="S469" t="s">
        <v>169</v>
      </c>
      <c r="T469" t="s">
        <v>159</v>
      </c>
      <c r="U469" t="s">
        <v>27</v>
      </c>
    </row>
    <row r="470" spans="1:21" x14ac:dyDescent="0.25">
      <c r="A470" t="s">
        <v>1367</v>
      </c>
      <c r="B470" t="s">
        <v>1367</v>
      </c>
      <c r="C470">
        <v>10.114242512000001</v>
      </c>
      <c r="D470" s="27">
        <v>45950</v>
      </c>
      <c r="E470" s="27">
        <v>46497</v>
      </c>
      <c r="F470">
        <v>7.5380415159999998</v>
      </c>
      <c r="G470">
        <v>647.40376874000003</v>
      </c>
      <c r="H470">
        <v>100.8477</v>
      </c>
      <c r="I470" t="s">
        <v>64</v>
      </c>
      <c r="J470">
        <v>20250408</v>
      </c>
      <c r="K470" t="s">
        <v>43</v>
      </c>
      <c r="L470" t="s">
        <v>43</v>
      </c>
      <c r="M470" t="s">
        <v>179</v>
      </c>
      <c r="N470" t="s">
        <v>43</v>
      </c>
      <c r="O470" t="s">
        <v>43</v>
      </c>
      <c r="P470" t="s">
        <v>1597</v>
      </c>
      <c r="Q470">
        <v>2025</v>
      </c>
      <c r="S470" t="s">
        <v>179</v>
      </c>
      <c r="T470" t="s">
        <v>155</v>
      </c>
      <c r="U470" t="s">
        <v>31</v>
      </c>
    </row>
    <row r="471" spans="1:21" x14ac:dyDescent="0.25">
      <c r="A471" t="s">
        <v>1370</v>
      </c>
      <c r="B471" t="s">
        <v>1370</v>
      </c>
      <c r="C471">
        <v>10.124557447999999</v>
      </c>
      <c r="D471" s="27">
        <v>45954</v>
      </c>
      <c r="E471" s="27">
        <v>46501</v>
      </c>
      <c r="F471">
        <v>7.8288732010000004</v>
      </c>
      <c r="G471">
        <v>685.13402383200003</v>
      </c>
      <c r="H471">
        <v>102.919</v>
      </c>
      <c r="I471" t="s">
        <v>67</v>
      </c>
      <c r="J471">
        <v>20250424</v>
      </c>
      <c r="K471" t="s">
        <v>43</v>
      </c>
      <c r="L471" t="s">
        <v>43</v>
      </c>
      <c r="M471" t="s">
        <v>179</v>
      </c>
      <c r="N471" t="s">
        <v>43</v>
      </c>
      <c r="O471" t="s">
        <v>43</v>
      </c>
      <c r="P471" t="s">
        <v>263</v>
      </c>
      <c r="Q471">
        <v>2025</v>
      </c>
      <c r="S471" t="s">
        <v>179</v>
      </c>
      <c r="T471" t="s">
        <v>155</v>
      </c>
      <c r="U471" t="s">
        <v>31</v>
      </c>
    </row>
    <row r="472" spans="1:21" x14ac:dyDescent="0.25">
      <c r="A472" t="s">
        <v>1374</v>
      </c>
      <c r="B472" t="s">
        <v>1374</v>
      </c>
      <c r="C472">
        <v>6.6069367569999997</v>
      </c>
      <c r="D472" s="27">
        <v>45951</v>
      </c>
      <c r="E472" s="27">
        <v>45312</v>
      </c>
      <c r="F472">
        <v>8.8159755529999995</v>
      </c>
      <c r="G472">
        <v>551.50006638000002</v>
      </c>
      <c r="H472">
        <v>100.4692</v>
      </c>
      <c r="I472" t="s">
        <v>67</v>
      </c>
      <c r="J472">
        <v>20211216</v>
      </c>
      <c r="K472" t="s">
        <v>1376</v>
      </c>
      <c r="L472" t="s">
        <v>43</v>
      </c>
      <c r="M472" t="s">
        <v>43</v>
      </c>
      <c r="N472" t="s">
        <v>43</v>
      </c>
      <c r="O472" t="s">
        <v>43</v>
      </c>
      <c r="P472" t="s">
        <v>263</v>
      </c>
      <c r="Q472">
        <v>2021</v>
      </c>
      <c r="S472" t="s">
        <v>1376</v>
      </c>
      <c r="T472" t="s">
        <v>159</v>
      </c>
      <c r="U472" t="s">
        <v>31</v>
      </c>
    </row>
    <row r="473" spans="1:21" x14ac:dyDescent="0.25">
      <c r="A473" t="s">
        <v>1372</v>
      </c>
      <c r="B473" t="s">
        <v>1372</v>
      </c>
      <c r="C473">
        <v>6.4837141789999997</v>
      </c>
      <c r="D473" s="27">
        <v>45952</v>
      </c>
      <c r="E473" s="27">
        <v>45221</v>
      </c>
      <c r="F473">
        <v>7.9722991529999998</v>
      </c>
      <c r="G473">
        <v>635.28588314800004</v>
      </c>
      <c r="H473">
        <v>100.988</v>
      </c>
      <c r="I473" t="s">
        <v>67</v>
      </c>
      <c r="J473">
        <v>20211105</v>
      </c>
      <c r="K473" t="s">
        <v>179</v>
      </c>
      <c r="L473" t="s">
        <v>43</v>
      </c>
      <c r="M473" t="s">
        <v>43</v>
      </c>
      <c r="N473" t="s">
        <v>43</v>
      </c>
      <c r="O473" t="s">
        <v>43</v>
      </c>
      <c r="P473" t="s">
        <v>263</v>
      </c>
      <c r="Q473">
        <v>2021</v>
      </c>
      <c r="S473" t="s">
        <v>179</v>
      </c>
      <c r="T473" t="s">
        <v>159</v>
      </c>
      <c r="U473" t="s">
        <v>31</v>
      </c>
    </row>
    <row r="474" spans="1:21" x14ac:dyDescent="0.25">
      <c r="A474" t="s">
        <v>1377</v>
      </c>
      <c r="B474" t="s">
        <v>1377</v>
      </c>
      <c r="C474">
        <v>8.5317047200000005</v>
      </c>
      <c r="D474" s="27">
        <v>45955</v>
      </c>
      <c r="E474" s="27">
        <v>45955</v>
      </c>
      <c r="F474">
        <v>8.7983385649999999</v>
      </c>
      <c r="G474">
        <v>712.29047227599995</v>
      </c>
      <c r="H474">
        <v>101.25320000000001</v>
      </c>
      <c r="I474" t="s">
        <v>170</v>
      </c>
      <c r="J474">
        <v>20231110</v>
      </c>
      <c r="K474" t="s">
        <v>43</v>
      </c>
      <c r="L474" t="s">
        <v>43</v>
      </c>
      <c r="M474" t="s">
        <v>1376</v>
      </c>
      <c r="N474" t="s">
        <v>43</v>
      </c>
      <c r="O474" t="s">
        <v>43</v>
      </c>
      <c r="P474" t="s">
        <v>422</v>
      </c>
      <c r="Q474">
        <v>2023</v>
      </c>
      <c r="S474" t="s">
        <v>1376</v>
      </c>
      <c r="T474" t="s">
        <v>155</v>
      </c>
      <c r="U474" t="s">
        <v>31</v>
      </c>
    </row>
    <row r="475" spans="1:21" x14ac:dyDescent="0.25">
      <c r="A475" t="s">
        <v>1379</v>
      </c>
      <c r="B475" t="s">
        <v>1379</v>
      </c>
      <c r="C475">
        <v>6.2865005329999999</v>
      </c>
      <c r="D475" s="27">
        <v>45945</v>
      </c>
      <c r="E475" s="27">
        <v>45031</v>
      </c>
      <c r="F475">
        <v>6.7196054460000001</v>
      </c>
      <c r="G475">
        <v>700.44203772100002</v>
      </c>
      <c r="H475">
        <v>100.5181</v>
      </c>
      <c r="I475" t="s">
        <v>173</v>
      </c>
      <c r="J475">
        <v>20210422</v>
      </c>
      <c r="K475" t="s">
        <v>179</v>
      </c>
      <c r="L475" t="s">
        <v>43</v>
      </c>
      <c r="M475" t="s">
        <v>43</v>
      </c>
      <c r="N475" t="s">
        <v>43</v>
      </c>
      <c r="O475" t="s">
        <v>43</v>
      </c>
      <c r="P475" t="s">
        <v>1537</v>
      </c>
      <c r="Q475">
        <v>2021</v>
      </c>
      <c r="S475" t="s">
        <v>179</v>
      </c>
      <c r="T475" t="s">
        <v>159</v>
      </c>
      <c r="U475" t="s">
        <v>31</v>
      </c>
    </row>
    <row r="476" spans="1:21" x14ac:dyDescent="0.25">
      <c r="A476" t="s">
        <v>1385</v>
      </c>
      <c r="B476" t="s">
        <v>1385</v>
      </c>
      <c r="C476">
        <v>6.5700724900000003</v>
      </c>
      <c r="D476" s="27">
        <v>45945</v>
      </c>
      <c r="E476" s="27">
        <v>45214</v>
      </c>
      <c r="F476">
        <v>8.3511177960000005</v>
      </c>
      <c r="G476">
        <v>683.79364960999999</v>
      </c>
      <c r="H476">
        <v>100.8082</v>
      </c>
      <c r="I476" t="s">
        <v>176</v>
      </c>
      <c r="J476">
        <v>20211116</v>
      </c>
      <c r="K476" t="s">
        <v>179</v>
      </c>
      <c r="L476" t="s">
        <v>43</v>
      </c>
      <c r="M476" t="s">
        <v>43</v>
      </c>
      <c r="N476" t="s">
        <v>43</v>
      </c>
      <c r="O476" t="s">
        <v>43</v>
      </c>
      <c r="P476" t="s">
        <v>1539</v>
      </c>
      <c r="Q476">
        <v>2021</v>
      </c>
      <c r="S476" t="s">
        <v>179</v>
      </c>
      <c r="T476" t="s">
        <v>159</v>
      </c>
      <c r="U476" t="s">
        <v>31</v>
      </c>
    </row>
    <row r="477" spans="1:21" x14ac:dyDescent="0.25">
      <c r="A477" t="s">
        <v>1390</v>
      </c>
      <c r="B477" t="s">
        <v>1390</v>
      </c>
      <c r="C477">
        <v>6.5513109030000001</v>
      </c>
      <c r="D477" s="27">
        <v>45947</v>
      </c>
      <c r="E477" s="27">
        <v>45124</v>
      </c>
      <c r="F477">
        <v>5.8769804649999999</v>
      </c>
      <c r="G477">
        <v>759.36583175299995</v>
      </c>
      <c r="H477">
        <v>98.934200000000004</v>
      </c>
      <c r="I477" t="s">
        <v>77</v>
      </c>
      <c r="J477">
        <v>20210719</v>
      </c>
      <c r="K477" t="s">
        <v>43</v>
      </c>
      <c r="L477" t="s">
        <v>1389</v>
      </c>
      <c r="M477" t="s">
        <v>43</v>
      </c>
      <c r="N477" t="s">
        <v>43</v>
      </c>
      <c r="O477" t="s">
        <v>43</v>
      </c>
      <c r="P477" t="s">
        <v>76</v>
      </c>
      <c r="Q477">
        <v>2021</v>
      </c>
      <c r="S477" t="s">
        <v>1389</v>
      </c>
      <c r="T477" t="s">
        <v>134</v>
      </c>
      <c r="U477" t="s">
        <v>31</v>
      </c>
    </row>
    <row r="478" spans="1:21" x14ac:dyDescent="0.25">
      <c r="A478" t="s">
        <v>1387</v>
      </c>
      <c r="B478" t="s">
        <v>1387</v>
      </c>
      <c r="C478">
        <v>6.3180231850000004</v>
      </c>
      <c r="D478" s="27">
        <v>45947</v>
      </c>
      <c r="E478" s="27">
        <v>45124</v>
      </c>
      <c r="F478">
        <v>6.321329328</v>
      </c>
      <c r="G478">
        <v>751.29930590499998</v>
      </c>
      <c r="H478">
        <v>99.283000000000001</v>
      </c>
      <c r="I478" t="s">
        <v>77</v>
      </c>
      <c r="J478">
        <v>20210624</v>
      </c>
      <c r="K478" t="s">
        <v>43</v>
      </c>
      <c r="L478" t="s">
        <v>1389</v>
      </c>
      <c r="M478" t="s">
        <v>43</v>
      </c>
      <c r="N478" t="s">
        <v>43</v>
      </c>
      <c r="O478" t="s">
        <v>43</v>
      </c>
      <c r="P478" t="s">
        <v>76</v>
      </c>
      <c r="Q478">
        <v>2021</v>
      </c>
      <c r="S478" t="s">
        <v>1389</v>
      </c>
      <c r="T478" t="s">
        <v>134</v>
      </c>
      <c r="U478" t="s">
        <v>31</v>
      </c>
    </row>
    <row r="479" spans="1:21" x14ac:dyDescent="0.25">
      <c r="A479" t="s">
        <v>1400</v>
      </c>
      <c r="B479" t="s">
        <v>1400</v>
      </c>
      <c r="C479">
        <v>3.3795795910000002</v>
      </c>
      <c r="D479" s="27">
        <v>45947</v>
      </c>
      <c r="E479" s="27">
        <v>43938</v>
      </c>
      <c r="F479">
        <v>11.515131693000001</v>
      </c>
      <c r="G479">
        <v>566.888789632</v>
      </c>
      <c r="H479">
        <v>99.248199999999997</v>
      </c>
      <c r="I479" t="s">
        <v>76</v>
      </c>
      <c r="J479">
        <v>20180329</v>
      </c>
      <c r="K479" t="s">
        <v>43</v>
      </c>
      <c r="L479" t="s">
        <v>1389</v>
      </c>
      <c r="M479" t="s">
        <v>43</v>
      </c>
      <c r="N479" t="s">
        <v>43</v>
      </c>
      <c r="O479" t="s">
        <v>43</v>
      </c>
      <c r="P479" t="s">
        <v>275</v>
      </c>
      <c r="Q479">
        <v>2018</v>
      </c>
      <c r="S479" t="s">
        <v>1389</v>
      </c>
      <c r="T479" t="s">
        <v>134</v>
      </c>
      <c r="U479" t="s">
        <v>31</v>
      </c>
    </row>
    <row r="480" spans="1:21" x14ac:dyDescent="0.25">
      <c r="A480" t="s">
        <v>1477</v>
      </c>
      <c r="B480" t="s">
        <v>1477</v>
      </c>
      <c r="C480">
        <v>3.7449948989999999</v>
      </c>
      <c r="D480" s="27">
        <v>45950</v>
      </c>
      <c r="E480" s="27">
        <v>44032</v>
      </c>
      <c r="F480">
        <v>8.3278186850000004</v>
      </c>
      <c r="G480">
        <v>594.17199313399999</v>
      </c>
      <c r="H480">
        <v>99.427199999999999</v>
      </c>
      <c r="I480" t="s">
        <v>76</v>
      </c>
      <c r="J480">
        <v>20180712</v>
      </c>
      <c r="K480" t="s">
        <v>43</v>
      </c>
      <c r="L480" t="s">
        <v>195</v>
      </c>
      <c r="M480" t="s">
        <v>43</v>
      </c>
      <c r="N480" t="s">
        <v>43</v>
      </c>
      <c r="O480" t="s">
        <v>43</v>
      </c>
      <c r="P480" t="s">
        <v>76</v>
      </c>
      <c r="Q480">
        <v>2018</v>
      </c>
      <c r="S480" t="s">
        <v>195</v>
      </c>
      <c r="T480" t="s">
        <v>134</v>
      </c>
      <c r="U480" t="s">
        <v>35</v>
      </c>
    </row>
    <row r="481" spans="1:21" x14ac:dyDescent="0.25">
      <c r="A481" t="s">
        <v>1402</v>
      </c>
      <c r="B481" t="s">
        <v>1402</v>
      </c>
      <c r="C481">
        <v>9.8476469130000002</v>
      </c>
      <c r="D481" s="27">
        <v>45945</v>
      </c>
      <c r="E481" s="27">
        <v>46492</v>
      </c>
      <c r="F481">
        <v>9.0347733429999995</v>
      </c>
      <c r="G481">
        <v>699.97590458699995</v>
      </c>
      <c r="H481">
        <v>103.44459999999999</v>
      </c>
      <c r="I481" t="s">
        <v>76</v>
      </c>
      <c r="J481">
        <v>20250430</v>
      </c>
      <c r="K481" t="s">
        <v>43</v>
      </c>
      <c r="L481" t="s">
        <v>43</v>
      </c>
      <c r="M481" t="s">
        <v>179</v>
      </c>
      <c r="N481" t="s">
        <v>43</v>
      </c>
      <c r="O481" t="s">
        <v>43</v>
      </c>
      <c r="P481" t="s">
        <v>275</v>
      </c>
      <c r="Q481">
        <v>2025</v>
      </c>
      <c r="S481" t="s">
        <v>179</v>
      </c>
      <c r="T481" t="s">
        <v>155</v>
      </c>
      <c r="U481" t="s">
        <v>31</v>
      </c>
    </row>
    <row r="482" spans="1:21" x14ac:dyDescent="0.25">
      <c r="A482" t="s">
        <v>1410</v>
      </c>
      <c r="B482" t="s">
        <v>1410</v>
      </c>
      <c r="C482">
        <v>6.3107235199999998</v>
      </c>
      <c r="D482" s="27">
        <v>45947</v>
      </c>
      <c r="E482" s="27">
        <v>45033</v>
      </c>
      <c r="F482">
        <v>8.4204110619999994</v>
      </c>
      <c r="G482">
        <v>654.07917627999996</v>
      </c>
      <c r="H482">
        <v>101.43819999999999</v>
      </c>
      <c r="I482" t="s">
        <v>181</v>
      </c>
      <c r="J482">
        <v>20210430</v>
      </c>
      <c r="K482" t="s">
        <v>179</v>
      </c>
      <c r="L482" t="s">
        <v>43</v>
      </c>
      <c r="M482" t="s">
        <v>43</v>
      </c>
      <c r="N482" t="s">
        <v>43</v>
      </c>
      <c r="O482" t="s">
        <v>43</v>
      </c>
      <c r="P482" t="s">
        <v>949</v>
      </c>
      <c r="Q482">
        <v>2021</v>
      </c>
      <c r="S482" t="s">
        <v>179</v>
      </c>
      <c r="T482" t="s">
        <v>159</v>
      </c>
      <c r="U482" t="s">
        <v>31</v>
      </c>
    </row>
    <row r="483" spans="1:21" x14ac:dyDescent="0.25">
      <c r="A483" t="s">
        <v>1408</v>
      </c>
      <c r="B483" t="s">
        <v>1408</v>
      </c>
      <c r="C483">
        <v>6.57372114</v>
      </c>
      <c r="D483" s="27">
        <v>45945</v>
      </c>
      <c r="E483" s="27">
        <v>45198</v>
      </c>
      <c r="F483">
        <v>7.3354462419999997</v>
      </c>
      <c r="G483">
        <v>662.73309319400005</v>
      </c>
      <c r="H483">
        <v>100.62779999999999</v>
      </c>
      <c r="I483" t="s">
        <v>82</v>
      </c>
      <c r="J483">
        <v>20210929</v>
      </c>
      <c r="K483" t="s">
        <v>179</v>
      </c>
      <c r="L483" t="s">
        <v>43</v>
      </c>
      <c r="M483" t="s">
        <v>43</v>
      </c>
      <c r="N483" t="s">
        <v>43</v>
      </c>
      <c r="O483" t="s">
        <v>43</v>
      </c>
      <c r="P483" t="s">
        <v>286</v>
      </c>
      <c r="Q483">
        <v>2021</v>
      </c>
      <c r="S483" t="s">
        <v>179</v>
      </c>
      <c r="T483" t="s">
        <v>159</v>
      </c>
      <c r="U483" t="s">
        <v>31</v>
      </c>
    </row>
    <row r="484" spans="1:21" x14ac:dyDescent="0.25">
      <c r="A484" t="s">
        <v>1315</v>
      </c>
      <c r="B484" t="s">
        <v>1315</v>
      </c>
      <c r="C484">
        <v>6.0821998519999996</v>
      </c>
      <c r="D484" s="27">
        <v>45949</v>
      </c>
      <c r="E484" s="27">
        <v>45031</v>
      </c>
      <c r="F484">
        <v>9.4179690479999998</v>
      </c>
      <c r="G484">
        <v>396.82827338800001</v>
      </c>
      <c r="H484">
        <v>99.468100000000007</v>
      </c>
      <c r="I484" t="s">
        <v>231</v>
      </c>
      <c r="J484">
        <v>20210415</v>
      </c>
      <c r="K484" t="s">
        <v>43</v>
      </c>
      <c r="L484" t="s">
        <v>785</v>
      </c>
      <c r="M484" t="s">
        <v>43</v>
      </c>
      <c r="N484" t="s">
        <v>43</v>
      </c>
      <c r="O484" t="s">
        <v>43</v>
      </c>
      <c r="P484" t="s">
        <v>404</v>
      </c>
      <c r="Q484">
        <v>2021</v>
      </c>
      <c r="S484" t="s">
        <v>785</v>
      </c>
      <c r="T484" t="s">
        <v>134</v>
      </c>
      <c r="U484" t="s">
        <v>27</v>
      </c>
    </row>
    <row r="485" spans="1:21" x14ac:dyDescent="0.25">
      <c r="A485" t="s">
        <v>1317</v>
      </c>
      <c r="B485" t="s">
        <v>1317</v>
      </c>
      <c r="C485">
        <v>9.0163567839999992</v>
      </c>
      <c r="D485" s="27">
        <v>45954</v>
      </c>
      <c r="E485" s="27">
        <v>46292</v>
      </c>
      <c r="F485">
        <v>11.721122547</v>
      </c>
      <c r="G485">
        <v>323.45029781800002</v>
      </c>
      <c r="H485">
        <v>100.435</v>
      </c>
      <c r="I485" t="s">
        <v>231</v>
      </c>
      <c r="J485">
        <v>20240927</v>
      </c>
      <c r="K485" t="s">
        <v>169</v>
      </c>
      <c r="L485" t="s">
        <v>43</v>
      </c>
      <c r="M485" t="s">
        <v>43</v>
      </c>
      <c r="N485" t="s">
        <v>43</v>
      </c>
      <c r="O485" t="s">
        <v>43</v>
      </c>
      <c r="P485" t="s">
        <v>404</v>
      </c>
      <c r="Q485">
        <v>2024</v>
      </c>
      <c r="S485" t="s">
        <v>169</v>
      </c>
      <c r="T485" t="s">
        <v>159</v>
      </c>
      <c r="U485" t="s">
        <v>27</v>
      </c>
    </row>
    <row r="486" spans="1:21" x14ac:dyDescent="0.25">
      <c r="A486" t="s">
        <v>713</v>
      </c>
      <c r="B486" t="s">
        <v>713</v>
      </c>
      <c r="C486">
        <v>8.1104868200000002</v>
      </c>
      <c r="D486" s="27">
        <v>45950</v>
      </c>
      <c r="E486" s="27">
        <v>46156</v>
      </c>
      <c r="F486">
        <v>17.147367139</v>
      </c>
      <c r="G486">
        <v>239.83637902000001</v>
      </c>
      <c r="H486">
        <v>100.6499</v>
      </c>
      <c r="I486" t="s">
        <v>231</v>
      </c>
      <c r="J486">
        <v>20240514</v>
      </c>
      <c r="K486" t="s">
        <v>43</v>
      </c>
      <c r="L486" t="s">
        <v>43</v>
      </c>
      <c r="M486" t="s">
        <v>23</v>
      </c>
      <c r="N486" t="s">
        <v>43</v>
      </c>
      <c r="O486" t="s">
        <v>43</v>
      </c>
      <c r="P486" t="s">
        <v>404</v>
      </c>
      <c r="Q486">
        <v>2024</v>
      </c>
      <c r="S486" t="s">
        <v>23</v>
      </c>
      <c r="T486" t="s">
        <v>155</v>
      </c>
      <c r="U486" t="s">
        <v>23</v>
      </c>
    </row>
    <row r="487" spans="1:21" x14ac:dyDescent="0.25">
      <c r="A487" t="s">
        <v>1321</v>
      </c>
      <c r="B487" t="s">
        <v>1321</v>
      </c>
      <c r="C487">
        <v>8.8212232860000004</v>
      </c>
      <c r="D487" s="27">
        <v>45944</v>
      </c>
      <c r="E487" s="27">
        <v>46197</v>
      </c>
      <c r="F487">
        <v>11.539301105</v>
      </c>
      <c r="G487">
        <v>308.14038556000003</v>
      </c>
      <c r="H487">
        <v>100.78579999999999</v>
      </c>
      <c r="I487" t="s">
        <v>231</v>
      </c>
      <c r="J487">
        <v>20240624</v>
      </c>
      <c r="K487" t="s">
        <v>43</v>
      </c>
      <c r="L487" t="s">
        <v>43</v>
      </c>
      <c r="M487" t="s">
        <v>169</v>
      </c>
      <c r="N487" t="s">
        <v>43</v>
      </c>
      <c r="O487" t="s">
        <v>43</v>
      </c>
      <c r="P487" t="s">
        <v>404</v>
      </c>
      <c r="Q487">
        <v>2024</v>
      </c>
      <c r="S487" t="s">
        <v>169</v>
      </c>
      <c r="T487" t="s">
        <v>155</v>
      </c>
      <c r="U487" t="s">
        <v>27</v>
      </c>
    </row>
    <row r="488" spans="1:21" x14ac:dyDescent="0.25">
      <c r="A488" t="s">
        <v>715</v>
      </c>
      <c r="B488" t="s">
        <v>715</v>
      </c>
      <c r="C488">
        <v>8.0876730139999999</v>
      </c>
      <c r="D488" s="27">
        <v>45947</v>
      </c>
      <c r="E488" s="27">
        <v>46099</v>
      </c>
      <c r="F488">
        <v>17.441181476000001</v>
      </c>
      <c r="G488">
        <v>232.20705271099999</v>
      </c>
      <c r="H488">
        <v>100.4953</v>
      </c>
      <c r="I488" t="s">
        <v>231</v>
      </c>
      <c r="J488">
        <v>20240318</v>
      </c>
      <c r="K488" t="s">
        <v>43</v>
      </c>
      <c r="L488" t="s">
        <v>43</v>
      </c>
      <c r="M488" t="s">
        <v>23</v>
      </c>
      <c r="N488" t="s">
        <v>43</v>
      </c>
      <c r="O488" t="s">
        <v>43</v>
      </c>
      <c r="P488" t="s">
        <v>404</v>
      </c>
      <c r="Q488">
        <v>2024</v>
      </c>
      <c r="S488" t="s">
        <v>23</v>
      </c>
      <c r="T488" t="s">
        <v>155</v>
      </c>
      <c r="U488" t="s">
        <v>23</v>
      </c>
    </row>
    <row r="489" spans="1:21" x14ac:dyDescent="0.25">
      <c r="A489" t="s">
        <v>1319</v>
      </c>
      <c r="B489" t="s">
        <v>1319</v>
      </c>
      <c r="C489">
        <v>8.6752204509999995</v>
      </c>
      <c r="D489" s="27">
        <v>45947</v>
      </c>
      <c r="E489" s="27">
        <v>46099</v>
      </c>
      <c r="F489">
        <v>11.400292316</v>
      </c>
      <c r="G489">
        <v>344.44009039000002</v>
      </c>
      <c r="H489">
        <v>100.3528</v>
      </c>
      <c r="I489" t="s">
        <v>231</v>
      </c>
      <c r="J489">
        <v>20240318</v>
      </c>
      <c r="K489" t="s">
        <v>43</v>
      </c>
      <c r="L489" t="s">
        <v>43</v>
      </c>
      <c r="M489" t="s">
        <v>169</v>
      </c>
      <c r="N489" t="s">
        <v>43</v>
      </c>
      <c r="O489" t="s">
        <v>43</v>
      </c>
      <c r="P489" t="s">
        <v>404</v>
      </c>
      <c r="Q489">
        <v>2024</v>
      </c>
      <c r="S489" t="s">
        <v>169</v>
      </c>
      <c r="T489" t="s">
        <v>155</v>
      </c>
      <c r="U489" t="s">
        <v>27</v>
      </c>
    </row>
    <row r="490" spans="1:21" x14ac:dyDescent="0.25">
      <c r="A490" t="s">
        <v>717</v>
      </c>
      <c r="B490" t="s">
        <v>717</v>
      </c>
      <c r="C490">
        <v>8.4284171350000001</v>
      </c>
      <c r="D490" s="27">
        <v>45951</v>
      </c>
      <c r="E490" s="27">
        <v>46292</v>
      </c>
      <c r="F490">
        <v>18.191883521000001</v>
      </c>
      <c r="G490">
        <v>188.20571069600001</v>
      </c>
      <c r="H490">
        <v>100.45489999999999</v>
      </c>
      <c r="I490" t="s">
        <v>181</v>
      </c>
      <c r="J490">
        <v>20240927</v>
      </c>
      <c r="K490" t="s">
        <v>43</v>
      </c>
      <c r="L490" t="s">
        <v>43</v>
      </c>
      <c r="M490" t="s">
        <v>23</v>
      </c>
      <c r="N490" t="s">
        <v>43</v>
      </c>
      <c r="O490" t="s">
        <v>43</v>
      </c>
      <c r="P490" t="s">
        <v>1598</v>
      </c>
      <c r="Q490">
        <v>2024</v>
      </c>
      <c r="S490" t="s">
        <v>23</v>
      </c>
      <c r="T490" t="s">
        <v>155</v>
      </c>
      <c r="U490" t="s">
        <v>23</v>
      </c>
    </row>
    <row r="491" spans="1:21" x14ac:dyDescent="0.25">
      <c r="A491" t="s">
        <v>1324</v>
      </c>
      <c r="B491" t="s">
        <v>1324</v>
      </c>
      <c r="C491">
        <v>8.9716997030000005</v>
      </c>
      <c r="D491" s="27">
        <v>45951</v>
      </c>
      <c r="E491" s="27">
        <v>46292</v>
      </c>
      <c r="F491">
        <v>12.205923778000001</v>
      </c>
      <c r="G491">
        <v>290.09456317899998</v>
      </c>
      <c r="H491">
        <v>100.32680000000001</v>
      </c>
      <c r="I491" t="s">
        <v>181</v>
      </c>
      <c r="J491">
        <v>20240927</v>
      </c>
      <c r="K491" t="s">
        <v>43</v>
      </c>
      <c r="L491" t="s">
        <v>43</v>
      </c>
      <c r="M491" t="s">
        <v>169</v>
      </c>
      <c r="N491" t="s">
        <v>43</v>
      </c>
      <c r="O491" t="s">
        <v>43</v>
      </c>
      <c r="P491" t="s">
        <v>1598</v>
      </c>
      <c r="Q491">
        <v>2024</v>
      </c>
      <c r="S491" t="s">
        <v>169</v>
      </c>
      <c r="T491" t="s">
        <v>155</v>
      </c>
      <c r="U491" t="s">
        <v>27</v>
      </c>
    </row>
    <row r="492" spans="1:21" x14ac:dyDescent="0.25">
      <c r="A492" t="s">
        <v>556</v>
      </c>
      <c r="B492" t="s">
        <v>556</v>
      </c>
      <c r="C492">
        <v>2.608461208</v>
      </c>
      <c r="D492" s="27">
        <v>45950</v>
      </c>
      <c r="E492" s="27">
        <v>45575</v>
      </c>
      <c r="F492">
        <v>39.940097578</v>
      </c>
      <c r="G492">
        <v>233.152102281</v>
      </c>
      <c r="H492">
        <v>100.1764</v>
      </c>
      <c r="I492" t="s">
        <v>164</v>
      </c>
      <c r="J492">
        <v>20181121</v>
      </c>
      <c r="K492" t="s">
        <v>43</v>
      </c>
      <c r="L492" t="s">
        <v>139</v>
      </c>
      <c r="M492" t="s">
        <v>43</v>
      </c>
      <c r="N492" t="s">
        <v>43</v>
      </c>
      <c r="O492" t="s">
        <v>43</v>
      </c>
      <c r="P492" t="s">
        <v>207</v>
      </c>
      <c r="Q492">
        <v>2018</v>
      </c>
      <c r="S492" t="s">
        <v>139</v>
      </c>
      <c r="T492" t="s">
        <v>134</v>
      </c>
      <c r="U492" t="s">
        <v>19</v>
      </c>
    </row>
    <row r="493" spans="1:21" x14ac:dyDescent="0.25">
      <c r="A493" t="s">
        <v>730</v>
      </c>
      <c r="B493" t="s">
        <v>730</v>
      </c>
      <c r="C493">
        <v>3.0372591280000001</v>
      </c>
      <c r="D493" s="27">
        <v>45950</v>
      </c>
      <c r="E493" s="27">
        <v>45575</v>
      </c>
      <c r="F493">
        <v>23.513109922000002</v>
      </c>
      <c r="G493">
        <v>334.86797752899997</v>
      </c>
      <c r="H493">
        <v>99.759600000000006</v>
      </c>
      <c r="I493" t="s">
        <v>164</v>
      </c>
      <c r="J493">
        <v>20181121</v>
      </c>
      <c r="K493" t="s">
        <v>43</v>
      </c>
      <c r="L493" t="s">
        <v>722</v>
      </c>
      <c r="M493" t="s">
        <v>43</v>
      </c>
      <c r="N493" t="s">
        <v>43</v>
      </c>
      <c r="O493" t="s">
        <v>43</v>
      </c>
      <c r="P493" t="s">
        <v>207</v>
      </c>
      <c r="Q493">
        <v>2018</v>
      </c>
      <c r="S493" t="s">
        <v>722</v>
      </c>
      <c r="T493" t="s">
        <v>134</v>
      </c>
      <c r="U493" t="s">
        <v>23</v>
      </c>
    </row>
    <row r="494" spans="1:21" x14ac:dyDescent="0.25">
      <c r="A494" t="s">
        <v>1339</v>
      </c>
      <c r="B494" t="s">
        <v>1339</v>
      </c>
      <c r="C494">
        <v>9.4915971619999997</v>
      </c>
      <c r="D494" s="27">
        <v>45955</v>
      </c>
      <c r="E494" s="27">
        <v>46446</v>
      </c>
      <c r="F494">
        <v>12.000000002</v>
      </c>
      <c r="G494">
        <v>259.71022649899999</v>
      </c>
      <c r="H494">
        <v>100.3745</v>
      </c>
      <c r="I494" t="s">
        <v>153</v>
      </c>
      <c r="J494">
        <v>20250228</v>
      </c>
      <c r="K494" t="s">
        <v>43</v>
      </c>
      <c r="L494" t="s">
        <v>43</v>
      </c>
      <c r="M494" t="s">
        <v>169</v>
      </c>
      <c r="N494" t="s">
        <v>43</v>
      </c>
      <c r="O494" t="s">
        <v>43</v>
      </c>
      <c r="P494" t="s">
        <v>537</v>
      </c>
      <c r="Q494">
        <v>2025</v>
      </c>
      <c r="S494" t="s">
        <v>169</v>
      </c>
      <c r="T494" t="s">
        <v>155</v>
      </c>
      <c r="U494" t="s">
        <v>27</v>
      </c>
    </row>
    <row r="495" spans="1:21" x14ac:dyDescent="0.25">
      <c r="A495" t="s">
        <v>1329</v>
      </c>
      <c r="B495" t="s">
        <v>1329</v>
      </c>
      <c r="C495">
        <v>8.8980780819999996</v>
      </c>
      <c r="D495" s="27">
        <v>45955</v>
      </c>
      <c r="E495" s="27">
        <v>46221</v>
      </c>
      <c r="F495">
        <v>11.710919390999999</v>
      </c>
      <c r="G495">
        <v>305.97899989000001</v>
      </c>
      <c r="H495">
        <v>100.6</v>
      </c>
      <c r="I495" t="s">
        <v>232</v>
      </c>
      <c r="J495">
        <v>20240718</v>
      </c>
      <c r="K495" t="s">
        <v>43</v>
      </c>
      <c r="L495" t="s">
        <v>43</v>
      </c>
      <c r="M495" t="s">
        <v>169</v>
      </c>
      <c r="N495" t="s">
        <v>43</v>
      </c>
      <c r="O495" t="s">
        <v>43</v>
      </c>
      <c r="P495" t="s">
        <v>537</v>
      </c>
      <c r="Q495">
        <v>2024</v>
      </c>
      <c r="S495" t="s">
        <v>169</v>
      </c>
      <c r="T495" t="s">
        <v>155</v>
      </c>
      <c r="U495" t="s">
        <v>27</v>
      </c>
    </row>
    <row r="496" spans="1:21" x14ac:dyDescent="0.25">
      <c r="A496" t="s">
        <v>1331</v>
      </c>
      <c r="B496" t="s">
        <v>1331</v>
      </c>
      <c r="C496">
        <v>8.1162619249999999</v>
      </c>
      <c r="D496" s="27">
        <v>45955</v>
      </c>
      <c r="E496" s="27">
        <v>46162</v>
      </c>
      <c r="F496">
        <v>11.487736732</v>
      </c>
      <c r="G496">
        <v>343.86358799800001</v>
      </c>
      <c r="H496">
        <v>100.3717</v>
      </c>
      <c r="I496" t="s">
        <v>232</v>
      </c>
      <c r="J496">
        <v>20240520</v>
      </c>
      <c r="K496" t="s">
        <v>43</v>
      </c>
      <c r="L496" t="s">
        <v>43</v>
      </c>
      <c r="M496" t="s">
        <v>27</v>
      </c>
      <c r="N496" t="s">
        <v>43</v>
      </c>
      <c r="O496" t="s">
        <v>43</v>
      </c>
      <c r="P496" t="s">
        <v>537</v>
      </c>
      <c r="Q496">
        <v>2024</v>
      </c>
      <c r="S496" t="s">
        <v>27</v>
      </c>
      <c r="T496" t="s">
        <v>155</v>
      </c>
      <c r="U496" t="s">
        <v>27</v>
      </c>
    </row>
    <row r="497" spans="1:21" x14ac:dyDescent="0.25">
      <c r="A497" t="s">
        <v>723</v>
      </c>
      <c r="B497" t="s">
        <v>723</v>
      </c>
      <c r="C497">
        <v>8.5544359290000003</v>
      </c>
      <c r="D497" s="27">
        <v>45950</v>
      </c>
      <c r="E497" s="27">
        <v>46316</v>
      </c>
      <c r="F497">
        <v>17.706686855000001</v>
      </c>
      <c r="G497">
        <v>191.980853849</v>
      </c>
      <c r="H497">
        <v>100.5433</v>
      </c>
      <c r="I497" t="s">
        <v>233</v>
      </c>
      <c r="J497">
        <v>20241021</v>
      </c>
      <c r="K497" t="s">
        <v>43</v>
      </c>
      <c r="L497" t="s">
        <v>43</v>
      </c>
      <c r="M497" t="s">
        <v>23</v>
      </c>
      <c r="N497" t="s">
        <v>43</v>
      </c>
      <c r="O497" t="s">
        <v>43</v>
      </c>
      <c r="P497" t="s">
        <v>537</v>
      </c>
      <c r="Q497">
        <v>2024</v>
      </c>
      <c r="S497" t="s">
        <v>23</v>
      </c>
      <c r="T497" t="s">
        <v>155</v>
      </c>
      <c r="U497" t="s">
        <v>23</v>
      </c>
    </row>
    <row r="498" spans="1:21" x14ac:dyDescent="0.25">
      <c r="A498" t="s">
        <v>1406</v>
      </c>
      <c r="B498" t="s">
        <v>1406</v>
      </c>
      <c r="C498">
        <v>6.3979172569999996</v>
      </c>
      <c r="D498" s="27">
        <v>45950</v>
      </c>
      <c r="E498" s="27">
        <v>45127</v>
      </c>
      <c r="F498">
        <v>7.5711369089999998</v>
      </c>
      <c r="H498">
        <v>100.005</v>
      </c>
      <c r="I498" t="s">
        <v>82</v>
      </c>
      <c r="J498">
        <v>20210708</v>
      </c>
      <c r="K498" t="s">
        <v>43</v>
      </c>
      <c r="L498" t="s">
        <v>1389</v>
      </c>
      <c r="M498" t="s">
        <v>43</v>
      </c>
      <c r="N498" t="s">
        <v>43</v>
      </c>
      <c r="O498" t="s">
        <v>43</v>
      </c>
      <c r="P498" t="s">
        <v>286</v>
      </c>
      <c r="Q498">
        <v>2021</v>
      </c>
      <c r="S498" t="s">
        <v>1389</v>
      </c>
      <c r="T498" t="s">
        <v>134</v>
      </c>
      <c r="U498" t="s">
        <v>31</v>
      </c>
    </row>
    <row r="499" spans="1:21" x14ac:dyDescent="0.25">
      <c r="A499" t="s">
        <v>1414</v>
      </c>
      <c r="B499" t="s">
        <v>1414</v>
      </c>
      <c r="C499">
        <v>6.9013661749999997</v>
      </c>
      <c r="D499" s="27">
        <v>45950</v>
      </c>
      <c r="E499" s="27">
        <v>45402</v>
      </c>
      <c r="F499">
        <v>6.8025773000000003</v>
      </c>
      <c r="H499">
        <v>100.6848</v>
      </c>
      <c r="I499" t="s">
        <v>86</v>
      </c>
      <c r="J499">
        <v>20220321</v>
      </c>
      <c r="K499" t="s">
        <v>179</v>
      </c>
      <c r="L499" t="s">
        <v>43</v>
      </c>
      <c r="M499" t="s">
        <v>43</v>
      </c>
      <c r="N499" t="s">
        <v>43</v>
      </c>
      <c r="O499" t="s">
        <v>43</v>
      </c>
      <c r="P499" t="s">
        <v>1599</v>
      </c>
      <c r="Q499">
        <v>2022</v>
      </c>
      <c r="S499" t="s">
        <v>179</v>
      </c>
      <c r="T499" t="s">
        <v>159</v>
      </c>
      <c r="U499" t="s">
        <v>31</v>
      </c>
    </row>
    <row r="500" spans="1:21" x14ac:dyDescent="0.25">
      <c r="A500" t="s">
        <v>1416</v>
      </c>
      <c r="B500" t="s">
        <v>1416</v>
      </c>
      <c r="C500">
        <v>6.1085949670000002</v>
      </c>
      <c r="D500" s="27">
        <v>45950</v>
      </c>
      <c r="E500" s="27">
        <v>46060</v>
      </c>
      <c r="F500">
        <v>7.2192302110000002</v>
      </c>
      <c r="G500">
        <v>479.29328309599998</v>
      </c>
      <c r="H500">
        <v>98.584900000000005</v>
      </c>
      <c r="I500" t="s">
        <v>234</v>
      </c>
      <c r="J500">
        <v>20250207</v>
      </c>
      <c r="K500" t="s">
        <v>179</v>
      </c>
      <c r="L500" t="s">
        <v>43</v>
      </c>
      <c r="M500" t="s">
        <v>43</v>
      </c>
      <c r="N500" t="s">
        <v>43</v>
      </c>
      <c r="O500" t="s">
        <v>43</v>
      </c>
      <c r="P500" t="s">
        <v>306</v>
      </c>
      <c r="Q500">
        <v>2025</v>
      </c>
      <c r="S500" t="s">
        <v>179</v>
      </c>
      <c r="T500" t="s">
        <v>159</v>
      </c>
      <c r="U500" t="s">
        <v>31</v>
      </c>
    </row>
    <row r="501" spans="1:21" x14ac:dyDescent="0.25">
      <c r="A501" t="s">
        <v>1418</v>
      </c>
      <c r="B501" t="s">
        <v>1418</v>
      </c>
      <c r="C501">
        <v>8.5456958170000004</v>
      </c>
      <c r="D501" s="27">
        <v>45950</v>
      </c>
      <c r="E501" s="27">
        <v>45950</v>
      </c>
      <c r="F501">
        <v>8.2379013249999993</v>
      </c>
      <c r="G501">
        <v>636.83926997200001</v>
      </c>
      <c r="H501">
        <v>100.7403</v>
      </c>
      <c r="I501" t="s">
        <v>94</v>
      </c>
      <c r="J501">
        <v>20230914</v>
      </c>
      <c r="K501" t="s">
        <v>43</v>
      </c>
      <c r="L501" t="s">
        <v>43</v>
      </c>
      <c r="M501" t="s">
        <v>179</v>
      </c>
      <c r="N501" t="s">
        <v>43</v>
      </c>
      <c r="O501" t="s">
        <v>43</v>
      </c>
      <c r="P501" t="s">
        <v>306</v>
      </c>
      <c r="Q501">
        <v>2023</v>
      </c>
      <c r="S501" t="s">
        <v>179</v>
      </c>
      <c r="T501" t="s">
        <v>155</v>
      </c>
      <c r="U501" t="s">
        <v>31</v>
      </c>
    </row>
    <row r="502" spans="1:21" x14ac:dyDescent="0.25">
      <c r="A502" t="s">
        <v>1422</v>
      </c>
      <c r="B502" t="s">
        <v>1422</v>
      </c>
      <c r="C502">
        <v>6.8361607070000003</v>
      </c>
      <c r="D502" s="27">
        <v>45953</v>
      </c>
      <c r="E502" s="27">
        <v>45283</v>
      </c>
      <c r="F502">
        <v>6.7663357309999999</v>
      </c>
      <c r="H502">
        <v>100.005</v>
      </c>
      <c r="I502" t="s">
        <v>102</v>
      </c>
      <c r="J502">
        <v>20211223</v>
      </c>
      <c r="K502" t="s">
        <v>43</v>
      </c>
      <c r="L502" t="s">
        <v>1389</v>
      </c>
      <c r="M502" t="s">
        <v>43</v>
      </c>
      <c r="N502" t="s">
        <v>43</v>
      </c>
      <c r="O502" t="s">
        <v>43</v>
      </c>
      <c r="P502" t="s">
        <v>312</v>
      </c>
      <c r="Q502">
        <v>2021</v>
      </c>
      <c r="S502" t="s">
        <v>1389</v>
      </c>
      <c r="T502" t="s">
        <v>134</v>
      </c>
      <c r="U502" t="s">
        <v>31</v>
      </c>
    </row>
    <row r="503" spans="1:21" x14ac:dyDescent="0.25">
      <c r="A503" t="s">
        <v>1424</v>
      </c>
      <c r="B503" t="s">
        <v>1424</v>
      </c>
      <c r="C503">
        <v>6.6054041970000004</v>
      </c>
      <c r="D503" s="27">
        <v>45950</v>
      </c>
      <c r="E503" s="27">
        <v>46009</v>
      </c>
      <c r="F503">
        <v>6.3022472110000001</v>
      </c>
      <c r="G503">
        <v>796.68831746900003</v>
      </c>
      <c r="H503">
        <v>98.888599999999997</v>
      </c>
      <c r="I503" t="s">
        <v>104</v>
      </c>
      <c r="J503">
        <v>20211027</v>
      </c>
      <c r="K503" t="s">
        <v>43</v>
      </c>
      <c r="L503" t="s">
        <v>1389</v>
      </c>
      <c r="M503" t="s">
        <v>43</v>
      </c>
      <c r="N503" t="s">
        <v>43</v>
      </c>
      <c r="O503" t="s">
        <v>43</v>
      </c>
      <c r="P503" t="s">
        <v>323</v>
      </c>
      <c r="Q503">
        <v>2021</v>
      </c>
      <c r="S503" t="s">
        <v>1389</v>
      </c>
      <c r="T503" t="s">
        <v>134</v>
      </c>
      <c r="U503" t="s">
        <v>31</v>
      </c>
    </row>
    <row r="504" spans="1:21" x14ac:dyDescent="0.25">
      <c r="A504" t="s">
        <v>1428</v>
      </c>
      <c r="B504" t="s">
        <v>1428</v>
      </c>
      <c r="C504">
        <v>6.4809548530000001</v>
      </c>
      <c r="D504" s="27">
        <v>45950</v>
      </c>
      <c r="E504" s="27">
        <v>45080</v>
      </c>
      <c r="F504">
        <v>6.471196516</v>
      </c>
      <c r="G504">
        <v>710.97768060099997</v>
      </c>
      <c r="H504">
        <v>98.867199999999997</v>
      </c>
      <c r="I504" t="s">
        <v>109</v>
      </c>
      <c r="J504">
        <v>20210603</v>
      </c>
      <c r="K504" t="s">
        <v>179</v>
      </c>
      <c r="L504" t="s">
        <v>43</v>
      </c>
      <c r="M504" t="s">
        <v>43</v>
      </c>
      <c r="N504" t="s">
        <v>43</v>
      </c>
      <c r="O504" t="s">
        <v>43</v>
      </c>
      <c r="P504" t="s">
        <v>489</v>
      </c>
      <c r="Q504">
        <v>2021</v>
      </c>
      <c r="S504" t="s">
        <v>179</v>
      </c>
      <c r="T504" t="s">
        <v>159</v>
      </c>
      <c r="U504" t="s">
        <v>31</v>
      </c>
    </row>
    <row r="505" spans="1:21" x14ac:dyDescent="0.25">
      <c r="A505" t="s">
        <v>1430</v>
      </c>
      <c r="B505" t="s">
        <v>1430</v>
      </c>
      <c r="C505">
        <v>6.6193589729999998</v>
      </c>
      <c r="D505" s="27">
        <v>45945</v>
      </c>
      <c r="E505" s="27">
        <v>45214</v>
      </c>
      <c r="F505">
        <v>6.0889083169999996</v>
      </c>
      <c r="G505">
        <v>797.56040654100002</v>
      </c>
      <c r="H505">
        <v>97.968500000000006</v>
      </c>
      <c r="I505" t="s">
        <v>109</v>
      </c>
      <c r="J505">
        <v>20211102</v>
      </c>
      <c r="K505" t="s">
        <v>43</v>
      </c>
      <c r="L505" t="s">
        <v>1389</v>
      </c>
      <c r="M505" t="s">
        <v>43</v>
      </c>
      <c r="N505" t="s">
        <v>43</v>
      </c>
      <c r="O505" t="s">
        <v>43</v>
      </c>
      <c r="P505" t="s">
        <v>489</v>
      </c>
      <c r="Q505">
        <v>2021</v>
      </c>
      <c r="S505" t="s">
        <v>1389</v>
      </c>
      <c r="T505" t="s">
        <v>134</v>
      </c>
      <c r="U505" t="s">
        <v>31</v>
      </c>
    </row>
    <row r="506" spans="1:21" x14ac:dyDescent="0.25">
      <c r="A506" t="s">
        <v>1426</v>
      </c>
      <c r="B506" t="s">
        <v>1426</v>
      </c>
      <c r="C506">
        <v>7.0719032500000001</v>
      </c>
      <c r="D506" s="27">
        <v>45945</v>
      </c>
      <c r="E506" s="27">
        <v>45376</v>
      </c>
      <c r="F506">
        <v>6.0040804679999997</v>
      </c>
      <c r="G506">
        <v>749.59787362500003</v>
      </c>
      <c r="H506">
        <v>96.074299999999994</v>
      </c>
      <c r="I506" t="s">
        <v>109</v>
      </c>
      <c r="J506">
        <v>20220325</v>
      </c>
      <c r="K506" t="s">
        <v>43</v>
      </c>
      <c r="L506" t="s">
        <v>1389</v>
      </c>
      <c r="M506" t="s">
        <v>43</v>
      </c>
      <c r="N506" t="s">
        <v>43</v>
      </c>
      <c r="O506" t="s">
        <v>43</v>
      </c>
      <c r="P506" t="s">
        <v>489</v>
      </c>
      <c r="Q506">
        <v>2022</v>
      </c>
      <c r="S506" t="s">
        <v>1389</v>
      </c>
      <c r="T506" t="s">
        <v>134</v>
      </c>
      <c r="U506" t="s">
        <v>31</v>
      </c>
    </row>
    <row r="507" spans="1:21" x14ac:dyDescent="0.25">
      <c r="A507" t="s">
        <v>1478</v>
      </c>
      <c r="B507" t="s">
        <v>1478</v>
      </c>
      <c r="C507">
        <v>4.218523362</v>
      </c>
      <c r="D507" s="27">
        <v>45945</v>
      </c>
      <c r="E507" s="27">
        <v>45031</v>
      </c>
      <c r="F507">
        <v>10.123630137999999</v>
      </c>
      <c r="G507">
        <v>949.88684991100001</v>
      </c>
      <c r="H507">
        <v>102.1258</v>
      </c>
      <c r="I507" t="s">
        <v>164</v>
      </c>
      <c r="J507">
        <v>20210526</v>
      </c>
      <c r="K507" t="s">
        <v>43</v>
      </c>
      <c r="L507" t="s">
        <v>195</v>
      </c>
      <c r="M507" t="s">
        <v>43</v>
      </c>
      <c r="N507" t="s">
        <v>43</v>
      </c>
      <c r="O507" t="s">
        <v>43</v>
      </c>
      <c r="P507" t="s">
        <v>1570</v>
      </c>
      <c r="Q507">
        <v>2021</v>
      </c>
      <c r="S507" t="s">
        <v>195</v>
      </c>
      <c r="T507" t="s">
        <v>134</v>
      </c>
      <c r="U507" t="s">
        <v>35</v>
      </c>
    </row>
    <row r="508" spans="1:21" x14ac:dyDescent="0.25">
      <c r="A508" t="s">
        <v>1432</v>
      </c>
      <c r="B508" t="s">
        <v>1432</v>
      </c>
      <c r="C508">
        <v>6.6210127060000001</v>
      </c>
      <c r="D508" s="27">
        <v>45952</v>
      </c>
      <c r="E508" s="27">
        <v>45917</v>
      </c>
      <c r="F508">
        <v>7.0190297690000003</v>
      </c>
      <c r="G508">
        <v>672.29982230099995</v>
      </c>
      <c r="H508">
        <v>98.966899999999995</v>
      </c>
      <c r="I508" t="s">
        <v>111</v>
      </c>
      <c r="J508">
        <v>20211028</v>
      </c>
      <c r="K508" t="s">
        <v>179</v>
      </c>
      <c r="L508" t="s">
        <v>43</v>
      </c>
      <c r="M508" t="s">
        <v>43</v>
      </c>
      <c r="N508" t="s">
        <v>43</v>
      </c>
      <c r="O508" t="s">
        <v>43</v>
      </c>
      <c r="P508" t="s">
        <v>335</v>
      </c>
      <c r="Q508">
        <v>2021</v>
      </c>
      <c r="S508" t="s">
        <v>179</v>
      </c>
      <c r="T508" t="s">
        <v>159</v>
      </c>
      <c r="U508" t="s">
        <v>31</v>
      </c>
    </row>
    <row r="509" spans="1:21" x14ac:dyDescent="0.25">
      <c r="A509" t="s">
        <v>1475</v>
      </c>
      <c r="B509" t="s">
        <v>1475</v>
      </c>
      <c r="C509">
        <v>6.6539392880000001</v>
      </c>
      <c r="D509" s="27">
        <v>45947</v>
      </c>
      <c r="E509" s="27">
        <v>45216</v>
      </c>
      <c r="F509">
        <v>5.0222599319999999</v>
      </c>
      <c r="G509">
        <v>815.03287198199996</v>
      </c>
      <c r="H509">
        <v>96.0535</v>
      </c>
      <c r="I509" t="s">
        <v>152</v>
      </c>
      <c r="J509">
        <v>20211123</v>
      </c>
      <c r="K509" t="s">
        <v>43</v>
      </c>
      <c r="L509" t="s">
        <v>1389</v>
      </c>
      <c r="M509" t="s">
        <v>43</v>
      </c>
      <c r="N509" t="s">
        <v>43</v>
      </c>
      <c r="O509" t="s">
        <v>43</v>
      </c>
      <c r="P509" t="s">
        <v>733</v>
      </c>
      <c r="Q509">
        <v>2021</v>
      </c>
      <c r="S509" t="s">
        <v>1389</v>
      </c>
      <c r="T509" t="s">
        <v>134</v>
      </c>
      <c r="U509" t="s">
        <v>31</v>
      </c>
    </row>
    <row r="510" spans="1:21" x14ac:dyDescent="0.25">
      <c r="A510" t="s">
        <v>1442</v>
      </c>
      <c r="B510" t="s">
        <v>1442</v>
      </c>
      <c r="C510">
        <v>10.012150377999999</v>
      </c>
      <c r="D510" s="27">
        <v>45950</v>
      </c>
      <c r="E510" s="27">
        <v>46497</v>
      </c>
      <c r="F510">
        <v>8.4791859269999996</v>
      </c>
      <c r="G510">
        <v>710.59567516100003</v>
      </c>
      <c r="H510">
        <v>104.81059999999999</v>
      </c>
      <c r="I510" t="s">
        <v>130</v>
      </c>
      <c r="J510">
        <v>20250425</v>
      </c>
      <c r="K510" t="s">
        <v>43</v>
      </c>
      <c r="L510" t="s">
        <v>43</v>
      </c>
      <c r="M510" t="s">
        <v>179</v>
      </c>
      <c r="N510" t="s">
        <v>43</v>
      </c>
      <c r="O510" t="s">
        <v>43</v>
      </c>
      <c r="P510" t="s">
        <v>1600</v>
      </c>
      <c r="Q510">
        <v>2025</v>
      </c>
      <c r="S510" t="s">
        <v>179</v>
      </c>
      <c r="T510" t="s">
        <v>155</v>
      </c>
      <c r="U510" t="s">
        <v>31</v>
      </c>
    </row>
    <row r="511" spans="1:21" x14ac:dyDescent="0.25">
      <c r="A511" t="s">
        <v>1444</v>
      </c>
      <c r="B511" t="s">
        <v>1444</v>
      </c>
      <c r="C511">
        <v>8.5149907979999995</v>
      </c>
      <c r="D511" s="27">
        <v>45950</v>
      </c>
      <c r="E511" s="27">
        <v>45950</v>
      </c>
      <c r="F511">
        <v>8.5743775919999994</v>
      </c>
      <c r="G511">
        <v>702.34774762899997</v>
      </c>
      <c r="H511">
        <v>101.194</v>
      </c>
      <c r="I511" t="s">
        <v>130</v>
      </c>
      <c r="J511">
        <v>20231109</v>
      </c>
      <c r="K511" t="s">
        <v>43</v>
      </c>
      <c r="L511" t="s">
        <v>43</v>
      </c>
      <c r="M511" t="s">
        <v>179</v>
      </c>
      <c r="N511" t="s">
        <v>43</v>
      </c>
      <c r="O511" t="s">
        <v>43</v>
      </c>
      <c r="P511" t="s">
        <v>1583</v>
      </c>
      <c r="Q511">
        <v>2023</v>
      </c>
      <c r="S511" t="s">
        <v>179</v>
      </c>
      <c r="T511" t="s">
        <v>155</v>
      </c>
      <c r="U511" t="s">
        <v>31</v>
      </c>
    </row>
    <row r="512" spans="1:21" x14ac:dyDescent="0.25">
      <c r="A512" t="s">
        <v>1368</v>
      </c>
      <c r="B512" t="s">
        <v>1368</v>
      </c>
      <c r="C512">
        <v>9.3036256569999995</v>
      </c>
      <c r="D512" s="27">
        <v>45955</v>
      </c>
      <c r="E512" s="27">
        <v>46187</v>
      </c>
      <c r="F512">
        <v>8.1004611919999991</v>
      </c>
      <c r="G512">
        <v>615.33179301400003</v>
      </c>
      <c r="H512">
        <v>100.88249999999999</v>
      </c>
      <c r="I512" t="s">
        <v>222</v>
      </c>
      <c r="J512">
        <v>20240614</v>
      </c>
      <c r="K512" t="s">
        <v>179</v>
      </c>
      <c r="L512" t="s">
        <v>43</v>
      </c>
      <c r="M512" t="s">
        <v>43</v>
      </c>
      <c r="N512" t="s">
        <v>43</v>
      </c>
      <c r="O512" t="s">
        <v>43</v>
      </c>
      <c r="P512" t="s">
        <v>1584</v>
      </c>
      <c r="Q512">
        <v>2024</v>
      </c>
      <c r="S512" t="s">
        <v>179</v>
      </c>
      <c r="T512" t="s">
        <v>159</v>
      </c>
      <c r="U512" t="s">
        <v>31</v>
      </c>
    </row>
    <row r="513" spans="1:21" x14ac:dyDescent="0.25">
      <c r="A513" t="s">
        <v>1446</v>
      </c>
      <c r="B513" t="s">
        <v>1446</v>
      </c>
      <c r="C513">
        <v>8.7018886179999999</v>
      </c>
      <c r="D513" s="27">
        <v>45884</v>
      </c>
      <c r="E513" s="27">
        <v>45976</v>
      </c>
      <c r="F513">
        <v>8.4228172620000006</v>
      </c>
      <c r="G513">
        <v>706.51012463999996</v>
      </c>
      <c r="H513">
        <v>101.041</v>
      </c>
      <c r="I513" t="s">
        <v>235</v>
      </c>
      <c r="J513">
        <v>20231221</v>
      </c>
      <c r="K513" t="s">
        <v>179</v>
      </c>
      <c r="L513" t="s">
        <v>43</v>
      </c>
      <c r="M513" t="s">
        <v>43</v>
      </c>
      <c r="N513" t="s">
        <v>43</v>
      </c>
      <c r="O513" t="s">
        <v>43</v>
      </c>
      <c r="P513" t="s">
        <v>374</v>
      </c>
      <c r="Q513">
        <v>2023</v>
      </c>
      <c r="S513" t="s">
        <v>179</v>
      </c>
      <c r="T513" t="s">
        <v>159</v>
      </c>
      <c r="U513" t="s">
        <v>31</v>
      </c>
    </row>
    <row r="514" spans="1:21" x14ac:dyDescent="0.25">
      <c r="A514" t="s">
        <v>1454</v>
      </c>
      <c r="B514" t="s">
        <v>1454</v>
      </c>
      <c r="C514">
        <v>6.2760731610000002</v>
      </c>
      <c r="D514" s="27">
        <v>45945</v>
      </c>
      <c r="E514" s="27">
        <v>45016</v>
      </c>
      <c r="F514">
        <v>6.6160985859999997</v>
      </c>
      <c r="G514">
        <v>649.14171620499997</v>
      </c>
      <c r="H514">
        <v>99.841999999999999</v>
      </c>
      <c r="I514" t="s">
        <v>140</v>
      </c>
      <c r="J514">
        <v>20210331</v>
      </c>
      <c r="K514" t="s">
        <v>179</v>
      </c>
      <c r="L514" t="s">
        <v>43</v>
      </c>
      <c r="M514" t="s">
        <v>43</v>
      </c>
      <c r="N514" t="s">
        <v>43</v>
      </c>
      <c r="O514" t="s">
        <v>43</v>
      </c>
      <c r="P514" t="s">
        <v>1455</v>
      </c>
      <c r="Q514">
        <v>2021</v>
      </c>
      <c r="S514" t="s">
        <v>179</v>
      </c>
      <c r="T514" t="s">
        <v>159</v>
      </c>
      <c r="U514" t="s">
        <v>31</v>
      </c>
    </row>
    <row r="515" spans="1:21" x14ac:dyDescent="0.25">
      <c r="A515" t="s">
        <v>1450</v>
      </c>
      <c r="B515" t="s">
        <v>1450</v>
      </c>
      <c r="C515">
        <v>6.127331216</v>
      </c>
      <c r="D515" s="27">
        <v>45950</v>
      </c>
      <c r="E515" s="27">
        <v>45036</v>
      </c>
      <c r="F515">
        <v>6.3218847589999996</v>
      </c>
      <c r="G515">
        <v>693.59441216899995</v>
      </c>
      <c r="H515">
        <v>100.3216</v>
      </c>
      <c r="I515" t="s">
        <v>226</v>
      </c>
      <c r="J515">
        <v>20210513</v>
      </c>
      <c r="K515" t="s">
        <v>43</v>
      </c>
      <c r="L515" t="s">
        <v>1389</v>
      </c>
      <c r="M515" t="s">
        <v>43</v>
      </c>
      <c r="N515" t="s">
        <v>43</v>
      </c>
      <c r="O515" t="s">
        <v>43</v>
      </c>
      <c r="P515" t="s">
        <v>1586</v>
      </c>
      <c r="Q515">
        <v>2021</v>
      </c>
      <c r="S515" t="s">
        <v>1389</v>
      </c>
      <c r="T515" t="s">
        <v>134</v>
      </c>
      <c r="U515" t="s">
        <v>31</v>
      </c>
    </row>
    <row r="516" spans="1:21" x14ac:dyDescent="0.25">
      <c r="A516" t="s">
        <v>1448</v>
      </c>
      <c r="B516" t="s">
        <v>1448</v>
      </c>
      <c r="C516">
        <v>6.8997015230000001</v>
      </c>
      <c r="D516" s="27">
        <v>45950</v>
      </c>
      <c r="E516" s="27">
        <v>45380</v>
      </c>
      <c r="F516">
        <v>7.7326083089999997</v>
      </c>
      <c r="G516">
        <v>667.11196739599995</v>
      </c>
      <c r="H516">
        <v>101.0147</v>
      </c>
      <c r="I516" t="s">
        <v>225</v>
      </c>
      <c r="J516">
        <v>20220329</v>
      </c>
      <c r="K516" t="s">
        <v>43</v>
      </c>
      <c r="L516" t="s">
        <v>1389</v>
      </c>
      <c r="M516" t="s">
        <v>43</v>
      </c>
      <c r="N516" t="s">
        <v>43</v>
      </c>
      <c r="O516" t="s">
        <v>43</v>
      </c>
      <c r="P516" t="s">
        <v>1601</v>
      </c>
      <c r="Q516">
        <v>2022</v>
      </c>
      <c r="S516" t="s">
        <v>1389</v>
      </c>
      <c r="T516" t="s">
        <v>134</v>
      </c>
      <c r="U516" t="s">
        <v>31</v>
      </c>
    </row>
    <row r="517" spans="1:21" x14ac:dyDescent="0.25">
      <c r="A517" t="s">
        <v>1452</v>
      </c>
      <c r="B517" t="s">
        <v>1452</v>
      </c>
      <c r="C517">
        <v>6.390432916</v>
      </c>
      <c r="D517" s="27">
        <v>45950</v>
      </c>
      <c r="E517" s="27">
        <v>45127</v>
      </c>
      <c r="F517">
        <v>8.0464289549999997</v>
      </c>
      <c r="G517">
        <v>704.16926622699998</v>
      </c>
      <c r="H517">
        <v>98.023200000000003</v>
      </c>
      <c r="I517" t="s">
        <v>227</v>
      </c>
      <c r="J517">
        <v>20210611</v>
      </c>
      <c r="K517" t="s">
        <v>43</v>
      </c>
      <c r="L517" t="s">
        <v>1389</v>
      </c>
      <c r="M517" t="s">
        <v>43</v>
      </c>
      <c r="N517" t="s">
        <v>43</v>
      </c>
      <c r="O517" t="s">
        <v>43</v>
      </c>
      <c r="P517" t="s">
        <v>1593</v>
      </c>
      <c r="Q517">
        <v>2021</v>
      </c>
      <c r="S517" t="s">
        <v>1389</v>
      </c>
      <c r="T517" t="s">
        <v>134</v>
      </c>
      <c r="U517" t="s">
        <v>31</v>
      </c>
    </row>
    <row r="518" spans="1:21" x14ac:dyDescent="0.25">
      <c r="A518" t="s">
        <v>1457</v>
      </c>
      <c r="B518" t="s">
        <v>1457</v>
      </c>
      <c r="C518">
        <v>6.8167817929999996</v>
      </c>
      <c r="D518" s="27">
        <v>45955</v>
      </c>
      <c r="E518" s="27">
        <v>45407</v>
      </c>
      <c r="F518">
        <v>6.5057205549999999</v>
      </c>
      <c r="G518">
        <v>826.48721801600004</v>
      </c>
      <c r="H518">
        <v>92.625</v>
      </c>
      <c r="I518" t="s">
        <v>177</v>
      </c>
      <c r="J518">
        <v>20220303</v>
      </c>
      <c r="K518" t="s">
        <v>43</v>
      </c>
      <c r="L518" t="s">
        <v>1389</v>
      </c>
      <c r="M518" t="s">
        <v>43</v>
      </c>
      <c r="N518" t="s">
        <v>43</v>
      </c>
      <c r="O518" t="s">
        <v>43</v>
      </c>
      <c r="P518" t="s">
        <v>1595</v>
      </c>
      <c r="Q518">
        <v>2022</v>
      </c>
      <c r="S518" t="s">
        <v>1389</v>
      </c>
      <c r="T518" t="s">
        <v>134</v>
      </c>
      <c r="U518" t="s">
        <v>31</v>
      </c>
    </row>
    <row r="519" spans="1:21" x14ac:dyDescent="0.25">
      <c r="A519" t="s">
        <v>1459</v>
      </c>
      <c r="B519" t="s">
        <v>1459</v>
      </c>
      <c r="C519">
        <v>6.3561493750000002</v>
      </c>
      <c r="D519" s="27">
        <v>45949</v>
      </c>
      <c r="E519" s="27">
        <v>45031</v>
      </c>
      <c r="F519">
        <v>5.5476459069999997</v>
      </c>
      <c r="G519">
        <v>727.81257737500005</v>
      </c>
      <c r="H519">
        <v>97.594899999999996</v>
      </c>
      <c r="I519" t="s">
        <v>231</v>
      </c>
      <c r="J519">
        <v>20210415</v>
      </c>
      <c r="K519" t="s">
        <v>43</v>
      </c>
      <c r="L519" t="s">
        <v>1389</v>
      </c>
      <c r="M519" t="s">
        <v>43</v>
      </c>
      <c r="N519" t="s">
        <v>43</v>
      </c>
      <c r="O519" t="s">
        <v>43</v>
      </c>
      <c r="P519" t="s">
        <v>404</v>
      </c>
      <c r="Q519">
        <v>2021</v>
      </c>
      <c r="S519" t="s">
        <v>1389</v>
      </c>
      <c r="T519" t="s">
        <v>134</v>
      </c>
      <c r="U519" t="s">
        <v>31</v>
      </c>
    </row>
    <row r="520" spans="1:21" x14ac:dyDescent="0.25">
      <c r="A520" t="s">
        <v>1461</v>
      </c>
      <c r="B520" t="s">
        <v>1461</v>
      </c>
      <c r="C520">
        <v>4.9032831850000003</v>
      </c>
      <c r="D520" s="27">
        <v>45889</v>
      </c>
      <c r="E520" s="27">
        <v>45158</v>
      </c>
      <c r="F520">
        <v>7.8240627390000004</v>
      </c>
      <c r="G520">
        <v>875.33804093599997</v>
      </c>
      <c r="H520">
        <v>98.802800000000005</v>
      </c>
      <c r="I520" t="s">
        <v>160</v>
      </c>
      <c r="J520">
        <v>20210914</v>
      </c>
      <c r="K520" t="s">
        <v>179</v>
      </c>
      <c r="L520" t="s">
        <v>43</v>
      </c>
      <c r="M520" t="s">
        <v>43</v>
      </c>
      <c r="N520" t="s">
        <v>43</v>
      </c>
      <c r="O520" t="s">
        <v>43</v>
      </c>
      <c r="P520" t="s">
        <v>1602</v>
      </c>
      <c r="Q520">
        <v>2021</v>
      </c>
      <c r="S520" t="s">
        <v>179</v>
      </c>
      <c r="T520" t="s">
        <v>159</v>
      </c>
      <c r="U520" t="s">
        <v>31</v>
      </c>
    </row>
    <row r="521" spans="1:21" x14ac:dyDescent="0.25">
      <c r="A521" t="s">
        <v>1333</v>
      </c>
      <c r="B521" t="s">
        <v>1333</v>
      </c>
      <c r="C521">
        <v>9.1002632279999993</v>
      </c>
      <c r="D521" s="27">
        <v>45950</v>
      </c>
      <c r="E521" s="27">
        <v>46316</v>
      </c>
      <c r="F521">
        <v>11.685224917999999</v>
      </c>
      <c r="G521">
        <v>311.192783271</v>
      </c>
      <c r="H521">
        <v>100.2517</v>
      </c>
      <c r="I521" t="s">
        <v>233</v>
      </c>
      <c r="J521">
        <v>20241021</v>
      </c>
      <c r="K521" t="s">
        <v>43</v>
      </c>
      <c r="L521" t="s">
        <v>43</v>
      </c>
      <c r="M521" t="s">
        <v>169</v>
      </c>
      <c r="N521" t="s">
        <v>43</v>
      </c>
      <c r="O521" t="s">
        <v>43</v>
      </c>
      <c r="P521" t="s">
        <v>537</v>
      </c>
      <c r="Q521">
        <v>2024</v>
      </c>
      <c r="S521" t="s">
        <v>169</v>
      </c>
      <c r="T521" t="s">
        <v>155</v>
      </c>
      <c r="U521" t="s">
        <v>27</v>
      </c>
    </row>
    <row r="522" spans="1:21" x14ac:dyDescent="0.25">
      <c r="A522" t="s">
        <v>1337</v>
      </c>
      <c r="B522" t="s">
        <v>1337</v>
      </c>
      <c r="C522">
        <v>6.3238329870000003</v>
      </c>
      <c r="D522" s="27">
        <v>45950</v>
      </c>
      <c r="E522" s="27">
        <v>46132</v>
      </c>
      <c r="F522">
        <v>9.6481732939999993</v>
      </c>
      <c r="G522">
        <v>332.25653014900001</v>
      </c>
      <c r="H522">
        <v>100.19199999999999</v>
      </c>
      <c r="I522" t="s">
        <v>232</v>
      </c>
      <c r="J522">
        <v>20211118</v>
      </c>
      <c r="K522" t="s">
        <v>169</v>
      </c>
      <c r="L522" t="s">
        <v>43</v>
      </c>
      <c r="M522" t="s">
        <v>43</v>
      </c>
      <c r="N522" t="s">
        <v>43</v>
      </c>
      <c r="O522" t="s">
        <v>43</v>
      </c>
      <c r="P522" t="s">
        <v>537</v>
      </c>
      <c r="Q522">
        <v>2021</v>
      </c>
      <c r="S522" t="s">
        <v>169</v>
      </c>
      <c r="T522" t="s">
        <v>159</v>
      </c>
      <c r="U522" t="s">
        <v>27</v>
      </c>
    </row>
    <row r="523" spans="1:21" x14ac:dyDescent="0.25">
      <c r="A523" t="s">
        <v>1335</v>
      </c>
      <c r="B523" t="s">
        <v>1335</v>
      </c>
      <c r="C523">
        <v>6.1146404959999998</v>
      </c>
      <c r="D523" s="27">
        <v>45951</v>
      </c>
      <c r="E523" s="27">
        <v>45128</v>
      </c>
      <c r="F523">
        <v>10.361933648000001</v>
      </c>
      <c r="G523">
        <v>339.89787684999999</v>
      </c>
      <c r="H523">
        <v>100.3044</v>
      </c>
      <c r="I523" t="s">
        <v>233</v>
      </c>
      <c r="J523">
        <v>20210813</v>
      </c>
      <c r="K523" t="s">
        <v>169</v>
      </c>
      <c r="L523" t="s">
        <v>43</v>
      </c>
      <c r="M523" t="s">
        <v>43</v>
      </c>
      <c r="N523" t="s">
        <v>43</v>
      </c>
      <c r="O523" t="s">
        <v>43</v>
      </c>
      <c r="P523" t="s">
        <v>537</v>
      </c>
      <c r="Q523">
        <v>2021</v>
      </c>
      <c r="S523" t="s">
        <v>169</v>
      </c>
      <c r="T523" t="s">
        <v>159</v>
      </c>
      <c r="U523" t="s">
        <v>27</v>
      </c>
    </row>
    <row r="524" spans="1:21" x14ac:dyDescent="0.25">
      <c r="A524" t="s">
        <v>1341</v>
      </c>
      <c r="B524" t="s">
        <v>1341</v>
      </c>
      <c r="C524">
        <v>9.0454779930000004</v>
      </c>
      <c r="D524" s="27">
        <v>45955</v>
      </c>
      <c r="E524" s="27">
        <v>46271</v>
      </c>
      <c r="F524">
        <v>12</v>
      </c>
      <c r="G524">
        <v>305.03926431500003</v>
      </c>
      <c r="H524">
        <v>100.33069999999999</v>
      </c>
      <c r="I524" t="s">
        <v>153</v>
      </c>
      <c r="J524">
        <v>20240906</v>
      </c>
      <c r="K524" t="s">
        <v>43</v>
      </c>
      <c r="L524" t="s">
        <v>43</v>
      </c>
      <c r="M524" t="s">
        <v>169</v>
      </c>
      <c r="N524" t="s">
        <v>43</v>
      </c>
      <c r="O524" t="s">
        <v>43</v>
      </c>
      <c r="P524" t="s">
        <v>537</v>
      </c>
      <c r="Q524">
        <v>2024</v>
      </c>
      <c r="S524" t="s">
        <v>169</v>
      </c>
      <c r="T524" t="s">
        <v>155</v>
      </c>
      <c r="U524" t="s">
        <v>27</v>
      </c>
    </row>
    <row r="525" spans="1:21" x14ac:dyDescent="0.25">
      <c r="A525" t="s">
        <v>1348</v>
      </c>
      <c r="B525" t="s">
        <v>1348</v>
      </c>
      <c r="C525">
        <v>3.0082976860000001</v>
      </c>
      <c r="D525" s="27">
        <v>45947</v>
      </c>
      <c r="E525" s="27">
        <v>43572</v>
      </c>
      <c r="F525">
        <v>20.352162991</v>
      </c>
      <c r="G525">
        <v>348.209925564</v>
      </c>
      <c r="H525">
        <v>100.28189999999999</v>
      </c>
      <c r="I525" t="s">
        <v>236</v>
      </c>
      <c r="J525">
        <v>20170412</v>
      </c>
      <c r="K525" t="s">
        <v>43</v>
      </c>
      <c r="L525" t="s">
        <v>908</v>
      </c>
      <c r="M525" t="s">
        <v>43</v>
      </c>
      <c r="N525" t="s">
        <v>43</v>
      </c>
      <c r="O525" t="s">
        <v>43</v>
      </c>
      <c r="P525" t="s">
        <v>1349</v>
      </c>
      <c r="Q525">
        <v>2017</v>
      </c>
      <c r="S525" t="s">
        <v>908</v>
      </c>
      <c r="T525" t="s">
        <v>134</v>
      </c>
      <c r="U525" t="s">
        <v>27</v>
      </c>
    </row>
    <row r="526" spans="1:21" x14ac:dyDescent="0.25">
      <c r="A526" t="s">
        <v>1351</v>
      </c>
      <c r="B526" t="s">
        <v>1351</v>
      </c>
      <c r="C526">
        <v>6.143793413</v>
      </c>
      <c r="D526" s="27">
        <v>45946</v>
      </c>
      <c r="E526" s="27">
        <v>45123</v>
      </c>
      <c r="F526">
        <v>10.575025995000001</v>
      </c>
      <c r="G526">
        <v>332.422419483</v>
      </c>
      <c r="H526">
        <v>100.178</v>
      </c>
      <c r="I526" t="s">
        <v>236</v>
      </c>
      <c r="J526">
        <v>20210727</v>
      </c>
      <c r="K526" t="s">
        <v>169</v>
      </c>
      <c r="L526" t="s">
        <v>43</v>
      </c>
      <c r="M526" t="s">
        <v>43</v>
      </c>
      <c r="N526" t="s">
        <v>43</v>
      </c>
      <c r="O526" t="s">
        <v>43</v>
      </c>
      <c r="P526" t="s">
        <v>1349</v>
      </c>
      <c r="Q526">
        <v>2021</v>
      </c>
      <c r="S526" t="s">
        <v>169</v>
      </c>
      <c r="T526" t="s">
        <v>159</v>
      </c>
      <c r="U526" t="s">
        <v>27</v>
      </c>
    </row>
    <row r="527" spans="1:21" x14ac:dyDescent="0.25">
      <c r="A527" t="s">
        <v>1353</v>
      </c>
      <c r="B527" t="s">
        <v>1353</v>
      </c>
      <c r="C527">
        <v>4.7464309619999998</v>
      </c>
      <c r="D527" s="27">
        <v>45945</v>
      </c>
      <c r="E527" s="27">
        <v>45762</v>
      </c>
      <c r="F527">
        <v>10.539914842</v>
      </c>
      <c r="G527">
        <v>392.895899364</v>
      </c>
      <c r="H527">
        <v>100.11879999999999</v>
      </c>
      <c r="I527" t="s">
        <v>162</v>
      </c>
      <c r="J527">
        <v>20200326</v>
      </c>
      <c r="K527" t="s">
        <v>43</v>
      </c>
      <c r="L527" t="s">
        <v>785</v>
      </c>
      <c r="M527" t="s">
        <v>43</v>
      </c>
      <c r="N527" t="s">
        <v>43</v>
      </c>
      <c r="O527" t="s">
        <v>43</v>
      </c>
      <c r="P527" t="s">
        <v>392</v>
      </c>
      <c r="Q527">
        <v>2020</v>
      </c>
      <c r="S527" t="s">
        <v>785</v>
      </c>
      <c r="T527" t="s">
        <v>134</v>
      </c>
      <c r="U527" t="s">
        <v>27</v>
      </c>
    </row>
    <row r="528" spans="1:21" x14ac:dyDescent="0.25">
      <c r="A528" t="s">
        <v>1355</v>
      </c>
      <c r="B528" t="s">
        <v>1355</v>
      </c>
      <c r="C528">
        <v>6.0135903199999996</v>
      </c>
      <c r="D528" s="27">
        <v>45950</v>
      </c>
      <c r="E528" s="27">
        <v>46132</v>
      </c>
      <c r="F528">
        <v>9.9593110780000007</v>
      </c>
      <c r="G528">
        <v>388.74652513699999</v>
      </c>
      <c r="H528">
        <v>99.380399999999995</v>
      </c>
      <c r="I528" t="s">
        <v>162</v>
      </c>
      <c r="J528">
        <v>20210326</v>
      </c>
      <c r="K528" t="s">
        <v>169</v>
      </c>
      <c r="L528" t="s">
        <v>43</v>
      </c>
      <c r="M528" t="s">
        <v>43</v>
      </c>
      <c r="N528" t="s">
        <v>43</v>
      </c>
      <c r="O528" t="s">
        <v>43</v>
      </c>
      <c r="P528" t="s">
        <v>392</v>
      </c>
      <c r="Q528">
        <v>2021</v>
      </c>
      <c r="S528" t="s">
        <v>169</v>
      </c>
      <c r="T528" t="s">
        <v>159</v>
      </c>
      <c r="U528" t="s">
        <v>27</v>
      </c>
    </row>
    <row r="529" spans="1:21" x14ac:dyDescent="0.25">
      <c r="A529" t="s">
        <v>1479</v>
      </c>
      <c r="B529" t="s">
        <v>1479</v>
      </c>
      <c r="C529">
        <v>5.022739734</v>
      </c>
      <c r="D529" s="27">
        <v>45950</v>
      </c>
      <c r="E529" s="27">
        <v>45575</v>
      </c>
      <c r="F529">
        <v>3.6431031429999998</v>
      </c>
      <c r="G529">
        <v>1506.946677116</v>
      </c>
      <c r="H529">
        <v>66.677199999999999</v>
      </c>
      <c r="I529" t="s">
        <v>164</v>
      </c>
      <c r="J529">
        <v>20181121</v>
      </c>
      <c r="K529" t="s">
        <v>43</v>
      </c>
      <c r="L529" t="s">
        <v>209</v>
      </c>
      <c r="M529" t="s">
        <v>43</v>
      </c>
      <c r="N529" t="s">
        <v>43</v>
      </c>
      <c r="O529" t="s">
        <v>43</v>
      </c>
      <c r="P529" t="s">
        <v>207</v>
      </c>
      <c r="Q529">
        <v>2018</v>
      </c>
      <c r="S529" t="s">
        <v>209</v>
      </c>
      <c r="T529" t="s">
        <v>134</v>
      </c>
      <c r="U529" t="s">
        <v>39</v>
      </c>
    </row>
    <row r="530" spans="1:21" x14ac:dyDescent="0.25">
      <c r="A530" t="s">
        <v>1468</v>
      </c>
      <c r="B530" t="s">
        <v>1468</v>
      </c>
      <c r="C530">
        <v>6.8478590910000001</v>
      </c>
      <c r="D530" s="27">
        <v>45945</v>
      </c>
      <c r="E530" s="27">
        <v>46136</v>
      </c>
      <c r="F530">
        <v>5.9491004859999999</v>
      </c>
      <c r="G530">
        <v>788.10827068499998</v>
      </c>
      <c r="H530">
        <v>97.507300000000001</v>
      </c>
      <c r="I530" t="s">
        <v>162</v>
      </c>
      <c r="J530">
        <v>20211214</v>
      </c>
      <c r="K530" t="s">
        <v>43</v>
      </c>
      <c r="L530" t="s">
        <v>1389</v>
      </c>
      <c r="M530" t="s">
        <v>43</v>
      </c>
      <c r="N530" t="s">
        <v>43</v>
      </c>
      <c r="O530" t="s">
        <v>43</v>
      </c>
      <c r="P530" t="s">
        <v>392</v>
      </c>
      <c r="Q530">
        <v>2021</v>
      </c>
      <c r="S530" t="s">
        <v>1389</v>
      </c>
      <c r="T530" t="s">
        <v>134</v>
      </c>
      <c r="U530" t="s">
        <v>31</v>
      </c>
    </row>
    <row r="531" spans="1:21" x14ac:dyDescent="0.25">
      <c r="A531" t="s">
        <v>1470</v>
      </c>
      <c r="B531" t="s">
        <v>1470</v>
      </c>
      <c r="C531">
        <v>6.6361026689999996</v>
      </c>
      <c r="D531" s="27">
        <v>45950</v>
      </c>
      <c r="E531" s="27">
        <v>45092</v>
      </c>
      <c r="F531">
        <v>5.6226602740000002</v>
      </c>
      <c r="G531">
        <v>796.522677176</v>
      </c>
      <c r="H531">
        <v>94.015100000000004</v>
      </c>
      <c r="I531" t="s">
        <v>164</v>
      </c>
      <c r="J531">
        <v>20210615</v>
      </c>
      <c r="K531" t="s">
        <v>43</v>
      </c>
      <c r="L531" t="s">
        <v>1389</v>
      </c>
      <c r="M531" t="s">
        <v>43</v>
      </c>
      <c r="N531" t="s">
        <v>43</v>
      </c>
      <c r="O531" t="s">
        <v>43</v>
      </c>
      <c r="P531" t="s">
        <v>207</v>
      </c>
      <c r="Q531">
        <v>2021</v>
      </c>
      <c r="S531" t="s">
        <v>1389</v>
      </c>
      <c r="T531" t="s">
        <v>134</v>
      </c>
      <c r="U531" t="s">
        <v>31</v>
      </c>
    </row>
    <row r="532" spans="1:21" x14ac:dyDescent="0.25">
      <c r="A532" t="s">
        <v>1472</v>
      </c>
      <c r="B532" t="s">
        <v>1472</v>
      </c>
      <c r="C532">
        <v>6.7222222220000001</v>
      </c>
      <c r="D532" s="27">
        <v>45950</v>
      </c>
      <c r="E532" s="27">
        <v>46121</v>
      </c>
      <c r="F532">
        <v>8.0761304850000002</v>
      </c>
      <c r="G532">
        <v>575.13020204700001</v>
      </c>
      <c r="H532">
        <v>97.527900000000002</v>
      </c>
      <c r="I532" t="s">
        <v>164</v>
      </c>
      <c r="J532">
        <v>20211217</v>
      </c>
      <c r="K532" t="s">
        <v>43</v>
      </c>
      <c r="L532" t="s">
        <v>1474</v>
      </c>
      <c r="M532" t="s">
        <v>43</v>
      </c>
      <c r="N532" t="s">
        <v>43</v>
      </c>
      <c r="O532" t="s">
        <v>43</v>
      </c>
      <c r="P532" t="s">
        <v>207</v>
      </c>
      <c r="Q532">
        <v>2021</v>
      </c>
      <c r="S532" t="s">
        <v>1474</v>
      </c>
      <c r="T532" t="s">
        <v>134</v>
      </c>
      <c r="U532" t="s">
        <v>31</v>
      </c>
    </row>
    <row r="533" spans="1:21" x14ac:dyDescent="0.25">
      <c r="A533" t="s">
        <v>1466</v>
      </c>
      <c r="B533" t="s">
        <v>1466</v>
      </c>
      <c r="C533">
        <v>5.812940201</v>
      </c>
      <c r="D533" s="27">
        <v>45950</v>
      </c>
      <c r="E533" s="27">
        <v>44946</v>
      </c>
      <c r="F533">
        <v>7.8532382890000001</v>
      </c>
      <c r="G533">
        <v>513.61521073599999</v>
      </c>
      <c r="H533">
        <v>99.357699999999994</v>
      </c>
      <c r="I533" t="s">
        <v>82</v>
      </c>
      <c r="J533">
        <v>20210720</v>
      </c>
      <c r="K533" t="s">
        <v>43</v>
      </c>
      <c r="L533" t="s">
        <v>43</v>
      </c>
      <c r="M533" t="s">
        <v>1376</v>
      </c>
      <c r="N533" t="s">
        <v>43</v>
      </c>
      <c r="O533" t="s">
        <v>43</v>
      </c>
      <c r="P533" t="s">
        <v>82</v>
      </c>
      <c r="Q533">
        <v>2021</v>
      </c>
      <c r="S533" t="s">
        <v>1376</v>
      </c>
      <c r="T533" t="s">
        <v>155</v>
      </c>
      <c r="U533" t="s">
        <v>31</v>
      </c>
    </row>
    <row r="534" spans="1:21" x14ac:dyDescent="0.25">
      <c r="A534" t="s">
        <v>1434</v>
      </c>
      <c r="B534" t="s">
        <v>1434</v>
      </c>
      <c r="C534">
        <v>6.0223227819999998</v>
      </c>
      <c r="D534" s="27">
        <v>45945</v>
      </c>
      <c r="E534" s="27">
        <v>44941</v>
      </c>
      <c r="F534">
        <v>7.7433152070000002</v>
      </c>
      <c r="G534">
        <v>551.71261100200002</v>
      </c>
      <c r="H534">
        <v>97.593100000000007</v>
      </c>
      <c r="I534" t="s">
        <v>237</v>
      </c>
      <c r="J534">
        <v>20210715</v>
      </c>
      <c r="K534" t="s">
        <v>43</v>
      </c>
      <c r="L534" t="s">
        <v>43</v>
      </c>
      <c r="M534" t="s">
        <v>31</v>
      </c>
      <c r="N534" t="s">
        <v>43</v>
      </c>
      <c r="O534" t="s">
        <v>43</v>
      </c>
      <c r="P534" t="s">
        <v>237</v>
      </c>
      <c r="Q534">
        <v>2021</v>
      </c>
      <c r="S534" t="s">
        <v>31</v>
      </c>
      <c r="T534" t="s">
        <v>155</v>
      </c>
      <c r="U534" t="s">
        <v>31</v>
      </c>
    </row>
    <row r="535" spans="1:21" x14ac:dyDescent="0.25">
      <c r="A535" t="s">
        <v>1357</v>
      </c>
      <c r="B535" t="s">
        <v>1357</v>
      </c>
      <c r="C535">
        <v>6.551719952</v>
      </c>
      <c r="D535" s="27">
        <v>45945</v>
      </c>
      <c r="E535" s="27">
        <v>45306</v>
      </c>
      <c r="F535">
        <v>9.466967747</v>
      </c>
      <c r="G535">
        <v>341.06893251600002</v>
      </c>
      <c r="H535">
        <v>99.403700000000001</v>
      </c>
      <c r="I535" t="s">
        <v>164</v>
      </c>
      <c r="J535">
        <v>20220218</v>
      </c>
      <c r="K535" t="s">
        <v>169</v>
      </c>
      <c r="L535" t="s">
        <v>43</v>
      </c>
      <c r="M535" t="s">
        <v>43</v>
      </c>
      <c r="N535" t="s">
        <v>43</v>
      </c>
      <c r="O535" t="s">
        <v>43</v>
      </c>
      <c r="P535" t="s">
        <v>207</v>
      </c>
      <c r="Q535">
        <v>2022</v>
      </c>
      <c r="S535" t="s">
        <v>169</v>
      </c>
      <c r="T535" t="s">
        <v>159</v>
      </c>
      <c r="U535" t="s">
        <v>27</v>
      </c>
    </row>
    <row r="536" spans="1:21" x14ac:dyDescent="0.25">
      <c r="A536" t="s">
        <v>1359</v>
      </c>
      <c r="B536" t="s">
        <v>1359</v>
      </c>
      <c r="C536">
        <v>6.2655049209999998</v>
      </c>
      <c r="D536" s="27">
        <v>45950</v>
      </c>
      <c r="E536" s="27">
        <v>45092</v>
      </c>
      <c r="F536">
        <v>9.7260228699999995</v>
      </c>
      <c r="G536">
        <v>348.92805204899997</v>
      </c>
      <c r="H536">
        <v>99.595699999999994</v>
      </c>
      <c r="I536" t="s">
        <v>164</v>
      </c>
      <c r="J536">
        <v>20210615</v>
      </c>
      <c r="K536" t="s">
        <v>169</v>
      </c>
      <c r="L536" t="s">
        <v>43</v>
      </c>
      <c r="M536" t="s">
        <v>43</v>
      </c>
      <c r="N536" t="s">
        <v>43</v>
      </c>
      <c r="O536" t="s">
        <v>43</v>
      </c>
      <c r="P536" t="s">
        <v>207</v>
      </c>
      <c r="Q536">
        <v>2021</v>
      </c>
      <c r="S536" t="s">
        <v>169</v>
      </c>
      <c r="T536" t="s">
        <v>159</v>
      </c>
      <c r="U536" t="s">
        <v>27</v>
      </c>
    </row>
    <row r="537" spans="1:21" x14ac:dyDescent="0.25">
      <c r="A537" t="s">
        <v>1361</v>
      </c>
      <c r="B537" t="s">
        <v>1361</v>
      </c>
      <c r="C537">
        <v>6.4940700710000003</v>
      </c>
      <c r="D537" s="27">
        <v>45950</v>
      </c>
      <c r="E537" s="27">
        <v>46121</v>
      </c>
      <c r="F537">
        <v>9.2271408029999993</v>
      </c>
      <c r="G537">
        <v>389.28633417499998</v>
      </c>
      <c r="H537">
        <v>97.75</v>
      </c>
      <c r="I537" t="s">
        <v>164</v>
      </c>
      <c r="J537">
        <v>20211217</v>
      </c>
      <c r="K537" t="s">
        <v>43</v>
      </c>
      <c r="L537" t="s">
        <v>785</v>
      </c>
      <c r="M537" t="s">
        <v>43</v>
      </c>
      <c r="N537" t="s">
        <v>43</v>
      </c>
      <c r="O537" t="s">
        <v>43</v>
      </c>
      <c r="P537" t="s">
        <v>207</v>
      </c>
      <c r="Q537">
        <v>2021</v>
      </c>
      <c r="S537" t="s">
        <v>785</v>
      </c>
      <c r="T537" t="s">
        <v>134</v>
      </c>
      <c r="U537" t="s">
        <v>27</v>
      </c>
    </row>
    <row r="538" spans="1:21" x14ac:dyDescent="0.25">
      <c r="A538" t="s">
        <v>740</v>
      </c>
      <c r="B538" t="s">
        <v>740</v>
      </c>
      <c r="C538">
        <v>7.8538810520000002</v>
      </c>
      <c r="D538" s="27">
        <v>45945</v>
      </c>
      <c r="E538" s="27">
        <v>46218</v>
      </c>
      <c r="F538">
        <v>20.030662057000001</v>
      </c>
      <c r="G538">
        <v>214.90150435199999</v>
      </c>
      <c r="H538">
        <v>100.31740000000001</v>
      </c>
      <c r="I538" t="s">
        <v>238</v>
      </c>
      <c r="J538">
        <v>20240711</v>
      </c>
      <c r="K538" t="s">
        <v>23</v>
      </c>
      <c r="L538" t="s">
        <v>43</v>
      </c>
      <c r="M538" t="s">
        <v>43</v>
      </c>
      <c r="N538" t="s">
        <v>43</v>
      </c>
      <c r="O538" t="s">
        <v>43</v>
      </c>
      <c r="P538" t="s">
        <v>1603</v>
      </c>
      <c r="Q538">
        <v>2024</v>
      </c>
      <c r="S538" t="s">
        <v>23</v>
      </c>
      <c r="T538" t="s">
        <v>159</v>
      </c>
      <c r="U538" t="s">
        <v>23</v>
      </c>
    </row>
    <row r="539" spans="1:21" x14ac:dyDescent="0.25">
      <c r="A539" t="s">
        <v>735</v>
      </c>
      <c r="B539" t="s">
        <v>735</v>
      </c>
      <c r="C539">
        <v>6.8904637400000004</v>
      </c>
      <c r="D539" s="27">
        <v>45950</v>
      </c>
      <c r="E539" s="27">
        <v>45921</v>
      </c>
      <c r="F539">
        <v>19.956677190000001</v>
      </c>
      <c r="G539">
        <v>365.26668205200002</v>
      </c>
      <c r="H539">
        <v>100.5213</v>
      </c>
      <c r="I539" t="s">
        <v>239</v>
      </c>
      <c r="J539">
        <v>20230921</v>
      </c>
      <c r="K539" t="s">
        <v>23</v>
      </c>
      <c r="L539" t="s">
        <v>43</v>
      </c>
      <c r="M539" t="s">
        <v>43</v>
      </c>
      <c r="N539" t="s">
        <v>43</v>
      </c>
      <c r="O539" t="s">
        <v>43</v>
      </c>
      <c r="P539" t="s">
        <v>1604</v>
      </c>
      <c r="Q539">
        <v>2023</v>
      </c>
      <c r="S539" t="s">
        <v>23</v>
      </c>
      <c r="T539" t="s">
        <v>159</v>
      </c>
      <c r="U539" t="s">
        <v>23</v>
      </c>
    </row>
    <row r="540" spans="1:21" x14ac:dyDescent="0.25">
      <c r="A540" t="s">
        <v>742</v>
      </c>
      <c r="B540" t="s">
        <v>742</v>
      </c>
      <c r="C540">
        <v>8.4241556679999992</v>
      </c>
      <c r="D540" s="27">
        <v>45950</v>
      </c>
      <c r="E540" s="27">
        <v>46407</v>
      </c>
      <c r="F540">
        <v>20.250233973</v>
      </c>
      <c r="G540">
        <v>192.47570581700001</v>
      </c>
      <c r="H540">
        <v>100.1537</v>
      </c>
      <c r="I540" t="s">
        <v>239</v>
      </c>
      <c r="J540">
        <v>20250306</v>
      </c>
      <c r="K540" t="s">
        <v>23</v>
      </c>
      <c r="L540" t="s">
        <v>43</v>
      </c>
      <c r="M540" t="s">
        <v>43</v>
      </c>
      <c r="N540" t="s">
        <v>43</v>
      </c>
      <c r="O540" t="s">
        <v>43</v>
      </c>
      <c r="P540" t="s">
        <v>1604</v>
      </c>
      <c r="Q540">
        <v>2025</v>
      </c>
      <c r="S540" t="s">
        <v>23</v>
      </c>
      <c r="T540" t="s">
        <v>159</v>
      </c>
      <c r="U540" t="s">
        <v>23</v>
      </c>
    </row>
    <row r="541" spans="1:21" x14ac:dyDescent="0.25">
      <c r="A541" t="s">
        <v>738</v>
      </c>
      <c r="B541" t="s">
        <v>738</v>
      </c>
      <c r="C541">
        <v>7.7469823199999999</v>
      </c>
      <c r="D541" s="27">
        <v>45945</v>
      </c>
      <c r="E541" s="27">
        <v>46088</v>
      </c>
      <c r="F541">
        <v>20.031651535999998</v>
      </c>
      <c r="G541">
        <v>269.62096193600001</v>
      </c>
      <c r="H541">
        <v>100.63209999999999</v>
      </c>
      <c r="I541" t="s">
        <v>239</v>
      </c>
      <c r="J541">
        <v>20240307</v>
      </c>
      <c r="K541" t="s">
        <v>23</v>
      </c>
      <c r="L541" t="s">
        <v>43</v>
      </c>
      <c r="M541" t="s">
        <v>43</v>
      </c>
      <c r="N541" t="s">
        <v>43</v>
      </c>
      <c r="O541" t="s">
        <v>43</v>
      </c>
      <c r="P541" t="s">
        <v>1604</v>
      </c>
      <c r="Q541">
        <v>2024</v>
      </c>
      <c r="S541" t="s">
        <v>23</v>
      </c>
      <c r="T541" t="s">
        <v>159</v>
      </c>
      <c r="U541" t="s">
        <v>23</v>
      </c>
    </row>
    <row r="542" spans="1:21" x14ac:dyDescent="0.25">
      <c r="A542" t="s">
        <v>1345</v>
      </c>
      <c r="B542" t="s">
        <v>1345</v>
      </c>
      <c r="C542">
        <v>4.8663184429999999</v>
      </c>
      <c r="D542" s="27">
        <v>45950</v>
      </c>
      <c r="E542" s="27">
        <v>44946</v>
      </c>
      <c r="F542">
        <v>12.751405024</v>
      </c>
      <c r="G542">
        <v>242.691331676</v>
      </c>
      <c r="H542">
        <v>98.382599999999996</v>
      </c>
      <c r="I542" t="s">
        <v>82</v>
      </c>
      <c r="J542">
        <v>20210720</v>
      </c>
      <c r="K542" t="s">
        <v>43</v>
      </c>
      <c r="L542" t="s">
        <v>43</v>
      </c>
      <c r="M542" t="s">
        <v>763</v>
      </c>
      <c r="N542" t="s">
        <v>43</v>
      </c>
      <c r="O542" t="s">
        <v>43</v>
      </c>
      <c r="P542" t="s">
        <v>82</v>
      </c>
      <c r="Q542">
        <v>2021</v>
      </c>
      <c r="S542" t="s">
        <v>763</v>
      </c>
      <c r="T542" t="s">
        <v>155</v>
      </c>
      <c r="U542" t="s">
        <v>27</v>
      </c>
    </row>
    <row r="543" spans="1:21" x14ac:dyDescent="0.25">
      <c r="A543" t="s">
        <v>1151</v>
      </c>
      <c r="B543" t="s">
        <v>1151</v>
      </c>
      <c r="C543">
        <v>5.2211805839999998</v>
      </c>
      <c r="D543" s="27">
        <v>45945</v>
      </c>
      <c r="E543" s="27">
        <v>44941</v>
      </c>
      <c r="F543">
        <v>12.647325029999999</v>
      </c>
      <c r="G543">
        <v>247.64692732899999</v>
      </c>
      <c r="H543">
        <v>98.114800000000002</v>
      </c>
      <c r="I543" t="s">
        <v>237</v>
      </c>
      <c r="J543">
        <v>20210715</v>
      </c>
      <c r="K543" t="s">
        <v>43</v>
      </c>
      <c r="L543" t="s">
        <v>43</v>
      </c>
      <c r="M543" t="s">
        <v>763</v>
      </c>
      <c r="N543" t="s">
        <v>43</v>
      </c>
      <c r="O543" t="s">
        <v>43</v>
      </c>
      <c r="P543" t="s">
        <v>237</v>
      </c>
      <c r="Q543">
        <v>2021</v>
      </c>
      <c r="S543" t="s">
        <v>763</v>
      </c>
      <c r="T543" t="s">
        <v>155</v>
      </c>
      <c r="U543" t="s">
        <v>27</v>
      </c>
    </row>
    <row r="544" spans="1:21" x14ac:dyDescent="0.25">
      <c r="A544" t="s">
        <v>1605</v>
      </c>
      <c r="B544" t="s">
        <v>1605</v>
      </c>
      <c r="C544">
        <v>6.5558587199999998</v>
      </c>
      <c r="D544" s="27">
        <v>45948</v>
      </c>
      <c r="E544" s="27">
        <v>45400</v>
      </c>
      <c r="F544">
        <v>8.9713750070000007</v>
      </c>
      <c r="G544">
        <v>348.93520751300002</v>
      </c>
      <c r="H544">
        <v>98.464600000000004</v>
      </c>
      <c r="I544" t="s">
        <v>240</v>
      </c>
      <c r="J544">
        <v>20220317</v>
      </c>
      <c r="K544" t="s">
        <v>169</v>
      </c>
      <c r="L544" t="s">
        <v>43</v>
      </c>
      <c r="M544" t="s">
        <v>43</v>
      </c>
      <c r="N544" t="s">
        <v>43</v>
      </c>
      <c r="O544" t="s">
        <v>43</v>
      </c>
      <c r="P544" t="s">
        <v>271</v>
      </c>
      <c r="S544" t="s">
        <v>169</v>
      </c>
      <c r="T544" t="s">
        <v>159</v>
      </c>
      <c r="U544" t="s">
        <v>27</v>
      </c>
    </row>
    <row r="545" spans="1:21" x14ac:dyDescent="0.25">
      <c r="A545" t="s">
        <v>1606</v>
      </c>
      <c r="B545" t="s">
        <v>1606</v>
      </c>
      <c r="C545">
        <v>6.7290495960000003</v>
      </c>
      <c r="D545" s="27">
        <v>45947</v>
      </c>
      <c r="E545" s="27">
        <v>46220</v>
      </c>
      <c r="F545">
        <v>9.7439892960000005</v>
      </c>
      <c r="G545">
        <v>358.20870172799999</v>
      </c>
      <c r="H545">
        <v>100.62260000000001</v>
      </c>
      <c r="I545" t="s">
        <v>72</v>
      </c>
      <c r="J545">
        <v>20220531</v>
      </c>
      <c r="K545" t="s">
        <v>43</v>
      </c>
      <c r="L545" t="s">
        <v>43</v>
      </c>
      <c r="M545" t="s">
        <v>169</v>
      </c>
      <c r="N545" t="s">
        <v>43</v>
      </c>
      <c r="O545" t="s">
        <v>43</v>
      </c>
      <c r="P545" t="s">
        <v>271</v>
      </c>
      <c r="S545" t="s">
        <v>169</v>
      </c>
      <c r="T545" t="s">
        <v>155</v>
      </c>
      <c r="U545" t="s">
        <v>27</v>
      </c>
    </row>
    <row r="546" spans="1:21" x14ac:dyDescent="0.25">
      <c r="A546" t="s">
        <v>1607</v>
      </c>
      <c r="B546" t="s">
        <v>1607</v>
      </c>
      <c r="C546">
        <v>6.6221627459999999</v>
      </c>
      <c r="D546" s="27">
        <v>45945</v>
      </c>
      <c r="E546" s="27">
        <v>45883</v>
      </c>
      <c r="F546">
        <v>8.7578784840000008</v>
      </c>
      <c r="G546">
        <v>462.09481009799998</v>
      </c>
      <c r="H546">
        <v>99.879900000000006</v>
      </c>
      <c r="I546" t="s">
        <v>176</v>
      </c>
      <c r="J546">
        <v>20250214</v>
      </c>
      <c r="K546" t="s">
        <v>43</v>
      </c>
      <c r="L546" t="s">
        <v>1389</v>
      </c>
      <c r="M546" t="s">
        <v>43</v>
      </c>
      <c r="N546" t="s">
        <v>43</v>
      </c>
      <c r="O546" t="s">
        <v>43</v>
      </c>
      <c r="P546" t="s">
        <v>1539</v>
      </c>
      <c r="S546" t="s">
        <v>1389</v>
      </c>
      <c r="T546" t="s">
        <v>134</v>
      </c>
      <c r="U546" t="s">
        <v>31</v>
      </c>
    </row>
    <row r="547" spans="1:21" x14ac:dyDescent="0.25">
      <c r="A547" t="s">
        <v>1608</v>
      </c>
      <c r="B547" t="s">
        <v>1608</v>
      </c>
      <c r="C547">
        <v>9.8278796939999999</v>
      </c>
      <c r="D547" s="27">
        <v>45945</v>
      </c>
      <c r="E547" s="27">
        <v>46402</v>
      </c>
      <c r="F547">
        <v>8.124426003</v>
      </c>
      <c r="G547">
        <v>445.09131046300001</v>
      </c>
      <c r="H547">
        <v>100.3227</v>
      </c>
      <c r="I547" t="s">
        <v>113</v>
      </c>
      <c r="J547">
        <v>20250227</v>
      </c>
      <c r="K547" t="s">
        <v>43</v>
      </c>
      <c r="L547" t="s">
        <v>43</v>
      </c>
      <c r="M547" t="s">
        <v>31</v>
      </c>
      <c r="N547" t="s">
        <v>43</v>
      </c>
      <c r="O547" t="s">
        <v>43</v>
      </c>
      <c r="P547" t="s">
        <v>339</v>
      </c>
      <c r="S547" t="s">
        <v>31</v>
      </c>
      <c r="T547" t="s">
        <v>155</v>
      </c>
      <c r="U547" t="s">
        <v>31</v>
      </c>
    </row>
    <row r="548" spans="1:21" x14ac:dyDescent="0.25">
      <c r="A548" t="s">
        <v>1609</v>
      </c>
      <c r="B548" t="s">
        <v>1609</v>
      </c>
      <c r="C548">
        <v>6.5441890799999998</v>
      </c>
      <c r="D548" s="27">
        <v>45950</v>
      </c>
      <c r="E548" s="27">
        <v>45402</v>
      </c>
      <c r="F548">
        <v>11.26647734</v>
      </c>
      <c r="G548">
        <v>342.744178879</v>
      </c>
      <c r="H548">
        <v>100.37479999999999</v>
      </c>
      <c r="I548" t="s">
        <v>110</v>
      </c>
      <c r="J548">
        <v>20220524</v>
      </c>
      <c r="K548" t="s">
        <v>43</v>
      </c>
      <c r="L548" t="s">
        <v>43</v>
      </c>
      <c r="M548" t="s">
        <v>169</v>
      </c>
      <c r="N548" t="s">
        <v>43</v>
      </c>
      <c r="O548" t="s">
        <v>43</v>
      </c>
      <c r="P548" t="s">
        <v>1610</v>
      </c>
      <c r="S548" t="s">
        <v>169</v>
      </c>
      <c r="T548" t="s">
        <v>155</v>
      </c>
      <c r="U548" t="s">
        <v>27</v>
      </c>
    </row>
    <row r="549" spans="1:21" x14ac:dyDescent="0.25">
      <c r="A549" t="s">
        <v>1611</v>
      </c>
      <c r="B549" t="s">
        <v>1611</v>
      </c>
      <c r="C549">
        <v>6.5239566910000004</v>
      </c>
      <c r="D549" s="27">
        <v>45945</v>
      </c>
      <c r="E549" s="27">
        <v>45397</v>
      </c>
      <c r="F549">
        <v>11.481531401</v>
      </c>
      <c r="G549">
        <v>316.94661846100001</v>
      </c>
      <c r="H549">
        <v>100.1525</v>
      </c>
      <c r="I549" t="s">
        <v>182</v>
      </c>
      <c r="J549">
        <v>20220311</v>
      </c>
      <c r="K549" t="s">
        <v>169</v>
      </c>
      <c r="L549" t="s">
        <v>43</v>
      </c>
      <c r="M549" t="s">
        <v>43</v>
      </c>
      <c r="N549" t="s">
        <v>43</v>
      </c>
      <c r="O549" t="s">
        <v>43</v>
      </c>
      <c r="P549" t="s">
        <v>890</v>
      </c>
      <c r="S549" t="s">
        <v>169</v>
      </c>
      <c r="T549" t="s">
        <v>159</v>
      </c>
      <c r="U549" t="s">
        <v>27</v>
      </c>
    </row>
    <row r="550" spans="1:21" x14ac:dyDescent="0.25">
      <c r="A550" t="s">
        <v>1612</v>
      </c>
      <c r="B550" t="s">
        <v>1612</v>
      </c>
      <c r="C550">
        <v>6.3997852760000002</v>
      </c>
      <c r="D550" s="27">
        <v>45955</v>
      </c>
      <c r="E550" s="27">
        <v>45253</v>
      </c>
      <c r="F550">
        <v>11.091065208</v>
      </c>
      <c r="G550">
        <v>337.13663002499999</v>
      </c>
      <c r="H550">
        <v>100.4601</v>
      </c>
      <c r="I550" t="s">
        <v>82</v>
      </c>
      <c r="J550">
        <v>20211123</v>
      </c>
      <c r="K550" t="s">
        <v>169</v>
      </c>
      <c r="L550" t="s">
        <v>43</v>
      </c>
      <c r="M550" t="s">
        <v>43</v>
      </c>
      <c r="N550" t="s">
        <v>43</v>
      </c>
      <c r="O550" t="s">
        <v>43</v>
      </c>
      <c r="P550" t="s">
        <v>286</v>
      </c>
      <c r="S550" t="s">
        <v>169</v>
      </c>
      <c r="T550" t="s">
        <v>159</v>
      </c>
      <c r="U550" t="s">
        <v>27</v>
      </c>
    </row>
    <row r="551" spans="1:21" x14ac:dyDescent="0.25">
      <c r="A551" t="s">
        <v>1613</v>
      </c>
      <c r="B551" t="s">
        <v>1613</v>
      </c>
      <c r="C551">
        <v>9.5821656169999994</v>
      </c>
      <c r="D551" s="27">
        <v>45945</v>
      </c>
      <c r="E551" s="27">
        <v>46472</v>
      </c>
      <c r="F551">
        <v>8.0015309030000008</v>
      </c>
      <c r="G551">
        <v>534.331697749</v>
      </c>
      <c r="H551">
        <v>100.99850000000001</v>
      </c>
      <c r="I551" t="s">
        <v>82</v>
      </c>
      <c r="J551">
        <v>20250326</v>
      </c>
      <c r="K551" t="s">
        <v>43</v>
      </c>
      <c r="L551" t="s">
        <v>43</v>
      </c>
      <c r="M551" t="s">
        <v>179</v>
      </c>
      <c r="N551" t="s">
        <v>43</v>
      </c>
      <c r="O551" t="s">
        <v>43</v>
      </c>
      <c r="P551" t="s">
        <v>286</v>
      </c>
      <c r="S551" t="s">
        <v>179</v>
      </c>
      <c r="T551" t="s">
        <v>155</v>
      </c>
      <c r="U551" t="s">
        <v>31</v>
      </c>
    </row>
    <row r="552" spans="1:21" x14ac:dyDescent="0.25">
      <c r="A552" t="s">
        <v>1614</v>
      </c>
      <c r="B552" t="s">
        <v>1614</v>
      </c>
      <c r="C552">
        <v>9.8113671080000007</v>
      </c>
      <c r="D552" s="27">
        <v>46037</v>
      </c>
      <c r="E552" s="27">
        <v>46583</v>
      </c>
      <c r="F552">
        <v>12.43272552</v>
      </c>
      <c r="G552">
        <v>436.23286658400002</v>
      </c>
      <c r="H552">
        <v>100.80670000000001</v>
      </c>
      <c r="I552" t="s">
        <v>76</v>
      </c>
      <c r="J552">
        <v>20250627</v>
      </c>
      <c r="K552" t="s">
        <v>43</v>
      </c>
      <c r="L552" t="s">
        <v>43</v>
      </c>
      <c r="M552" t="s">
        <v>169</v>
      </c>
      <c r="N552" t="s">
        <v>43</v>
      </c>
      <c r="O552" t="s">
        <v>43</v>
      </c>
      <c r="P552" t="s">
        <v>275</v>
      </c>
      <c r="S552" t="s">
        <v>169</v>
      </c>
      <c r="T552" t="s">
        <v>155</v>
      </c>
      <c r="U552" t="s">
        <v>27</v>
      </c>
    </row>
    <row r="553" spans="1:21" x14ac:dyDescent="0.25">
      <c r="A553" t="s">
        <v>1615</v>
      </c>
      <c r="B553" t="s">
        <v>1615</v>
      </c>
      <c r="C553">
        <v>6.8973612549999999</v>
      </c>
      <c r="D553" s="27">
        <v>45949</v>
      </c>
      <c r="E553" s="27">
        <v>46065</v>
      </c>
      <c r="F553">
        <v>7.8379262880000002</v>
      </c>
      <c r="G553">
        <v>475.22424344900003</v>
      </c>
      <c r="H553">
        <v>99.975200000000001</v>
      </c>
      <c r="I553" t="s">
        <v>181</v>
      </c>
      <c r="J553">
        <v>20250212</v>
      </c>
      <c r="K553" t="s">
        <v>43</v>
      </c>
      <c r="L553" t="s">
        <v>1389</v>
      </c>
      <c r="M553" t="s">
        <v>43</v>
      </c>
      <c r="N553" t="s">
        <v>43</v>
      </c>
      <c r="O553" t="s">
        <v>43</v>
      </c>
      <c r="P553" t="s">
        <v>949</v>
      </c>
      <c r="S553" t="s">
        <v>1389</v>
      </c>
      <c r="T553" t="s">
        <v>134</v>
      </c>
      <c r="U553" t="s">
        <v>31</v>
      </c>
    </row>
    <row r="554" spans="1:21" x14ac:dyDescent="0.25">
      <c r="A554" t="s">
        <v>1616</v>
      </c>
      <c r="B554" t="s">
        <v>1616</v>
      </c>
      <c r="C554">
        <v>6.2107459030000003</v>
      </c>
      <c r="D554" s="27">
        <v>45952</v>
      </c>
      <c r="E554" s="27">
        <v>45975</v>
      </c>
      <c r="F554">
        <v>8.2700005319999992</v>
      </c>
      <c r="G554">
        <v>461.48249048999998</v>
      </c>
      <c r="H554">
        <v>98.941699999999997</v>
      </c>
      <c r="I554" t="s">
        <v>241</v>
      </c>
      <c r="J554">
        <v>20250214</v>
      </c>
      <c r="K554" t="s">
        <v>43</v>
      </c>
      <c r="L554" t="s">
        <v>1389</v>
      </c>
      <c r="M554" t="s">
        <v>43</v>
      </c>
      <c r="N554" t="s">
        <v>43</v>
      </c>
      <c r="O554" t="s">
        <v>43</v>
      </c>
      <c r="P554" t="s">
        <v>1617</v>
      </c>
      <c r="S554" t="s">
        <v>1389</v>
      </c>
      <c r="T554" t="s">
        <v>134</v>
      </c>
      <c r="U554" t="s">
        <v>31</v>
      </c>
    </row>
    <row r="555" spans="1:21" x14ac:dyDescent="0.25">
      <c r="A555" t="s">
        <v>1618</v>
      </c>
      <c r="B555" t="s">
        <v>1618</v>
      </c>
      <c r="C555">
        <v>8.9185286680000004</v>
      </c>
      <c r="D555" s="27">
        <v>45947</v>
      </c>
      <c r="E555" s="27">
        <v>46220</v>
      </c>
      <c r="F555">
        <v>10.771751484999999</v>
      </c>
      <c r="G555">
        <v>297.90919244499997</v>
      </c>
      <c r="H555">
        <v>100.4721</v>
      </c>
      <c r="I555" t="s">
        <v>86</v>
      </c>
      <c r="J555">
        <v>20240717</v>
      </c>
      <c r="K555" t="s">
        <v>43</v>
      </c>
      <c r="L555" t="s">
        <v>43</v>
      </c>
      <c r="M555" t="s">
        <v>169</v>
      </c>
      <c r="N555" t="s">
        <v>43</v>
      </c>
      <c r="O555" t="s">
        <v>43</v>
      </c>
      <c r="P555" t="s">
        <v>1619</v>
      </c>
      <c r="S555" t="s">
        <v>169</v>
      </c>
      <c r="T555" t="s">
        <v>155</v>
      </c>
      <c r="U555" t="s">
        <v>27</v>
      </c>
    </row>
    <row r="556" spans="1:21" x14ac:dyDescent="0.25">
      <c r="A556" t="s">
        <v>1620</v>
      </c>
      <c r="B556" t="s">
        <v>1620</v>
      </c>
      <c r="C556">
        <v>6.3391075299999997</v>
      </c>
      <c r="D556" s="27">
        <v>45952</v>
      </c>
      <c r="E556" s="27">
        <v>45221</v>
      </c>
      <c r="F556">
        <v>10.147923587999999</v>
      </c>
      <c r="G556">
        <v>320.247394461</v>
      </c>
      <c r="H556">
        <v>100.2967</v>
      </c>
      <c r="I556" t="s">
        <v>108</v>
      </c>
      <c r="J556">
        <v>20211202</v>
      </c>
      <c r="K556" t="s">
        <v>43</v>
      </c>
      <c r="L556" t="s">
        <v>785</v>
      </c>
      <c r="M556" t="s">
        <v>43</v>
      </c>
      <c r="N556" t="s">
        <v>43</v>
      </c>
      <c r="O556" t="s">
        <v>43</v>
      </c>
      <c r="P556" t="s">
        <v>326</v>
      </c>
      <c r="S556" t="s">
        <v>785</v>
      </c>
      <c r="T556" t="s">
        <v>134</v>
      </c>
      <c r="U556" t="s">
        <v>27</v>
      </c>
    </row>
    <row r="557" spans="1:21" x14ac:dyDescent="0.25">
      <c r="A557" t="s">
        <v>1621</v>
      </c>
      <c r="B557" t="s">
        <v>1621</v>
      </c>
      <c r="C557">
        <v>9.7758091189999998</v>
      </c>
      <c r="D557" s="27">
        <v>45950</v>
      </c>
      <c r="E557" s="27">
        <v>46407</v>
      </c>
      <c r="F557">
        <v>7.7478047029999999</v>
      </c>
      <c r="G557">
        <v>571.22006424100005</v>
      </c>
      <c r="H557">
        <v>94.75</v>
      </c>
      <c r="I557" t="s">
        <v>109</v>
      </c>
      <c r="J557">
        <v>20250214</v>
      </c>
      <c r="K557" t="s">
        <v>179</v>
      </c>
      <c r="L557" t="s">
        <v>43</v>
      </c>
      <c r="M557" t="s">
        <v>43</v>
      </c>
      <c r="N557" t="s">
        <v>43</v>
      </c>
      <c r="O557" t="s">
        <v>43</v>
      </c>
      <c r="P557" t="s">
        <v>489</v>
      </c>
      <c r="S557" t="s">
        <v>179</v>
      </c>
      <c r="T557" t="s">
        <v>159</v>
      </c>
      <c r="U557" t="s">
        <v>31</v>
      </c>
    </row>
    <row r="558" spans="1:21" x14ac:dyDescent="0.25">
      <c r="A558" t="s">
        <v>1622</v>
      </c>
      <c r="B558" t="s">
        <v>1622</v>
      </c>
      <c r="C558">
        <v>2.5174412940000002</v>
      </c>
      <c r="D558" s="27">
        <v>45945</v>
      </c>
      <c r="E558" s="27">
        <v>45031</v>
      </c>
      <c r="F558">
        <v>21.638390285</v>
      </c>
      <c r="G558">
        <v>337.19390175500001</v>
      </c>
      <c r="H558">
        <v>100.1942</v>
      </c>
      <c r="I558" t="s">
        <v>114</v>
      </c>
      <c r="J558">
        <v>20210519</v>
      </c>
      <c r="K558" t="s">
        <v>23</v>
      </c>
      <c r="L558" t="s">
        <v>43</v>
      </c>
      <c r="M558" t="s">
        <v>43</v>
      </c>
      <c r="N558" t="s">
        <v>23</v>
      </c>
      <c r="O558" t="s">
        <v>43</v>
      </c>
      <c r="P558" t="s">
        <v>341</v>
      </c>
      <c r="S558" t="s">
        <v>23</v>
      </c>
      <c r="T558" t="s">
        <v>159</v>
      </c>
      <c r="U558" t="s">
        <v>23</v>
      </c>
    </row>
    <row r="559" spans="1:21" x14ac:dyDescent="0.25">
      <c r="A559" t="s">
        <v>1623</v>
      </c>
      <c r="B559" t="s">
        <v>1623</v>
      </c>
      <c r="C559">
        <v>9.8226872210000007</v>
      </c>
      <c r="D559" s="27">
        <v>45945</v>
      </c>
      <c r="E559" s="27">
        <v>46402</v>
      </c>
      <c r="F559">
        <v>7.6208922860000001</v>
      </c>
      <c r="G559">
        <v>482.39801136300002</v>
      </c>
      <c r="H559">
        <v>100.497</v>
      </c>
      <c r="I559" t="s">
        <v>225</v>
      </c>
      <c r="J559">
        <v>20250211</v>
      </c>
      <c r="K559" t="s">
        <v>43</v>
      </c>
      <c r="L559" t="s">
        <v>43</v>
      </c>
      <c r="M559" t="s">
        <v>179</v>
      </c>
      <c r="N559" t="s">
        <v>43</v>
      </c>
      <c r="O559" t="s">
        <v>43</v>
      </c>
      <c r="P559" t="s">
        <v>1585</v>
      </c>
      <c r="S559" t="s">
        <v>179</v>
      </c>
      <c r="T559" t="s">
        <v>155</v>
      </c>
      <c r="U559" t="s">
        <v>31</v>
      </c>
    </row>
    <row r="560" spans="1:21" x14ac:dyDescent="0.25">
      <c r="A560" t="s">
        <v>1624</v>
      </c>
      <c r="B560" t="s">
        <v>1624</v>
      </c>
      <c r="C560">
        <v>9.2279649789999993</v>
      </c>
      <c r="D560" s="27">
        <v>45949</v>
      </c>
      <c r="E560" s="27">
        <v>46368</v>
      </c>
      <c r="F560">
        <v>12.123305775</v>
      </c>
      <c r="G560">
        <v>286.90249742700001</v>
      </c>
      <c r="H560">
        <v>100.55800000000001</v>
      </c>
      <c r="I560" t="s">
        <v>126</v>
      </c>
      <c r="J560">
        <v>20241212</v>
      </c>
      <c r="K560" t="s">
        <v>43</v>
      </c>
      <c r="L560" t="s">
        <v>43</v>
      </c>
      <c r="M560" t="s">
        <v>169</v>
      </c>
      <c r="N560" t="s">
        <v>43</v>
      </c>
      <c r="O560" t="s">
        <v>43</v>
      </c>
      <c r="P560" t="s">
        <v>351</v>
      </c>
      <c r="S560" t="s">
        <v>169</v>
      </c>
      <c r="T560" t="s">
        <v>155</v>
      </c>
      <c r="U560" t="s">
        <v>27</v>
      </c>
    </row>
    <row r="561" spans="1:21" x14ac:dyDescent="0.25">
      <c r="A561" t="s">
        <v>1625</v>
      </c>
      <c r="B561" t="s">
        <v>1625</v>
      </c>
      <c r="C561">
        <v>6.5329379190000001</v>
      </c>
      <c r="D561" s="27">
        <v>45889</v>
      </c>
      <c r="E561" s="27">
        <v>45758</v>
      </c>
      <c r="F561">
        <v>11.504628899</v>
      </c>
      <c r="G561">
        <v>338.15928655800002</v>
      </c>
      <c r="H561">
        <v>100.35680000000001</v>
      </c>
      <c r="I561" t="s">
        <v>89</v>
      </c>
      <c r="J561">
        <v>20240411</v>
      </c>
      <c r="K561" t="s">
        <v>169</v>
      </c>
      <c r="L561" t="s">
        <v>43</v>
      </c>
      <c r="M561" t="s">
        <v>43</v>
      </c>
      <c r="N561" t="s">
        <v>43</v>
      </c>
      <c r="O561" t="s">
        <v>43</v>
      </c>
      <c r="P561" t="s">
        <v>218</v>
      </c>
      <c r="S561" t="s">
        <v>169</v>
      </c>
      <c r="T561" t="s">
        <v>159</v>
      </c>
      <c r="U561" t="s">
        <v>27</v>
      </c>
    </row>
    <row r="562" spans="1:21" x14ac:dyDescent="0.25">
      <c r="A562" t="s">
        <v>1626</v>
      </c>
      <c r="B562" t="s">
        <v>1626</v>
      </c>
      <c r="C562">
        <v>7.8614500129999998</v>
      </c>
      <c r="D562" s="27">
        <v>45950</v>
      </c>
      <c r="E562" s="27">
        <v>46162</v>
      </c>
      <c r="F562">
        <v>11.906123123</v>
      </c>
      <c r="G562">
        <v>302.81640810699997</v>
      </c>
      <c r="H562">
        <v>100.4345</v>
      </c>
      <c r="I562" t="s">
        <v>127</v>
      </c>
      <c r="J562">
        <v>20240520</v>
      </c>
      <c r="K562" t="s">
        <v>169</v>
      </c>
      <c r="L562" t="s">
        <v>43</v>
      </c>
      <c r="M562" t="s">
        <v>43</v>
      </c>
      <c r="N562" t="s">
        <v>43</v>
      </c>
      <c r="O562" t="s">
        <v>43</v>
      </c>
      <c r="P562" t="s">
        <v>683</v>
      </c>
      <c r="S562" t="s">
        <v>169</v>
      </c>
      <c r="T562" t="s">
        <v>159</v>
      </c>
      <c r="U562" t="s">
        <v>27</v>
      </c>
    </row>
    <row r="563" spans="1:21" x14ac:dyDescent="0.25">
      <c r="A563" t="s">
        <v>1627</v>
      </c>
      <c r="B563" t="s">
        <v>1627</v>
      </c>
      <c r="C563">
        <v>6.1606291329999996</v>
      </c>
      <c r="D563" s="27">
        <v>45884</v>
      </c>
      <c r="E563" s="27">
        <v>45427</v>
      </c>
      <c r="F563">
        <v>10.728482767999999</v>
      </c>
      <c r="G563">
        <v>386.98660017999998</v>
      </c>
      <c r="H563">
        <v>99.150599999999997</v>
      </c>
      <c r="I563" t="s">
        <v>130</v>
      </c>
      <c r="J563">
        <v>20220428</v>
      </c>
      <c r="K563" t="s">
        <v>43</v>
      </c>
      <c r="L563" t="s">
        <v>785</v>
      </c>
      <c r="M563" t="s">
        <v>43</v>
      </c>
      <c r="N563" t="s">
        <v>43</v>
      </c>
      <c r="O563" t="s">
        <v>43</v>
      </c>
      <c r="P563" t="s">
        <v>1628</v>
      </c>
      <c r="S563" t="s">
        <v>785</v>
      </c>
      <c r="T563" t="s">
        <v>134</v>
      </c>
      <c r="U563" t="s">
        <v>27</v>
      </c>
    </row>
    <row r="564" spans="1:21" x14ac:dyDescent="0.25">
      <c r="A564" t="s">
        <v>1629</v>
      </c>
      <c r="B564" t="s">
        <v>1629</v>
      </c>
      <c r="C564">
        <v>6.4065086100000004</v>
      </c>
      <c r="D564" s="27">
        <v>45950</v>
      </c>
      <c r="E564" s="27">
        <v>45402</v>
      </c>
      <c r="F564">
        <v>11.747535974</v>
      </c>
      <c r="G564">
        <v>333.63989365499998</v>
      </c>
      <c r="H564">
        <v>100.5821</v>
      </c>
      <c r="I564" t="s">
        <v>98</v>
      </c>
      <c r="J564">
        <v>20220317</v>
      </c>
      <c r="K564" t="s">
        <v>43</v>
      </c>
      <c r="L564" t="s">
        <v>43</v>
      </c>
      <c r="M564" t="s">
        <v>27</v>
      </c>
      <c r="N564" t="s">
        <v>43</v>
      </c>
      <c r="O564" t="s">
        <v>43</v>
      </c>
      <c r="P564" t="s">
        <v>469</v>
      </c>
      <c r="S564" t="s">
        <v>27</v>
      </c>
      <c r="T564" t="s">
        <v>155</v>
      </c>
      <c r="U564" t="s">
        <v>27</v>
      </c>
    </row>
    <row r="565" spans="1:21" x14ac:dyDescent="0.25">
      <c r="A565" t="s">
        <v>1630</v>
      </c>
      <c r="B565" t="s">
        <v>1630</v>
      </c>
      <c r="C565">
        <v>6.0461743659999998</v>
      </c>
      <c r="D565" s="27">
        <v>45950</v>
      </c>
      <c r="E565" s="27">
        <v>45127</v>
      </c>
      <c r="F565">
        <v>12.568735727</v>
      </c>
      <c r="G565">
        <v>321.66065138099998</v>
      </c>
      <c r="H565">
        <v>100.2144</v>
      </c>
      <c r="I565" t="s">
        <v>227</v>
      </c>
      <c r="J565">
        <v>20210611</v>
      </c>
      <c r="K565" t="s">
        <v>43</v>
      </c>
      <c r="L565" t="s">
        <v>785</v>
      </c>
      <c r="M565" t="s">
        <v>43</v>
      </c>
      <c r="N565" t="s">
        <v>43</v>
      </c>
      <c r="O565" t="s">
        <v>43</v>
      </c>
      <c r="P565" t="s">
        <v>1593</v>
      </c>
      <c r="S565" t="s">
        <v>785</v>
      </c>
      <c r="T565" t="s">
        <v>134</v>
      </c>
      <c r="U565" t="s">
        <v>27</v>
      </c>
    </row>
    <row r="566" spans="1:21" x14ac:dyDescent="0.25">
      <c r="A566" t="s">
        <v>1631</v>
      </c>
      <c r="B566" t="s">
        <v>1631</v>
      </c>
      <c r="C566">
        <v>6.245600424</v>
      </c>
      <c r="D566" s="27">
        <v>45950</v>
      </c>
      <c r="E566" s="27">
        <v>45127</v>
      </c>
      <c r="F566">
        <v>11.470990322</v>
      </c>
      <c r="G566">
        <v>358.98270808699999</v>
      </c>
      <c r="H566">
        <v>100.1016</v>
      </c>
      <c r="I566" t="s">
        <v>177</v>
      </c>
      <c r="J566">
        <v>20210720</v>
      </c>
      <c r="K566" t="s">
        <v>43</v>
      </c>
      <c r="L566" t="s">
        <v>785</v>
      </c>
      <c r="M566" t="s">
        <v>43</v>
      </c>
      <c r="N566" t="s">
        <v>43</v>
      </c>
      <c r="O566" t="s">
        <v>43</v>
      </c>
      <c r="P566" t="s">
        <v>1595</v>
      </c>
      <c r="S566" t="s">
        <v>785</v>
      </c>
      <c r="T566" t="s">
        <v>134</v>
      </c>
      <c r="U566" t="s">
        <v>27</v>
      </c>
    </row>
    <row r="567" spans="1:21" x14ac:dyDescent="0.25">
      <c r="A567" t="s">
        <v>1632</v>
      </c>
      <c r="B567" t="s">
        <v>1632</v>
      </c>
      <c r="C567">
        <v>6.454160152</v>
      </c>
      <c r="D567" s="27">
        <v>45955</v>
      </c>
      <c r="E567" s="27">
        <v>45407</v>
      </c>
      <c r="F567">
        <v>10.570689227000001</v>
      </c>
      <c r="G567">
        <v>376.10275324399998</v>
      </c>
      <c r="H567">
        <v>97.598200000000006</v>
      </c>
      <c r="I567" t="s">
        <v>177</v>
      </c>
      <c r="J567">
        <v>20220303</v>
      </c>
      <c r="K567" t="s">
        <v>43</v>
      </c>
      <c r="L567" t="s">
        <v>785</v>
      </c>
      <c r="M567" t="s">
        <v>43</v>
      </c>
      <c r="N567" t="s">
        <v>43</v>
      </c>
      <c r="O567" t="s">
        <v>43</v>
      </c>
      <c r="P567" t="s">
        <v>1595</v>
      </c>
      <c r="S567" t="s">
        <v>785</v>
      </c>
      <c r="T567" t="s">
        <v>134</v>
      </c>
      <c r="U567" t="s">
        <v>27</v>
      </c>
    </row>
    <row r="568" spans="1:21" x14ac:dyDescent="0.25">
      <c r="A568" t="s">
        <v>1633</v>
      </c>
      <c r="B568" t="s">
        <v>1633</v>
      </c>
      <c r="C568">
        <v>0</v>
      </c>
      <c r="D568" s="27">
        <v>45953</v>
      </c>
      <c r="E568" s="27">
        <v>45405</v>
      </c>
      <c r="G568">
        <v>292.62751577900002</v>
      </c>
      <c r="H568">
        <v>100.38890000000001</v>
      </c>
      <c r="I568" t="s">
        <v>231</v>
      </c>
      <c r="J568">
        <v>20250807</v>
      </c>
      <c r="K568" t="s">
        <v>43</v>
      </c>
      <c r="L568" t="s">
        <v>43</v>
      </c>
      <c r="M568" t="s">
        <v>169</v>
      </c>
      <c r="N568" t="s">
        <v>43</v>
      </c>
      <c r="O568" t="s">
        <v>43</v>
      </c>
      <c r="P568" t="s">
        <v>404</v>
      </c>
      <c r="S568" t="s">
        <v>169</v>
      </c>
      <c r="T568" t="s">
        <v>155</v>
      </c>
      <c r="U568" t="s">
        <v>27</v>
      </c>
    </row>
    <row r="569" spans="1:21" x14ac:dyDescent="0.25">
      <c r="A569" t="s">
        <v>1634</v>
      </c>
      <c r="B569" t="s">
        <v>1634</v>
      </c>
      <c r="C569">
        <v>6.5490167049999997</v>
      </c>
      <c r="D569" s="27">
        <v>45953</v>
      </c>
      <c r="E569" s="27">
        <v>45405</v>
      </c>
      <c r="F569">
        <v>11.299034317</v>
      </c>
      <c r="H569">
        <v>100.005</v>
      </c>
      <c r="I569" t="s">
        <v>231</v>
      </c>
      <c r="J569">
        <v>20220331</v>
      </c>
      <c r="K569" t="s">
        <v>43</v>
      </c>
      <c r="L569" t="s">
        <v>43</v>
      </c>
      <c r="M569" t="s">
        <v>27</v>
      </c>
      <c r="N569" t="s">
        <v>43</v>
      </c>
      <c r="O569" t="s">
        <v>43</v>
      </c>
      <c r="P569" t="s">
        <v>404</v>
      </c>
      <c r="S569" t="s">
        <v>27</v>
      </c>
      <c r="T569" t="s">
        <v>155</v>
      </c>
      <c r="U569" t="s">
        <v>27</v>
      </c>
    </row>
    <row r="570" spans="1:21" x14ac:dyDescent="0.25">
      <c r="A570" t="s">
        <v>1635</v>
      </c>
      <c r="B570" t="s">
        <v>1635</v>
      </c>
      <c r="C570">
        <v>4.5895595949999999</v>
      </c>
      <c r="D570" s="27">
        <v>45945</v>
      </c>
      <c r="E570" s="27">
        <v>45762</v>
      </c>
      <c r="F570">
        <v>9.6075469879999993</v>
      </c>
      <c r="G570">
        <v>338.18439328199997</v>
      </c>
      <c r="H570">
        <v>100.3002</v>
      </c>
      <c r="I570" t="s">
        <v>242</v>
      </c>
      <c r="J570">
        <v>20200303</v>
      </c>
      <c r="K570" t="s">
        <v>169</v>
      </c>
      <c r="L570" t="s">
        <v>43</v>
      </c>
      <c r="M570" t="s">
        <v>43</v>
      </c>
      <c r="N570" t="s">
        <v>43</v>
      </c>
      <c r="O570" t="s">
        <v>43</v>
      </c>
      <c r="P570" t="s">
        <v>1636</v>
      </c>
      <c r="S570" t="s">
        <v>169</v>
      </c>
      <c r="T570" t="s">
        <v>159</v>
      </c>
      <c r="U570" t="s">
        <v>27</v>
      </c>
    </row>
    <row r="571" spans="1:21" x14ac:dyDescent="0.25">
      <c r="A571" t="s">
        <v>1637</v>
      </c>
      <c r="B571" t="s">
        <v>1637</v>
      </c>
      <c r="D571" s="27">
        <v>45947</v>
      </c>
      <c r="E571" s="27">
        <v>45855</v>
      </c>
      <c r="F571">
        <v>11.061923310999999</v>
      </c>
      <c r="I571" t="s">
        <v>111</v>
      </c>
      <c r="J571">
        <v>20230717</v>
      </c>
      <c r="K571" t="s">
        <v>43</v>
      </c>
      <c r="L571" t="s">
        <v>43</v>
      </c>
      <c r="M571" t="s">
        <v>169</v>
      </c>
      <c r="N571" t="s">
        <v>43</v>
      </c>
      <c r="O571" t="s">
        <v>43</v>
      </c>
      <c r="P571" t="s">
        <v>335</v>
      </c>
      <c r="S571" t="s">
        <v>169</v>
      </c>
      <c r="T571" t="s">
        <v>155</v>
      </c>
      <c r="U571"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Disclaimer </vt:lpstr>
      <vt:lpstr>Report</vt:lpstr>
      <vt:lpstr>ValidationLists</vt:lpstr>
      <vt:lpstr>Transactions</vt:lpstr>
      <vt:lpstr>Positions</vt:lpstr>
      <vt:lpstr>Sec_Master</vt:lpstr>
      <vt:lpstr>'Disclaimer '!Print_Area</vt:lpstr>
      <vt:lpstr>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 Hanlu</dc:creator>
  <cp:lastModifiedBy>Xia, Hanlu</cp:lastModifiedBy>
  <dcterms:created xsi:type="dcterms:W3CDTF">2015-06-05T18:17:20Z</dcterms:created>
  <dcterms:modified xsi:type="dcterms:W3CDTF">2026-05-18T14:48:05Z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dbe3eb5-c2ae-4da4-82cc-5677c0ccacc0_Enabled">
    <vt:lpwstr>true</vt:lpwstr>
  </property>
  <property fmtid="{D5CDD505-2E9C-101B-9397-08002B2CF9AE}" pid="3" name="MSIP_Label_6dbe3eb5-c2ae-4da4-82cc-5677c0ccacc0_SetDate">
    <vt:lpwstr>2025-07-02T20:46:40Z</vt:lpwstr>
  </property>
  <property fmtid="{D5CDD505-2E9C-101B-9397-08002B2CF9AE}" pid="4" name="MSIP_Label_6dbe3eb5-c2ae-4da4-82cc-5677c0ccacc0_Method">
    <vt:lpwstr>Standard</vt:lpwstr>
  </property>
  <property fmtid="{D5CDD505-2E9C-101B-9397-08002B2CF9AE}" pid="5" name="MSIP_Label_6dbe3eb5-c2ae-4da4-82cc-5677c0ccacc0_Name">
    <vt:lpwstr>defa4170-0d19-0005-0004-bc88714345d2</vt:lpwstr>
  </property>
  <property fmtid="{D5CDD505-2E9C-101B-9397-08002B2CF9AE}" pid="6" name="MSIP_Label_6dbe3eb5-c2ae-4da4-82cc-5677c0ccacc0_SiteId">
    <vt:lpwstr>fa7e0438-d050-4701-ab89-8ae378647e1b</vt:lpwstr>
  </property>
  <property fmtid="{D5CDD505-2E9C-101B-9397-08002B2CF9AE}" pid="7" name="MSIP_Label_6dbe3eb5-c2ae-4da4-82cc-5677c0ccacc0_ActionId">
    <vt:lpwstr>605de6f0-09f4-421d-ab35-d232808692d9</vt:lpwstr>
  </property>
  <property fmtid="{D5CDD505-2E9C-101B-9397-08002B2CF9AE}" pid="8" name="MSIP_Label_6dbe3eb5-c2ae-4da4-82cc-5677c0ccacc0_ContentBits">
    <vt:lpwstr>0</vt:lpwstr>
  </property>
</Properties>
</file>