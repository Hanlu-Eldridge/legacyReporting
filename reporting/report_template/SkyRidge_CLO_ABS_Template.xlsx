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Hanlu\workspace\legacyReporting\reporting\report_template\"/>
    </mc:Choice>
  </mc:AlternateContent>
  <xr:revisionPtr revIDLastSave="0" documentId="13_ncr:1_{E5068A78-674D-4E35-BF3E-DEC241C41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  <sheet name="ValidationLists" sheetId="2" r:id="rId2"/>
    <sheet name="Transactions" sheetId="3" r:id="rId3"/>
    <sheet name="Positions" sheetId="4" r:id="rId4"/>
    <sheet name="Sec_Master" sheetId="5" r:id="rId5"/>
  </sheets>
  <definedNames>
    <definedName name="_xlnm.Print_Area" localSheetId="0">Report!$A$1:$S$900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7" i="1" l="1"/>
  <c r="I137" i="1"/>
  <c r="L129" i="1"/>
  <c r="I129" i="1"/>
  <c r="L121" i="1"/>
  <c r="I121" i="1"/>
  <c r="L120" i="1"/>
  <c r="I120" i="1"/>
  <c r="L119" i="1"/>
  <c r="I119" i="1"/>
  <c r="L111" i="1"/>
  <c r="I111" i="1"/>
  <c r="L103" i="1"/>
  <c r="I103" i="1"/>
  <c r="L95" i="1"/>
  <c r="I95" i="1"/>
  <c r="L94" i="1"/>
  <c r="I94" i="1"/>
  <c r="L86" i="1"/>
  <c r="I86" i="1"/>
  <c r="L85" i="1"/>
  <c r="I85" i="1"/>
  <c r="L84" i="1"/>
  <c r="I84" i="1"/>
  <c r="L76" i="1"/>
  <c r="I76" i="1"/>
  <c r="G68" i="1"/>
  <c r="G60" i="1"/>
  <c r="G53" i="1"/>
  <c r="I47" i="1"/>
  <c r="H47" i="1" a="1"/>
  <c r="H47" i="1"/>
  <c r="G47" i="1" a="1"/>
  <c r="G47" i="1"/>
  <c r="D47" i="1"/>
  <c r="D39" i="1"/>
  <c r="D40" i="1"/>
  <c r="D41" i="1"/>
  <c r="D42" i="1"/>
  <c r="D43" i="1"/>
  <c r="D44" i="1"/>
  <c r="D45" i="1"/>
  <c r="D46" i="1"/>
  <c r="D37" i="1"/>
  <c r="F47" i="1"/>
  <c r="C47" i="1"/>
  <c r="C39" i="1"/>
  <c r="C40" i="1"/>
  <c r="C41" i="1"/>
  <c r="C42" i="1"/>
  <c r="C43" i="1"/>
  <c r="C44" i="1"/>
  <c r="C45" i="1"/>
  <c r="C46" i="1"/>
  <c r="C37" i="1"/>
  <c r="E47" i="1"/>
  <c r="I46" i="1"/>
  <c r="H46" i="1" a="1"/>
  <c r="H46" i="1"/>
  <c r="G46" i="1" a="1"/>
  <c r="G46" i="1"/>
  <c r="F46" i="1"/>
  <c r="E46" i="1"/>
  <c r="I45" i="1"/>
  <c r="H45" i="1" a="1"/>
  <c r="H45" i="1"/>
  <c r="G45" i="1" a="1"/>
  <c r="G45" i="1"/>
  <c r="F45" i="1"/>
  <c r="E45" i="1"/>
  <c r="I44" i="1"/>
  <c r="H44" i="1" a="1"/>
  <c r="H44" i="1"/>
  <c r="G44" i="1" a="1"/>
  <c r="G44" i="1"/>
  <c r="F44" i="1"/>
  <c r="E44" i="1"/>
  <c r="I43" i="1"/>
  <c r="H43" i="1" a="1"/>
  <c r="H43" i="1"/>
  <c r="G43" i="1" a="1"/>
  <c r="G43" i="1"/>
  <c r="F43" i="1"/>
  <c r="E43" i="1"/>
  <c r="I42" i="1"/>
  <c r="H42" i="1" a="1"/>
  <c r="H42" i="1"/>
  <c r="G42" i="1" a="1"/>
  <c r="G42" i="1"/>
  <c r="F42" i="1"/>
  <c r="E42" i="1"/>
  <c r="I41" i="1"/>
  <c r="H41" i="1" a="1"/>
  <c r="H41" i="1"/>
  <c r="G41" i="1" a="1"/>
  <c r="G41" i="1"/>
  <c r="F41" i="1"/>
  <c r="E41" i="1"/>
  <c r="I40" i="1"/>
  <c r="H40" i="1" a="1"/>
  <c r="H40" i="1"/>
  <c r="G40" i="1" a="1"/>
  <c r="G40" i="1"/>
  <c r="F40" i="1"/>
  <c r="E40" i="1"/>
  <c r="I39" i="1"/>
  <c r="H39" i="1" a="1"/>
  <c r="H39" i="1"/>
  <c r="G39" i="1" a="1"/>
  <c r="G39" i="1"/>
  <c r="F39" i="1"/>
  <c r="E39" i="1"/>
  <c r="I37" i="1"/>
  <c r="H37" i="1"/>
  <c r="G37" i="1"/>
  <c r="F37" i="1"/>
  <c r="E37" i="1"/>
  <c r="F24" i="1"/>
  <c r="F25" i="1"/>
  <c r="F26" i="1"/>
  <c r="F27" i="1"/>
  <c r="F28" i="1"/>
  <c r="F29" i="1"/>
  <c r="F30" i="1"/>
  <c r="F31" i="1"/>
  <c r="F32" i="1"/>
  <c r="E24" i="1"/>
  <c r="E25" i="1"/>
  <c r="E26" i="1"/>
  <c r="E27" i="1"/>
  <c r="E28" i="1"/>
  <c r="E29" i="1"/>
  <c r="E30" i="1"/>
  <c r="E31" i="1"/>
  <c r="E32" i="1"/>
  <c r="G32" i="1"/>
  <c r="G31" i="1"/>
  <c r="D31" i="1"/>
  <c r="C31" i="1"/>
  <c r="G30" i="1"/>
  <c r="D30" i="1"/>
  <c r="C30" i="1"/>
  <c r="G29" i="1"/>
  <c r="D29" i="1"/>
  <c r="C29" i="1"/>
  <c r="G28" i="1"/>
  <c r="D28" i="1"/>
  <c r="C28" i="1"/>
  <c r="G27" i="1"/>
  <c r="D27" i="1"/>
  <c r="C27" i="1"/>
  <c r="G26" i="1"/>
  <c r="D26" i="1"/>
  <c r="C26" i="1"/>
  <c r="G25" i="1"/>
  <c r="D25" i="1"/>
  <c r="C25" i="1"/>
  <c r="G24" i="1"/>
  <c r="D24" i="1"/>
  <c r="C24" i="1"/>
  <c r="C11" i="1"/>
  <c r="G10" i="1"/>
  <c r="G11" i="1"/>
  <c r="G12" i="1"/>
  <c r="G13" i="1"/>
  <c r="G14" i="1"/>
  <c r="G15" i="1"/>
  <c r="G16" i="1"/>
  <c r="G17" i="1"/>
  <c r="G18" i="1"/>
  <c r="C10" i="1"/>
  <c r="F10" i="1"/>
  <c r="F11" i="1"/>
  <c r="F12" i="1"/>
  <c r="F13" i="1"/>
  <c r="F14" i="1"/>
  <c r="F15" i="1"/>
  <c r="F16" i="1"/>
  <c r="F17" i="1"/>
  <c r="F18" i="1"/>
  <c r="C18" i="1"/>
  <c r="K10" i="1"/>
  <c r="K11" i="1"/>
  <c r="K12" i="1"/>
  <c r="K13" i="1"/>
  <c r="K14" i="1"/>
  <c r="K15" i="1"/>
  <c r="K16" i="1"/>
  <c r="K17" i="1"/>
  <c r="J10" i="1"/>
  <c r="J11" i="1"/>
  <c r="J12" i="1"/>
  <c r="J13" i="1"/>
  <c r="J14" i="1"/>
  <c r="J15" i="1"/>
  <c r="J16" i="1"/>
  <c r="J17" i="1"/>
  <c r="C17" i="1"/>
  <c r="O10" i="1"/>
  <c r="O11" i="1"/>
  <c r="O12" i="1"/>
  <c r="O13" i="1"/>
  <c r="O14" i="1"/>
  <c r="O15" i="1"/>
  <c r="O16" i="1"/>
  <c r="N10" i="1"/>
  <c r="N11" i="1"/>
  <c r="N12" i="1"/>
  <c r="N13" i="1"/>
  <c r="N14" i="1"/>
  <c r="N15" i="1"/>
  <c r="N16" i="1"/>
  <c r="C16" i="1"/>
  <c r="C15" i="1" a="1"/>
  <c r="C15" i="1"/>
  <c r="C14" i="1"/>
  <c r="C13" i="1"/>
  <c r="C12" i="1" a="1"/>
  <c r="C12" i="1"/>
  <c r="C32" i="1"/>
  <c r="D32" i="1"/>
</calcChain>
</file>

<file path=xl/sharedStrings.xml><?xml version="1.0" encoding="utf-8"?>
<sst xmlns="http://schemas.openxmlformats.org/spreadsheetml/2006/main" count="14890" uniqueCount="1705">
  <si>
    <t>SkyRidge CLO ABS Report</t>
  </si>
  <si>
    <t>Prepared As of:</t>
  </si>
  <si>
    <t>View As Portfolio:</t>
  </si>
  <si>
    <t>Choose the desired portfolio in the drop down</t>
  </si>
  <si>
    <t>All Portfolios</t>
  </si>
  <si>
    <t>Summary Page</t>
  </si>
  <si>
    <t>Executive Summary</t>
  </si>
  <si>
    <t>Tranche Rating</t>
  </si>
  <si>
    <t>Weighted Average Life</t>
  </si>
  <si>
    <t>CLO Debt Coupon</t>
  </si>
  <si>
    <t>Analytics</t>
  </si>
  <si>
    <t>CLO/ABS Debt</t>
  </si>
  <si>
    <t>Portfolio % CF</t>
  </si>
  <si>
    <t>Portfolio % MV</t>
  </si>
  <si>
    <t>WAL</t>
  </si>
  <si>
    <t>Coupon</t>
  </si>
  <si>
    <t>Face Value</t>
  </si>
  <si>
    <t>AAA</t>
  </si>
  <si>
    <t>0&lt;2</t>
  </si>
  <si>
    <t>0&lt;3</t>
  </si>
  <si>
    <t>Market Value</t>
  </si>
  <si>
    <t>AA</t>
  </si>
  <si>
    <t>2&lt;4</t>
  </si>
  <si>
    <t>3&lt;4</t>
  </si>
  <si>
    <t>A</t>
  </si>
  <si>
    <t>4&lt;6</t>
  </si>
  <si>
    <t>4&lt;5</t>
  </si>
  <si>
    <t>WA Purchase Price</t>
  </si>
  <si>
    <t>BBB</t>
  </si>
  <si>
    <t>6&lt;8</t>
  </si>
  <si>
    <t>5&lt;6</t>
  </si>
  <si>
    <t xml:space="preserve">WA Market Price </t>
  </si>
  <si>
    <t>BB</t>
  </si>
  <si>
    <t>8&lt;10</t>
  </si>
  <si>
    <t>6&lt;7</t>
  </si>
  <si>
    <t>WA Life</t>
  </si>
  <si>
    <t>B</t>
  </si>
  <si>
    <t>10+</t>
  </si>
  <si>
    <t>7+</t>
  </si>
  <si>
    <t>Number of Issuers</t>
  </si>
  <si>
    <t>CCC</t>
  </si>
  <si>
    <t>unknown</t>
  </si>
  <si>
    <t>Total</t>
  </si>
  <si>
    <t>Number of Managers</t>
  </si>
  <si>
    <t>NR</t>
  </si>
  <si>
    <t>Number of Cusips</t>
  </si>
  <si>
    <t>Holdings Summary</t>
  </si>
  <si>
    <t>WA Coupon</t>
  </si>
  <si>
    <t>WA WAL</t>
  </si>
  <si>
    <t>Current Face</t>
  </si>
  <si>
    <t>Market Price</t>
  </si>
  <si>
    <t>CLO/ABS Debt - AAA</t>
  </si>
  <si>
    <t>CLO/ABS Debt - AA</t>
  </si>
  <si>
    <t>CLO/ABS Debt - A</t>
  </si>
  <si>
    <t>CLO/ABS Debt - BBB</t>
  </si>
  <si>
    <t>CLO/ABS Debt - BB</t>
  </si>
  <si>
    <t>CLO/ABS Debt - B</t>
  </si>
  <si>
    <t>CLO/ABS Debt - CCC</t>
  </si>
  <si>
    <t>CLO/ABS Debt - NR</t>
  </si>
  <si>
    <t>Top Exposure by Manager</t>
  </si>
  <si>
    <t>Summary of Manager Total</t>
  </si>
  <si>
    <t>Current Face %</t>
  </si>
  <si>
    <t>Market Value %</t>
  </si>
  <si>
    <t>No. of Issuers</t>
  </si>
  <si>
    <t>No. of Cusips</t>
  </si>
  <si>
    <t>No. of Positions</t>
  </si>
  <si>
    <t>AGL CLO Credit Management</t>
  </si>
  <si>
    <t>AXA Investment Managers</t>
  </si>
  <si>
    <t>Anchorage Collateral Management</t>
  </si>
  <si>
    <t>CVC Credit Partners</t>
  </si>
  <si>
    <t>Ares CLO Management</t>
  </si>
  <si>
    <t>Arini Loan Management US</t>
  </si>
  <si>
    <t>Crescent Capital Group</t>
  </si>
  <si>
    <t>Blackstone Private Credit Fund</t>
  </si>
  <si>
    <t>Bain Capital Credit U.S. CLO Manager II</t>
  </si>
  <si>
    <t>Ballyrock Investment Advisors</t>
  </si>
  <si>
    <t>Ballyrock Ltd</t>
  </si>
  <si>
    <t>Birch Grove Capital</t>
  </si>
  <si>
    <t>CBAM CLO Management</t>
  </si>
  <si>
    <t>Carlyle CLO Management</t>
  </si>
  <si>
    <t>PGIM</t>
  </si>
  <si>
    <t>Issuer</t>
  </si>
  <si>
    <t>Security Description</t>
  </si>
  <si>
    <t>Cusip</t>
  </si>
  <si>
    <t>Settle Date</t>
  </si>
  <si>
    <t>Elmwood Asset Management</t>
  </si>
  <si>
    <t>Blackrock CLO</t>
  </si>
  <si>
    <t>Elmwood RR CLO</t>
  </si>
  <si>
    <t>Falcon Aerospace Ltd</t>
  </si>
  <si>
    <t>NYL Investors</t>
  </si>
  <si>
    <t>Garnet Credit Management</t>
  </si>
  <si>
    <t>Trade Date</t>
  </si>
  <si>
    <t>Sale Price</t>
  </si>
  <si>
    <t>Maturity Date</t>
  </si>
  <si>
    <t>GLM II</t>
  </si>
  <si>
    <t>GLM III</t>
  </si>
  <si>
    <t>GC Investment Management</t>
  </si>
  <si>
    <t>OPAL BSL</t>
  </si>
  <si>
    <t>Purchase Price</t>
  </si>
  <si>
    <t>Guggenheim Corporate Funding</t>
  </si>
  <si>
    <t>AGL 2020-6A ER2 20-Apr-2038</t>
  </si>
  <si>
    <t>00119WAG2</t>
  </si>
  <si>
    <t>04-20-2038</t>
  </si>
  <si>
    <t>Investcorp Credit Management US</t>
  </si>
  <si>
    <t>Blackstone CLO Management</t>
  </si>
  <si>
    <t>HPS Investment Partners</t>
  </si>
  <si>
    <t>ICG Debt Advisors</t>
  </si>
  <si>
    <t>Issue Date</t>
  </si>
  <si>
    <t>Spread</t>
  </si>
  <si>
    <t>Factor</t>
  </si>
  <si>
    <t>NRSRO</t>
  </si>
  <si>
    <t>NRSRO Rating</t>
  </si>
  <si>
    <t>Par Sub</t>
  </si>
  <si>
    <t>Implied DM</t>
  </si>
  <si>
    <t>Next Payment Date</t>
  </si>
  <si>
    <t>Non-Call Date</t>
  </si>
  <si>
    <t>Invesco CLO Equity Fund 3</t>
  </si>
  <si>
    <t>CBAM Ltd</t>
  </si>
  <si>
    <t>01-15-2031</t>
  </si>
  <si>
    <t>Aa1</t>
  </si>
  <si>
    <t>07-15-2025</t>
  </si>
  <si>
    <t>KKR Financial Advisors II</t>
  </si>
  <si>
    <t>Blackstone Liquid Credit Strategies</t>
  </si>
  <si>
    <t>UBS Asset Management (Americas)</t>
  </si>
  <si>
    <t>Credit Suisse Asset Management</t>
  </si>
  <si>
    <t>Blackrock Financial Management</t>
  </si>
  <si>
    <t>Maranon Capital</t>
  </si>
  <si>
    <t>Maranon Management</t>
  </si>
  <si>
    <t>MidOcean Credit RR Manager</t>
  </si>
  <si>
    <t>Neuberger Berman Loan Advisers</t>
  </si>
  <si>
    <t>Oak Hill Advisors</t>
  </si>
  <si>
    <t>Oak Street Investment Grade Ne</t>
  </si>
  <si>
    <t>Octagon Credit Investors</t>
  </si>
  <si>
    <t>Palmer Square Capital Management</t>
  </si>
  <si>
    <t>DoubleLine Capital</t>
  </si>
  <si>
    <t>Park Blue CLO Ltd</t>
  </si>
  <si>
    <t>Redding Ridge Asset Management</t>
  </si>
  <si>
    <t>Napier Park Global Capital (US)</t>
  </si>
  <si>
    <t>SESAC Finance, LLC</t>
  </si>
  <si>
    <t>Sierra Receivables Funding Co</t>
  </si>
  <si>
    <t>Silver Point Select C CLO Manager</t>
  </si>
  <si>
    <t>Sixth Street CLO Management</t>
  </si>
  <si>
    <t>Symphony Asset Management</t>
  </si>
  <si>
    <t>Symphony Alternative Asset Management</t>
  </si>
  <si>
    <t>Angelo, Gordon &amp; Co</t>
  </si>
  <si>
    <t>APC Asset Development II</t>
  </si>
  <si>
    <t>BlackRock Capital Investment Advisors</t>
  </si>
  <si>
    <t>Warwick Capital CLO Management</t>
  </si>
  <si>
    <t>Blue Owl Liquid Credit Advisors</t>
  </si>
  <si>
    <t>Willis Engine Securitization T</t>
  </si>
  <si>
    <t>Regatta Loan Management</t>
  </si>
  <si>
    <t>Napier Park Global Capital</t>
  </si>
  <si>
    <t>Rockford Tower Capital Management</t>
  </si>
  <si>
    <t>Sound Point Capital Management</t>
  </si>
  <si>
    <t>First Eagle Alternative Credit</t>
  </si>
  <si>
    <t>BSP CLO Management</t>
  </si>
  <si>
    <t>Benefit Street Partners</t>
  </si>
  <si>
    <t>CBAM Partners</t>
  </si>
  <si>
    <t>CFI Partners</t>
  </si>
  <si>
    <t>CIFC Asset Management</t>
  </si>
  <si>
    <t>Canyon CLO Advisors</t>
  </si>
  <si>
    <t>Cerberus Business Finance</t>
  </si>
  <si>
    <t>Pretium Credit Management</t>
  </si>
  <si>
    <t>325 Fillmore</t>
  </si>
  <si>
    <t>Empower Capital Management</t>
  </si>
  <si>
    <t>FC BSL VI Management</t>
  </si>
  <si>
    <t>Aquarian Credit Partners</t>
  </si>
  <si>
    <t>Generate Advisors</t>
  </si>
  <si>
    <t>Hayfin Capital Management</t>
  </si>
  <si>
    <t>HPS Investment Partners CLO (UK)</t>
  </si>
  <si>
    <t>Investcorp Credit Management</t>
  </si>
  <si>
    <t>Apogem Capital</t>
  </si>
  <si>
    <t>Marble Point CLO Management</t>
  </si>
  <si>
    <t>Apex Credit Partners</t>
  </si>
  <si>
    <t>MidOcean Credit Fund Management</t>
  </si>
  <si>
    <t>Neuberger Berman Investment Advisers</t>
  </si>
  <si>
    <t>Neuberger Berman Loan Advisers II</t>
  </si>
  <si>
    <t>Onex Credit Partners</t>
  </si>
  <si>
    <t>Oaktree Capital Management</t>
  </si>
  <si>
    <t>Oaktree CLO Management Company</t>
  </si>
  <si>
    <t>Antares Liquid Credit Strategies</t>
  </si>
  <si>
    <t>Centerbridge Credit Funding Advisors</t>
  </si>
  <si>
    <t>Irradiant Partners</t>
  </si>
  <si>
    <t>Silver Point RR Manager</t>
  </si>
  <si>
    <t>Sound Point CLO C-MOA</t>
  </si>
  <si>
    <t>TICP CLO VII Management</t>
  </si>
  <si>
    <t>APC Asset Development I</t>
  </si>
  <si>
    <t>Aristotle Pacific Capital</t>
  </si>
  <si>
    <t>Voya Alternative Asset Management</t>
  </si>
  <si>
    <t>OCIC SLF</t>
  </si>
  <si>
    <t>Blue Owl Credit Income Senior Loan Fund</t>
  </si>
  <si>
    <t>Carlyle CLO Management Europe</t>
  </si>
  <si>
    <t>CF Hippolyta Issuer LLC</t>
  </si>
  <si>
    <t>DataBank Issuer LLC</t>
  </si>
  <si>
    <t>GCM GROSVENOR DIV LLC</t>
  </si>
  <si>
    <t>Vertical Bridge CC, LLC</t>
  </si>
  <si>
    <t>Ares U.S. CLO Management</t>
  </si>
  <si>
    <t>Barings</t>
  </si>
  <si>
    <t>Allstate Investment Management Co</t>
  </si>
  <si>
    <t>Anchorage Capital Group</t>
  </si>
  <si>
    <t>CVC Credit Partners U.S. CLO Management</t>
  </si>
  <si>
    <t>Clover Credit Management</t>
  </si>
  <si>
    <t>GLM</t>
  </si>
  <si>
    <t>Bain Capital Credit U.S. CLO Manager</t>
  </si>
  <si>
    <t>Bain Capital Credit</t>
  </si>
  <si>
    <t>Bardin Hill Performing Credit Management</t>
  </si>
  <si>
    <t>Palmer Square Europe Capital Management</t>
  </si>
  <si>
    <t>Brigade Capital Management</t>
  </si>
  <si>
    <t>Canyon Capital Advisors</t>
  </si>
  <si>
    <t>Diameter CLO Advisors</t>
  </si>
  <si>
    <t>Silver Point CLO Management</t>
  </si>
  <si>
    <t>Turbine Engine Securitization</t>
  </si>
  <si>
    <t>Type</t>
  </si>
  <si>
    <t>Call</t>
  </si>
  <si>
    <t>Golub Capital Partners CLO Ltd</t>
  </si>
  <si>
    <t>GOCAP 2015-24A CR 05-Nov-2029</t>
  </si>
  <si>
    <t>38174YAE5</t>
  </si>
  <si>
    <t>05-05-2025</t>
  </si>
  <si>
    <t>GOCAP 2015-24A DR 05-Nov-2029</t>
  </si>
  <si>
    <t>38174YAG0</t>
  </si>
  <si>
    <t>SESAC 2019-1 A2 25-Jul-2049</t>
  </si>
  <si>
    <t>78396YAA1</t>
  </si>
  <si>
    <t>07-31-2025</t>
  </si>
  <si>
    <t>SRFC 2020-2A C 20-Jul-2037</t>
  </si>
  <si>
    <t>826525AC1</t>
  </si>
  <si>
    <t>06-18-2025</t>
  </si>
  <si>
    <t>Paydown</t>
  </si>
  <si>
    <t>AGL CLO Ltd.</t>
  </si>
  <si>
    <t>AGL 2023-24A C 25-Jul-2036</t>
  </si>
  <si>
    <t>00119AAG0</t>
  </si>
  <si>
    <t>05-23-2025</t>
  </si>
  <si>
    <t>AGL 2023-24A D 25-Jul-2036</t>
  </si>
  <si>
    <t>00119AAJ4</t>
  </si>
  <si>
    <t>AGL 2023-25A D 21-Jul-2036</t>
  </si>
  <si>
    <t>00120NAG9</t>
  </si>
  <si>
    <t>06-25-2025</t>
  </si>
  <si>
    <t>Allegro CLO Ltd</t>
  </si>
  <si>
    <t>ALLEG 2021-1A D 20-Jul-2034</t>
  </si>
  <si>
    <t>01750WAJ8</t>
  </si>
  <si>
    <t>07-21-2025</t>
  </si>
  <si>
    <t>Apidos CLO Ltd</t>
  </si>
  <si>
    <t>APID 2023-43A E 25-Apr-2035</t>
  </si>
  <si>
    <t>03770JAA8</t>
  </si>
  <si>
    <t>APID 2023-45A D 26-Apr-2036</t>
  </si>
  <si>
    <t>03770MAG8</t>
  </si>
  <si>
    <t>07-02-2025</t>
  </si>
  <si>
    <t>BCRED BSL Static CLO Ltd</t>
  </si>
  <si>
    <t>BCSTAT 2025-1A C 20-Jul-2034</t>
  </si>
  <si>
    <t>05553MAE1</t>
  </si>
  <si>
    <t>05-29-2025</t>
  </si>
  <si>
    <t>BCSTAT 2025-1A D 20-Jul-2034</t>
  </si>
  <si>
    <t>05553MAG6</t>
  </si>
  <si>
    <t>Bain Capital Credit CLO, Limit</t>
  </si>
  <si>
    <t>BCC 2023-2A D 18-Jul-2036</t>
  </si>
  <si>
    <t>05684GAJ5</t>
  </si>
  <si>
    <t>07-18-2025</t>
  </si>
  <si>
    <t>CBAMR Ltd</t>
  </si>
  <si>
    <t>CBAMR 2017-4A E 15-Jan-2031</t>
  </si>
  <si>
    <t>12481PAA5</t>
  </si>
  <si>
    <t>06-27-2025</t>
  </si>
  <si>
    <t>Carlyle Global Market Strategi</t>
  </si>
  <si>
    <t>CGMS 2017-4A C 15-Jan-2030</t>
  </si>
  <si>
    <t>14315BAG1</t>
  </si>
  <si>
    <t>06-23-2025</t>
  </si>
  <si>
    <t>Dryden Senior Loan Fund</t>
  </si>
  <si>
    <t>DRSLF 2017-53A C 15-Jan-2031</t>
  </si>
  <si>
    <t>26243EAC5</t>
  </si>
  <si>
    <t>07-08-2025</t>
  </si>
  <si>
    <t>DRSLF 2023-105A D 18-Apr-2036</t>
  </si>
  <si>
    <t>26253QAG6</t>
  </si>
  <si>
    <t>05-22-2025</t>
  </si>
  <si>
    <t>Elmwood CLO 15 Ltd</t>
  </si>
  <si>
    <t>ELM15 2022-2A E 22-Apr-2035</t>
  </si>
  <si>
    <t>29003KAA9</t>
  </si>
  <si>
    <t>07-10-2025</t>
  </si>
  <si>
    <t>FLCON 2017-1 A 15-Feb-2042</t>
  </si>
  <si>
    <t>30605YAB7</t>
  </si>
  <si>
    <t>Flatiron CLO Ltd</t>
  </si>
  <si>
    <t>FLAT 2023-1A C 17-Apr-2036</t>
  </si>
  <si>
    <t>33883DAE4</t>
  </si>
  <si>
    <t>06-10-2025</t>
  </si>
  <si>
    <t>FLAT 2023-1A D 17-Apr-2036</t>
  </si>
  <si>
    <t>33883DAG9</t>
  </si>
  <si>
    <t>GoldenTree Loan Management US</t>
  </si>
  <si>
    <t>GLM 2023-17A C 20-Jul-2036</t>
  </si>
  <si>
    <t>38139FAG5</t>
  </si>
  <si>
    <t>06-24-2025</t>
  </si>
  <si>
    <t>GLM 2023-17A D 20-Jul-2036</t>
  </si>
  <si>
    <t>38139FAJ9</t>
  </si>
  <si>
    <t>Guggenheim CLO Ltd</t>
  </si>
  <si>
    <t>GUGG 2021-4A D 15-Jan-2034</t>
  </si>
  <si>
    <t>40169CAJ5</t>
  </si>
  <si>
    <t>HPS Loan Management Ltd</t>
  </si>
  <si>
    <t>HLM 2023-18A C 20-Jul-2036</t>
  </si>
  <si>
    <t>442911AG8</t>
  </si>
  <si>
    <t>HLM 2023-18A D 20-Jul-2036</t>
  </si>
  <si>
    <t>442911AJ2</t>
  </si>
  <si>
    <t>ICG US CLO Ltd</t>
  </si>
  <si>
    <t>ICG 2023-1A D 18-Jul-2036</t>
  </si>
  <si>
    <t>449278AG5</t>
  </si>
  <si>
    <t>Invesco U.S. CLO 2025-2, Ltd.</t>
  </si>
  <si>
    <t>INVCO 2023-3A C 15-Jul-2036</t>
  </si>
  <si>
    <t>46091RAE3</t>
  </si>
  <si>
    <t>INVCO 2023-3A D 15-Jul-2036</t>
  </si>
  <si>
    <t>46091RAG8</t>
  </si>
  <si>
    <t>INVCO 2023-2A D 21-Apr-2036</t>
  </si>
  <si>
    <t>46147KAD4</t>
  </si>
  <si>
    <t>05-08-2025</t>
  </si>
  <si>
    <t>Long Point Park CLO Ltd</t>
  </si>
  <si>
    <t>LNGPT 2017-1A B 17-Jan-2030</t>
  </si>
  <si>
    <t>542798AG8</t>
  </si>
  <si>
    <t>07-17-2025</t>
  </si>
  <si>
    <t>Madison Park Funding Ltd</t>
  </si>
  <si>
    <t>MDPK 2022-62A DR 17-Jul-2036</t>
  </si>
  <si>
    <t>55817HAU3</t>
  </si>
  <si>
    <t>MDPK 2021-38A E 17-Jul-2034</t>
  </si>
  <si>
    <t>55821MAA0</t>
  </si>
  <si>
    <t>Magnetite CLO Ltd</t>
  </si>
  <si>
    <t>MAGNE 2023-36A D 22-Apr-2036</t>
  </si>
  <si>
    <t>559922AG4</t>
  </si>
  <si>
    <t>06-11-2025</t>
  </si>
  <si>
    <t>Maranon Loan Funding Ltd</t>
  </si>
  <si>
    <t>MRNON 2020-1A C 15-Jan-2034</t>
  </si>
  <si>
    <t>56577GAJ8</t>
  </si>
  <si>
    <t>MRNON 2021-2RA DR 15-Jul-2033</t>
  </si>
  <si>
    <t>56577JAG8</t>
  </si>
  <si>
    <t>MRNON 2021-1RA DR 15-Jul-2034</t>
  </si>
  <si>
    <t>56577LAN8</t>
  </si>
  <si>
    <t>MidOcean Credit CLO</t>
  </si>
  <si>
    <t>MIDO 2023-12A DR 18-Apr-2036</t>
  </si>
  <si>
    <t>59803TAY7</t>
  </si>
  <si>
    <t>Neuberger Berman CLO Ltd</t>
  </si>
  <si>
    <t>NEUB 2020-36A ER2 20-Apr-2033</t>
  </si>
  <si>
    <t>64133JAQ7</t>
  </si>
  <si>
    <t>Oak Hill Credit</t>
  </si>
  <si>
    <t>OAKC 2023-15A D 20-Apr-2035</t>
  </si>
  <si>
    <t>67116TAM8</t>
  </si>
  <si>
    <t>OAKIG 2020-1A A5 20-Nov-2050</t>
  </si>
  <si>
    <t>67181DAE1</t>
  </si>
  <si>
    <t>OAKIG 2021-1A A3 20-Jan-2051</t>
  </si>
  <si>
    <t>67190AAC0</t>
  </si>
  <si>
    <t>OAKIG 2021-1A A4 20-Jan-2051</t>
  </si>
  <si>
    <t>67190AAD8</t>
  </si>
  <si>
    <t>Octagon 67 Ltd</t>
  </si>
  <si>
    <t>OCT67 2023-1A E 25-Apr-2036</t>
  </si>
  <si>
    <t>67577YAA5</t>
  </si>
  <si>
    <t>05-20-2025</t>
  </si>
  <si>
    <t>Octagon Investment Partners XV</t>
  </si>
  <si>
    <t>OCT15 2013-1A DRR 19-Jul-2030</t>
  </si>
  <si>
    <t>67590EBN3</t>
  </si>
  <si>
    <t>06-30-2025</t>
  </si>
  <si>
    <t>OAKC 2021-10A D2 18-Jan-2036</t>
  </si>
  <si>
    <t>67707LAE8</t>
  </si>
  <si>
    <t>Palmer Square CLO Ltd</t>
  </si>
  <si>
    <t>PLMRS 2023-2A C 20-Apr-2036</t>
  </si>
  <si>
    <t>69703AAG7</t>
  </si>
  <si>
    <t>PLMRS 2023-2A D 20-Apr-2036</t>
  </si>
  <si>
    <t>69703AAJ1</t>
  </si>
  <si>
    <t>Rad CLO Ltd</t>
  </si>
  <si>
    <t>RAD 2023-19A D 20-Apr-2035</t>
  </si>
  <si>
    <t>750104AJ0</t>
  </si>
  <si>
    <t>Regatta XXV Funding Ltd.</t>
  </si>
  <si>
    <t>REG25 2023-1A C 15-Jul-2036</t>
  </si>
  <si>
    <t>758978AE0</t>
  </si>
  <si>
    <t>07-11-2025</t>
  </si>
  <si>
    <t>REG25 2023-1A D 15-Jul-2036</t>
  </si>
  <si>
    <t>758978AG5</t>
  </si>
  <si>
    <t>07-25-2025</t>
  </si>
  <si>
    <t>Tallman Park CLO, Ltd.</t>
  </si>
  <si>
    <t>TALPK 2021-1A D 20-Apr-2034</t>
  </si>
  <si>
    <t>874777AG0</t>
  </si>
  <si>
    <t>BLKMM 2021-8A E 15-Jan-2034</t>
  </si>
  <si>
    <t>91734KAL1</t>
  </si>
  <si>
    <t>Wellfleet CLO Ltd</t>
  </si>
  <si>
    <t>WELF 2021-3A D 15-Jan-2035</t>
  </si>
  <si>
    <t>94951JAG5</t>
  </si>
  <si>
    <t>WESTF 2020-A A 15-Mar-2045</t>
  </si>
  <si>
    <t>97064FAA3</t>
  </si>
  <si>
    <t>WESTF 2020-A B 15-Mar-2045</t>
  </si>
  <si>
    <t>97064FAB1</t>
  </si>
  <si>
    <t>Atlas Senior Loan Fund LTD</t>
  </si>
  <si>
    <t>ATCLO 2019-14A D 20-Jul-2032</t>
  </si>
  <si>
    <t>04942CAL0</t>
  </si>
  <si>
    <t>05-12-2025</t>
  </si>
  <si>
    <t>05-13-2025</t>
  </si>
  <si>
    <t>07-20-2032</t>
  </si>
  <si>
    <t>Elmwood CLO III Ltd</t>
  </si>
  <si>
    <t>ELMW3 2019-3A DRR 18-Jul-2037</t>
  </si>
  <si>
    <t>29002HBE8</t>
  </si>
  <si>
    <t>06-26-2025</t>
  </si>
  <si>
    <t>07-18-2037</t>
  </si>
  <si>
    <t>Symphony CLO Ltd</t>
  </si>
  <si>
    <t>SYMP 2014-15A DR2 17-Jan-2032</t>
  </si>
  <si>
    <t>87154EBA7</t>
  </si>
  <si>
    <t>05-15-2025</t>
  </si>
  <si>
    <t>05-16-2025</t>
  </si>
  <si>
    <t>01-17-2032</t>
  </si>
  <si>
    <t>05-30-2025</t>
  </si>
  <si>
    <t>06-02-2025</t>
  </si>
  <si>
    <t>06-06-2025</t>
  </si>
  <si>
    <t>06-09-2025</t>
  </si>
  <si>
    <t>AGL 2023-24A CR 31-Mar-2038</t>
  </si>
  <si>
    <t>00119AAS4</t>
  </si>
  <si>
    <t>05-09-2025</t>
  </si>
  <si>
    <t>03-31-2038</t>
  </si>
  <si>
    <t>AGL 2023-24A D1R 31-Mar-2038</t>
  </si>
  <si>
    <t>00119AAU9</t>
  </si>
  <si>
    <t>AGL 2023-25A D1R 21-Jul-2038</t>
  </si>
  <si>
    <t>00120NAU8</t>
  </si>
  <si>
    <t>07-21-2038</t>
  </si>
  <si>
    <t>AGL CLO 19 Ltd</t>
  </si>
  <si>
    <t>AGL 2022-19A D1R 21-Jul-2038</t>
  </si>
  <si>
    <t>001210AY9</t>
  </si>
  <si>
    <t>Anchorage Capital CLO LTD</t>
  </si>
  <si>
    <t>ANCHC 2015-6A DR4 22-Jul-2038</t>
  </si>
  <si>
    <t>03328QCC3</t>
  </si>
  <si>
    <t>07-28-2025</t>
  </si>
  <si>
    <t>08-11-2025</t>
  </si>
  <si>
    <t>07-22-2038</t>
  </si>
  <si>
    <t>APID 2023-43A ER 25-Jul-2038</t>
  </si>
  <si>
    <t>03770JAG5</t>
  </si>
  <si>
    <t>05-28-2025</t>
  </si>
  <si>
    <t>07-25-2038</t>
  </si>
  <si>
    <t>APID 2023-45A D1R 26-Jul-2038</t>
  </si>
  <si>
    <t>03770MAU7</t>
  </si>
  <si>
    <t>06-05-2025</t>
  </si>
  <si>
    <t>07-26-2038</t>
  </si>
  <si>
    <t>ARES CLO Ltd</t>
  </si>
  <si>
    <t>ARES 2022-63A D1R 15-Oct-2038</t>
  </si>
  <si>
    <t>039937BA4</t>
  </si>
  <si>
    <t>08-07-2025</t>
  </si>
  <si>
    <t>10-15-2038</t>
  </si>
  <si>
    <t>Arini US CLO Limited</t>
  </si>
  <si>
    <t>ARIN 2A D 31-Mar-2038</t>
  </si>
  <si>
    <t>04039BAG7</t>
  </si>
  <si>
    <t>07-16-2025</t>
  </si>
  <si>
    <t>08-20-2025</t>
  </si>
  <si>
    <t>BALLY 2023-24A C1R 15-Jul-2038</t>
  </si>
  <si>
    <t>05875AAQ1</t>
  </si>
  <si>
    <t>07-15-2038</t>
  </si>
  <si>
    <t>BALLY 2025-29A C1 25-Jul-2038</t>
  </si>
  <si>
    <t>05876GAJ3</t>
  </si>
  <si>
    <t>BALLY 2025-30A C1 25-Oct-2038</t>
  </si>
  <si>
    <t>05876UAE3</t>
  </si>
  <si>
    <t>07-24-2025</t>
  </si>
  <si>
    <t>09-04-2025</t>
  </si>
  <si>
    <t>10-25-2038</t>
  </si>
  <si>
    <t>Birch Grove CLO Ltd.</t>
  </si>
  <si>
    <t>BGCLO 2023-6A D1R 20-Jul-2038</t>
  </si>
  <si>
    <t>09077FAU9</t>
  </si>
  <si>
    <t>07-07-2025</t>
  </si>
  <si>
    <t>07-20-2038</t>
  </si>
  <si>
    <t>CBAMR 2017-4A D1R 31-Mar-2038</t>
  </si>
  <si>
    <t>12516EAL5</t>
  </si>
  <si>
    <t>CBAMR 2017-4A D2R 31-Mar-2038</t>
  </si>
  <si>
    <t>12516EAN1</t>
  </si>
  <si>
    <t>CBAMR 2017-4A ER 31-Mar-2038</t>
  </si>
  <si>
    <t>12516JAA8</t>
  </si>
  <si>
    <t>DRSLF 2021-87A D1R 20-Aug-2038</t>
  </si>
  <si>
    <t>26246GAW3</t>
  </si>
  <si>
    <t>08-08-2025</t>
  </si>
  <si>
    <t>08-20-2038</t>
  </si>
  <si>
    <t>DRSLF 2023-105A DR 15-Apr-2038</t>
  </si>
  <si>
    <t>26253QAS0</t>
  </si>
  <si>
    <t>04-15-2038</t>
  </si>
  <si>
    <t>Elmwood CLO 43 Ltd</t>
  </si>
  <si>
    <t>ELM43 2025-6A D 20-Jul-2038</t>
  </si>
  <si>
    <t>29004KAJ9</t>
  </si>
  <si>
    <t>FLAT 2023-1A CR 17-Apr-2036</t>
  </si>
  <si>
    <t>33883DAU8</t>
  </si>
  <si>
    <t>04-17-2036</t>
  </si>
  <si>
    <t>Garnet CLO Ltd</t>
  </si>
  <si>
    <t>GARNET 2025-1A C 20-Jul-2037</t>
  </si>
  <si>
    <t>36626AAD7</t>
  </si>
  <si>
    <t>07-03-2025</t>
  </si>
  <si>
    <t>07-20-2037</t>
  </si>
  <si>
    <t>GLM 2023-17A DR 20-Jan-2039</t>
  </si>
  <si>
    <t>38139FAW0</t>
  </si>
  <si>
    <t>06-13-2025</t>
  </si>
  <si>
    <t>01-20-2039</t>
  </si>
  <si>
    <t>GLM 2025-26A D 20-Jul-2038</t>
  </si>
  <si>
    <t>38139QAL0</t>
  </si>
  <si>
    <t>07-09-2025</t>
  </si>
  <si>
    <t>Golub Capital Partners CLO, LT</t>
  </si>
  <si>
    <t>GCBSL 2023-68A CR 25-Jul-2038</t>
  </si>
  <si>
    <t>38181PAG0</t>
  </si>
  <si>
    <t>08-15-2025</t>
  </si>
  <si>
    <t>Harvest US CLO Ltd</t>
  </si>
  <si>
    <t>HARUS 2025-2A D1 17-Jul-2038</t>
  </si>
  <si>
    <t>41757PAJ2</t>
  </si>
  <si>
    <t>06-20-2025</t>
  </si>
  <si>
    <t>07-30-2025</t>
  </si>
  <si>
    <t>07-17-2038</t>
  </si>
  <si>
    <t>Higley Park Clo Ltd</t>
  </si>
  <si>
    <t>HIGPK 2025-1A D1 24-Jul-2038</t>
  </si>
  <si>
    <t>43128QAL3</t>
  </si>
  <si>
    <t>08-21-2025</t>
  </si>
  <si>
    <t>07-24-2038</t>
  </si>
  <si>
    <t>HLM 2023-18A CR 20-Jul-2039</t>
  </si>
  <si>
    <t>442911AS2</t>
  </si>
  <si>
    <t>07-01-2025</t>
  </si>
  <si>
    <t>07-20-2039</t>
  </si>
  <si>
    <t>HLM 2023-18A D1R 20-Jul-2039</t>
  </si>
  <si>
    <t>442911AU7</t>
  </si>
  <si>
    <t>HLM 2023-18A ER 20-Jul-2039</t>
  </si>
  <si>
    <t>442921AJ1</t>
  </si>
  <si>
    <t>KKR Financial CLO Ltd</t>
  </si>
  <si>
    <t>KKR 2025-57A D 15-Jul-2038</t>
  </si>
  <si>
    <t>481954AG0</t>
  </si>
  <si>
    <t>KKR 2023-52A D1R 16-Jul-2038</t>
  </si>
  <si>
    <t>48255XAW8</t>
  </si>
  <si>
    <t>07-16-2038</t>
  </si>
  <si>
    <t>KKR 2025-61A D1 15-Jul-2037</t>
  </si>
  <si>
    <t>48257CAJ1</t>
  </si>
  <si>
    <t>06-16-2025</t>
  </si>
  <si>
    <t>07-15-2037</t>
  </si>
  <si>
    <t>MDPK 2023-63A D1R 21-Jul-2038</t>
  </si>
  <si>
    <t>55817GAW1</t>
  </si>
  <si>
    <t>OCT67 2023-1A DR 25-Jul-2038</t>
  </si>
  <si>
    <t>67571LAW1</t>
  </si>
  <si>
    <t>PLMRS 2021-3A D1R 15-Oct-2038</t>
  </si>
  <si>
    <t>69688FAW0</t>
  </si>
  <si>
    <t>08-14-2025</t>
  </si>
  <si>
    <t>PLMRS 2023-2A DR 20-Jul-2038</t>
  </si>
  <si>
    <t>69703AAU6</t>
  </si>
  <si>
    <t>05-01-2025</t>
  </si>
  <si>
    <t>PLMRS 2025-3A D1 20-Jul-2038</t>
  </si>
  <si>
    <t>69704GAJ7</t>
  </si>
  <si>
    <t>Parallel Ltd</t>
  </si>
  <si>
    <t>PARL 2023-1A CR 20-Jul-2036</t>
  </si>
  <si>
    <t>69915NAQ1</t>
  </si>
  <si>
    <t>06-12-2025</t>
  </si>
  <si>
    <t>07-20-2036</t>
  </si>
  <si>
    <t>PKBLU 2025-9A D1 20-Oct-2038</t>
  </si>
  <si>
    <t>70019UAJ4</t>
  </si>
  <si>
    <t>10-20-2038</t>
  </si>
  <si>
    <t>Regatta 32 Funding Ltd.</t>
  </si>
  <si>
    <t>REG32 2025-4A E 25-Jul-2038</t>
  </si>
  <si>
    <t>75884FAA7</t>
  </si>
  <si>
    <t>REG25 2023-1A CR 15-Jul-2038</t>
  </si>
  <si>
    <t>758978AS9</t>
  </si>
  <si>
    <t>REG25 2023-1A D1R 15-Jul-2038</t>
  </si>
  <si>
    <t>758978AU4</t>
  </si>
  <si>
    <t>Silver Point CLO, Ltd</t>
  </si>
  <si>
    <t>SPCLO 2025-10A D1 15-Jul-2038</t>
  </si>
  <si>
    <t>827920AJ8</t>
  </si>
  <si>
    <t>SPCLO 2025-9A D1 31-Mar-2038</t>
  </si>
  <si>
    <t>82809VAJ1</t>
  </si>
  <si>
    <t>Sixth Street CLO LTD.</t>
  </si>
  <si>
    <t>SIXST 2025-30A D 17-Jul-2038</t>
  </si>
  <si>
    <t>83013LAG9</t>
  </si>
  <si>
    <t>08-13-2025</t>
  </si>
  <si>
    <t>SYMP 2022-32A D1R 23-Oct-2035</t>
  </si>
  <si>
    <t>87168NBA1</t>
  </si>
  <si>
    <t>10-23-2035</t>
  </si>
  <si>
    <t>TPGCLO 2025-1A D1 15-Jul-2038</t>
  </si>
  <si>
    <t>87268JAJ1</t>
  </si>
  <si>
    <t>08-26-2025</t>
  </si>
  <si>
    <t>TALPK 2021-1A D1R 20-Jul-2038</t>
  </si>
  <si>
    <t>874777AU9</t>
  </si>
  <si>
    <t>Trestles CLO LTD</t>
  </si>
  <si>
    <t>TREST 2025-8A D1 11-Jun-2035</t>
  </si>
  <si>
    <t>89533DAL4</t>
  </si>
  <si>
    <t>06-11-2035</t>
  </si>
  <si>
    <t>Warwick Capital CLO Ltd</t>
  </si>
  <si>
    <t>WWICK 2025-6A D1 20-Jul-2038</t>
  </si>
  <si>
    <t>93656EAJ0</t>
  </si>
  <si>
    <t>48250RBJ4</t>
  </si>
  <si>
    <t>KKR 25</t>
  </si>
  <si>
    <t>KKR 12 CR2 15-Oct-2030</t>
  </si>
  <si>
    <t>2018-10-03</t>
  </si>
  <si>
    <t>10-15-2030</t>
  </si>
  <si>
    <t>Moody's</t>
  </si>
  <si>
    <t>Aa2</t>
  </si>
  <si>
    <t>10-15-2025</t>
  </si>
  <si>
    <t>10-15-2020</t>
  </si>
  <si>
    <t>Blackstone Inc</t>
  </si>
  <si>
    <t>2017-12-28</t>
  </si>
  <si>
    <t>01-17-2030</t>
  </si>
  <si>
    <t>10-17-2025</t>
  </si>
  <si>
    <t>01-17-2020</t>
  </si>
  <si>
    <t>92535VAF9</t>
  </si>
  <si>
    <t>Vertical Bridge Holdings LLC</t>
  </si>
  <si>
    <t>VBTOW 2020-2A A 15-Sep-2050</t>
  </si>
  <si>
    <t>2020-09-24</t>
  </si>
  <si>
    <t>09-15-2050</t>
  </si>
  <si>
    <t>DBRS</t>
  </si>
  <si>
    <t>AAL</t>
  </si>
  <si>
    <t>AGL CLO Ltd</t>
  </si>
  <si>
    <t>2025-05-23</t>
  </si>
  <si>
    <t>Fitch</t>
  </si>
  <si>
    <t>10-23-2025</t>
  </si>
  <si>
    <t>07-23-2027</t>
  </si>
  <si>
    <t>00901AAW7</t>
  </si>
  <si>
    <t>Aimco CDO</t>
  </si>
  <si>
    <t>AIMCO 2019-10A CRR 22-Jul-2037</t>
  </si>
  <si>
    <t>2024-06-12</t>
  </si>
  <si>
    <t>07-22-2037</t>
  </si>
  <si>
    <t>SP</t>
  </si>
  <si>
    <t>10-22-2025</t>
  </si>
  <si>
    <t>06-12-2026</t>
  </si>
  <si>
    <t>00901UAE3</t>
  </si>
  <si>
    <t>AIMCO 2024-22A C 19-Apr-2037</t>
  </si>
  <si>
    <t>10-19-2025</t>
  </si>
  <si>
    <t>03328WBJ6</t>
  </si>
  <si>
    <t>Anchorage Capital CLO Ltd</t>
  </si>
  <si>
    <t>ANCHC 2016-9A CR3 15-Jul-2037</t>
  </si>
  <si>
    <t>58406CAG6</t>
  </si>
  <si>
    <t>Apex Credit CLO LLC</t>
  </si>
  <si>
    <t>APEXC 2021-2A B 20-Oct-2034</t>
  </si>
  <si>
    <t>A2</t>
  </si>
  <si>
    <t>10-20-2025</t>
  </si>
  <si>
    <t>03762YBK2</t>
  </si>
  <si>
    <t>Apidos CLO</t>
  </si>
  <si>
    <t>APID 2016-25A CR3 20-Jan-2037</t>
  </si>
  <si>
    <t>A+</t>
  </si>
  <si>
    <t>03771JAG4</t>
  </si>
  <si>
    <t>APID 2024-51A C 20-Jan-2038</t>
  </si>
  <si>
    <t>04020FAE4</t>
  </si>
  <si>
    <t>ARES CLO</t>
  </si>
  <si>
    <t>ARES 2023-ALF4A C 15-Oct-2036</t>
  </si>
  <si>
    <t>039948AG9</t>
  </si>
  <si>
    <t>ARES 2024-75A C 15-Jan-2037</t>
  </si>
  <si>
    <t>55821CAE4</t>
  </si>
  <si>
    <t>ATRM 9A CR2 28-May-2030</t>
  </si>
  <si>
    <t>28623FAC8</t>
  </si>
  <si>
    <t>ArrowMark Colorado Holdings LL</t>
  </si>
  <si>
    <t>AWPT 2013-1A BR2 15-Aug-2032</t>
  </si>
  <si>
    <t>06763FAD2</t>
  </si>
  <si>
    <t>Babson CLO Ltd/Cayman Islands</t>
  </si>
  <si>
    <t>BABSN 2023-2A C 20-Jul-2036</t>
  </si>
  <si>
    <t>07-20-2025</t>
  </si>
  <si>
    <t>067936AG9</t>
  </si>
  <si>
    <t>BABSN 2024-2A C 15-Jul-2039</t>
  </si>
  <si>
    <t>09261MAY2</t>
  </si>
  <si>
    <t>Blackrock CLO Ltd</t>
  </si>
  <si>
    <t>BLKMM 2021-6A CR 20-Apr-2037</t>
  </si>
  <si>
    <t>04-20-2027</t>
  </si>
  <si>
    <t>09290EAL3</t>
  </si>
  <si>
    <t>BLKMM 2022-1A CR 15-Jan-2038</t>
  </si>
  <si>
    <t>09262WAE3</t>
  </si>
  <si>
    <t>BlackRock DLF IX-L CLO, LP</t>
  </si>
  <si>
    <t>BLKMM 2023-2A C 20-Oct-2033</t>
  </si>
  <si>
    <t>08182YAE8</t>
  </si>
  <si>
    <t>Benefit Street Partners CLO Ltd</t>
  </si>
  <si>
    <t>BSP 2024-35A C 25-Apr-2037</t>
  </si>
  <si>
    <t>081922AG1</t>
  </si>
  <si>
    <t>BSP 2024-36A C 25-Jan-2038</t>
  </si>
  <si>
    <t>14316YAS4</t>
  </si>
  <si>
    <t>Carlyle Global Market Strategies</t>
  </si>
  <si>
    <t>CGMS 2021-10A CR 20-Jan-2038</t>
  </si>
  <si>
    <t>14316MAQ4</t>
  </si>
  <si>
    <t>CGMS 2021-1A BR 15-Jan-2040</t>
  </si>
  <si>
    <t>23802WAA9</t>
  </si>
  <si>
    <t>DataBank Issuer</t>
  </si>
  <si>
    <t>COLO 2021-1A A2 27-Feb-2051</t>
  </si>
  <si>
    <t>KBRA</t>
  </si>
  <si>
    <t>A-</t>
  </si>
  <si>
    <t>14074EAJ0</t>
  </si>
  <si>
    <t>Captree Park CLO Ltd</t>
  </si>
  <si>
    <t>CPTPK 2024-1A C 20-Jul-2037</t>
  </si>
  <si>
    <t>22846MAE3</t>
  </si>
  <si>
    <t>Crown Point CLO Ltd</t>
  </si>
  <si>
    <t>CRNPT 2018-7A C 20-Oct-2031</t>
  </si>
  <si>
    <t>26253EBD9</t>
  </si>
  <si>
    <t>DRSLF 2022-113A CR2 15-Oct-2037</t>
  </si>
  <si>
    <t>289913AJ4</t>
  </si>
  <si>
    <t>Elmwood CLO</t>
  </si>
  <si>
    <t>ELM29 2024-5A CR 20-Apr-2037</t>
  </si>
  <si>
    <t>29002HBC2</t>
  </si>
  <si>
    <t>ELMW3 2019-3A CRR 18-Jul-2037</t>
  </si>
  <si>
    <t>29246AAU4</t>
  </si>
  <si>
    <t>Empower CLO Ltd</t>
  </si>
  <si>
    <t>EMPWR 2022-1A CR 20-Oct-2037</t>
  </si>
  <si>
    <t>02-15-2042</t>
  </si>
  <si>
    <t>36362MAG2</t>
  </si>
  <si>
    <t>Gallatin CLO Ltd</t>
  </si>
  <si>
    <t>GALL 2023-1A C1 14-Oct-2035</t>
  </si>
  <si>
    <t>38179QAE7</t>
  </si>
  <si>
    <t>GCBSL 2023-68A C 25-Jul-2036</t>
  </si>
  <si>
    <t>07-25-2036</t>
  </si>
  <si>
    <t>36831FAA3</t>
  </si>
  <si>
    <t>GCM Grosvenor Diversified Alternatives Issuer LLC</t>
  </si>
  <si>
    <t>GCMGRO 4.25% 15 NOV 2041 144A</t>
  </si>
  <si>
    <t>38139EAJ2</t>
  </si>
  <si>
    <t>GOLDENTREE LOAN OPPORTUNITIES</t>
  </si>
  <si>
    <t>GLM 2024-22A C 20-Oct-2037</t>
  </si>
  <si>
    <t>42086NAL2</t>
  </si>
  <si>
    <t>KINGSLAND LTD</t>
  </si>
  <si>
    <t>HAYFN 2019-2A CR 20-Oct-2034</t>
  </si>
  <si>
    <t>Highbridge Loan Management Ltd</t>
  </si>
  <si>
    <t>46148AAG8</t>
  </si>
  <si>
    <t>Invesco CLO Ltd</t>
  </si>
  <si>
    <t>INVCO 2024-2A C 15-Jul-2037</t>
  </si>
  <si>
    <t>48206KAU0</t>
  </si>
  <si>
    <t>Juniper Valley Park CLO Ltd</t>
  </si>
  <si>
    <t>JNPPK 2023-1A CR 20-Jul-2036</t>
  </si>
  <si>
    <t>510758AG0</t>
  </si>
  <si>
    <t>THL Credit Lake Shore MM CLO L</t>
  </si>
  <si>
    <t>LSHR 2021-1A CR 15-Jan-2037</t>
  </si>
  <si>
    <t>55821AAU2</t>
  </si>
  <si>
    <t>MDPK 2018-28A CR 15-Jan-2038</t>
  </si>
  <si>
    <t>55819FAW1</t>
  </si>
  <si>
    <t>MDPK 2022-55A CR 18-Jul-2037</t>
  </si>
  <si>
    <t>557910AU0</t>
  </si>
  <si>
    <t>MDPK 2022-60A CR 25-Oct-2037</t>
  </si>
  <si>
    <t>55822XAG2</t>
  </si>
  <si>
    <t>MDPK 2024-68A C 20-Jan-2038</t>
  </si>
  <si>
    <t>56577LAL2</t>
  </si>
  <si>
    <t>MRNON 2021-1RA CR 15-Jul-2034</t>
  </si>
  <si>
    <t>07-15-2034</t>
  </si>
  <si>
    <t>04-15-2023</t>
  </si>
  <si>
    <t>56577JAE3</t>
  </si>
  <si>
    <t>MRNON 2021-2RA CR 15-Jul-2033</t>
  </si>
  <si>
    <t>07-15-2033</t>
  </si>
  <si>
    <t>67100SAN6</t>
  </si>
  <si>
    <t>OHA Credit Funding</t>
  </si>
  <si>
    <t>OAKC 2024-19A C 20-Jul-2037</t>
  </si>
  <si>
    <t>67402JAU5</t>
  </si>
  <si>
    <t>Oaktree CLO Ltd</t>
  </si>
  <si>
    <t>OAKCL 2021-1A C1R 15-Jan-2038</t>
  </si>
  <si>
    <t>67403HAE4</t>
  </si>
  <si>
    <t>OAKCL 2024-28A C 15-Jan-2038</t>
  </si>
  <si>
    <t>67120KAJ8</t>
  </si>
  <si>
    <t>OCP CLO Ltd</t>
  </si>
  <si>
    <t>OCP 2024-38A C 21-Jan-2038</t>
  </si>
  <si>
    <t>10-21-2025</t>
  </si>
  <si>
    <t>69703LAG3</t>
  </si>
  <si>
    <t>PLMRS 2024-2A C 20-Jul-2037</t>
  </si>
  <si>
    <t>72583UAJ6</t>
  </si>
  <si>
    <t>Pixley Park CLO Ltd</t>
  </si>
  <si>
    <t>PXLY 2024-1A C 15-Jan-2037</t>
  </si>
  <si>
    <t>75010KAJ4</t>
  </si>
  <si>
    <t>Rad CLO</t>
  </si>
  <si>
    <t>RAD 2019-6A CR 20-Oct-2037</t>
  </si>
  <si>
    <t>Regatta Funding Ltd</t>
  </si>
  <si>
    <t>2025-07-11</t>
  </si>
  <si>
    <t>76857JAJ1</t>
  </si>
  <si>
    <t>Riverbank Park Clo Ltd</t>
  </si>
  <si>
    <t>RVRPK 2024-1A C 25-Jan-2038</t>
  </si>
  <si>
    <t>12530MAD7</t>
  </si>
  <si>
    <t>SORT 2020-1 B2 15-Jul-2060</t>
  </si>
  <si>
    <t>87169BAU3</t>
  </si>
  <si>
    <t>SYMP 2023-30A CR 20-Oct-2037</t>
  </si>
  <si>
    <t>871987AE3</t>
  </si>
  <si>
    <t>SYMP 2024-42A C 17-Apr-2037</t>
  </si>
  <si>
    <t>88239MAN9</t>
  </si>
  <si>
    <t>Texas Debt Capital CLO Ltd</t>
  </si>
  <si>
    <t>TCIFC 2023-2A CR 21-Oct-2037</t>
  </si>
  <si>
    <t>510800AG0</t>
  </si>
  <si>
    <t>THLLS 2019-1A CR 15-Apr-2033</t>
  </si>
  <si>
    <t>2021-05-26</t>
  </si>
  <si>
    <t>04-15-2033</t>
  </si>
  <si>
    <t>A3</t>
  </si>
  <si>
    <t>89532TAW6</t>
  </si>
  <si>
    <t>TRESTLES CLO LLC</t>
  </si>
  <si>
    <t>TREST 2020-3A CR 20-Oct-2037</t>
  </si>
  <si>
    <t>92535VAG7</t>
  </si>
  <si>
    <t>VBTOW 2020-2A B 15-Sep-2050</t>
  </si>
  <si>
    <t>Willis Lease Finance Corp</t>
  </si>
  <si>
    <t>03-15-2045</t>
  </si>
  <si>
    <t>88432FBG3</t>
  </si>
  <si>
    <t>Wind River CLO Ltd</t>
  </si>
  <si>
    <t>WINDR 2015-1A DR 20-Oct-2030</t>
  </si>
  <si>
    <t>2018-11-21</t>
  </si>
  <si>
    <t>10-20-2030</t>
  </si>
  <si>
    <t>10-10-2024</t>
  </si>
  <si>
    <t>66860XAJ6</t>
  </si>
  <si>
    <t>Northwoods Capital Ltd</t>
  </si>
  <si>
    <t>WOODS 2021-27A C 17-Oct-2034</t>
  </si>
  <si>
    <t>97719BAG8</t>
  </si>
  <si>
    <t>WISE CLO Ltd</t>
  </si>
  <si>
    <t>WYZE 2023-1A C 20-Oct-2036</t>
  </si>
  <si>
    <t>97719VAG4</t>
  </si>
  <si>
    <t>WYZE 2024-1A C 15-Apr-2037</t>
  </si>
  <si>
    <t>97718GAG8</t>
  </si>
  <si>
    <t>WYZE 2024-2A C 15-Jul-2037</t>
  </si>
  <si>
    <t>BBB-</t>
  </si>
  <si>
    <t>07-21-2027</t>
  </si>
  <si>
    <t>00119BAE3</t>
  </si>
  <si>
    <t>AGL 2024-29A D 21-Apr-2037</t>
  </si>
  <si>
    <t>00121JAJ1</t>
  </si>
  <si>
    <t>AGL 2024-34A D1 22-Jan-2038</t>
  </si>
  <si>
    <t>00901AAY3</t>
  </si>
  <si>
    <t>AIMCO 2019-10A D1RR 22-Jul-2037</t>
  </si>
  <si>
    <t>00901UAG8</t>
  </si>
  <si>
    <t>AIMCO 2024-22A D 19-Apr-2037</t>
  </si>
  <si>
    <t>03328WBL1</t>
  </si>
  <si>
    <t>ANCHC 2016-9A DR3 15-Jul-2037</t>
  </si>
  <si>
    <t>03330NBC7</t>
  </si>
  <si>
    <t>ANCHC 2019-11A DR2 22-Jul-2037</t>
  </si>
  <si>
    <t>03331AAL5</t>
  </si>
  <si>
    <t>ANCHC 2021-18A D 15-Apr-2034</t>
  </si>
  <si>
    <t>03328JAG2</t>
  </si>
  <si>
    <t>ANCHC 2021-19A D 15-Oct-2034</t>
  </si>
  <si>
    <t>BBB+</t>
  </si>
  <si>
    <t>68626FAG2</t>
  </si>
  <si>
    <t>Orion CLO Ltd</t>
  </si>
  <si>
    <t>ANTOR 2023-2A D 25-Jan-2037</t>
  </si>
  <si>
    <t>68626BAG1</t>
  </si>
  <si>
    <t>ANTOR 2024-3A D 25-Jul-2037</t>
  </si>
  <si>
    <t>03762YBM8</t>
  </si>
  <si>
    <t>APID 2016-25A D1R3 20-Jan-2037</t>
  </si>
  <si>
    <t>03768RAY2</t>
  </si>
  <si>
    <t>APID 2019-32A DR 20-Jan-2033</t>
  </si>
  <si>
    <t>03770CAW5</t>
  </si>
  <si>
    <t>APID 2022-41A D1R 20-Oct-2037</t>
  </si>
  <si>
    <t>037989AQ3</t>
  </si>
  <si>
    <t>APID 2023-44A D1R 26-Oct-2037</t>
  </si>
  <si>
    <t>03771JAJ8</t>
  </si>
  <si>
    <t>APID 2024-51A D1 20-Jan-2038</t>
  </si>
  <si>
    <t>03771EAL4</t>
  </si>
  <si>
    <t>APID 2025-53A D1 20-Jul-2038</t>
  </si>
  <si>
    <t>00190YBV6</t>
  </si>
  <si>
    <t>ARES 2013-2A DR3 28-Oct-2034</t>
  </si>
  <si>
    <t>Baa3</t>
  </si>
  <si>
    <t>04015GAV1</t>
  </si>
  <si>
    <t>ARES 2015-2A DR 17-Apr-2033</t>
  </si>
  <si>
    <t>04016PBA5</t>
  </si>
  <si>
    <t>ARES 2017-43A D1R2 15-Jan-2038</t>
  </si>
  <si>
    <t>04016NAX1</t>
  </si>
  <si>
    <t>ARES 2017-44A CR 15-Apr-2034</t>
  </si>
  <si>
    <t>04019LBC7</t>
  </si>
  <si>
    <t>ARES 2019-51A D1R2 15-Oct-2037</t>
  </si>
  <si>
    <t>04018NBE0</t>
  </si>
  <si>
    <t>ARES 2020-56A D1R2 25-Jan-2038</t>
  </si>
  <si>
    <t>04018EAG6</t>
  </si>
  <si>
    <t>ARES 2021-59A D 25-Apr-2034</t>
  </si>
  <si>
    <t>04019DAU6</t>
  </si>
  <si>
    <t>ARES 2021-61A DR 20-Apr-2037</t>
  </si>
  <si>
    <t>04019RBA8</t>
  </si>
  <si>
    <t>ARES 2022-66A DR 25-Jul-2036</t>
  </si>
  <si>
    <t>039951AJ7</t>
  </si>
  <si>
    <t>ARES 2023-70A D1 25-Oct-2035</t>
  </si>
  <si>
    <t>04020FAG9</t>
  </si>
  <si>
    <t>ARES 2023-ALF4A D 15-Oct-2036</t>
  </si>
  <si>
    <t>039953AJ3</t>
  </si>
  <si>
    <t>ARES 2024-69A D 15-Apr-2036</t>
  </si>
  <si>
    <t>039948AJ3</t>
  </si>
  <si>
    <t>ARES 2024-75A D1 15-Jan-2037</t>
  </si>
  <si>
    <t>Arini US CLO Ltd</t>
  </si>
  <si>
    <t>28623FAE4</t>
  </si>
  <si>
    <t>AWPT 2013-1A CR2 15-Aug-2032</t>
  </si>
  <si>
    <t>06759JAW8</t>
  </si>
  <si>
    <t>BABSN 2019-1A DR 15-Apr-2035</t>
  </si>
  <si>
    <t>06762JAG8</t>
  </si>
  <si>
    <t>BABSN 2021-2A D 15-Jul-2034</t>
  </si>
  <si>
    <t>06763HAU0</t>
  </si>
  <si>
    <t>BABSN 2022-4A D1R 20-Oct-2037</t>
  </si>
  <si>
    <t>06763FAE0</t>
  </si>
  <si>
    <t>BABSN 2023-2A D 20-Jul-2036</t>
  </si>
  <si>
    <t>06763MAG0</t>
  </si>
  <si>
    <t>BABSN 2023-4A D 20-Jan-2037</t>
  </si>
  <si>
    <t>067936AJ3</t>
  </si>
  <si>
    <t>BABSN 2024-2A D 15-Jul-2039</t>
  </si>
  <si>
    <t>05874WAJ0</t>
  </si>
  <si>
    <t>Ballyrock CLO Ltd</t>
  </si>
  <si>
    <t>BALLY 2022-19A C 20-Apr-2035</t>
  </si>
  <si>
    <t>04-20-2035</t>
  </si>
  <si>
    <t>06744BAG8</t>
  </si>
  <si>
    <t>Bardin Hill CLO Ltd</t>
  </si>
  <si>
    <t>BARDN 2021-2A D 25-Oct-2034</t>
  </si>
  <si>
    <t>07132LAS8</t>
  </si>
  <si>
    <t>BATLN 2020 18A</t>
  </si>
  <si>
    <t>BATLN 2017-11A DR 24-Apr-2034</t>
  </si>
  <si>
    <t>07090AAY9</t>
  </si>
  <si>
    <t>BATLN 2019-14A DR 20-Jan-2035</t>
  </si>
  <si>
    <t>05684KBA4</t>
  </si>
  <si>
    <t>Bain Capital Credit CLO</t>
  </si>
  <si>
    <t>BCC 2020-4A D1AR 20-Oct-2036</t>
  </si>
  <si>
    <t>05684PAU0</t>
  </si>
  <si>
    <t>BCC 2021-6A DR 21-Oct-2034</t>
  </si>
  <si>
    <t>05684UAJ4</t>
  </si>
  <si>
    <t>BCC 2022-1A D 18-Apr-2035</t>
  </si>
  <si>
    <t>05684NAJ0</t>
  </si>
  <si>
    <t>BCC 2022-3A D 17-Jul-2035</t>
  </si>
  <si>
    <t>07-18-2036</t>
  </si>
  <si>
    <t>05685EAJ9</t>
  </si>
  <si>
    <t>BCC 2023-4A D 21-Oct-2036</t>
  </si>
  <si>
    <t>09077LAU6</t>
  </si>
  <si>
    <t>Birch Grove CLO</t>
  </si>
  <si>
    <t>BGCLO 2021-2A D1R 19-Oct-2037</t>
  </si>
  <si>
    <t>10-19-2037</t>
  </si>
  <si>
    <t>09077CAY8</t>
  </si>
  <si>
    <t>BGCLO 2022-4A D1R 15-Jul-2037</t>
  </si>
  <si>
    <t>09261MBA3</t>
  </si>
  <si>
    <t>BLKMM 2021-6A DR 20-Apr-2037</t>
  </si>
  <si>
    <t>09290EAN9</t>
  </si>
  <si>
    <t>BLKMM 2022-1A DR 15-Jan-2038</t>
  </si>
  <si>
    <t>09631BAJ2</t>
  </si>
  <si>
    <t>BlueMountain CLO Ltd</t>
  </si>
  <si>
    <t>BLUEM 2021-31A D 19-Apr-2034</t>
  </si>
  <si>
    <t>08182DAU8</t>
  </si>
  <si>
    <t>BSP 2015-6BR D1R 20-Apr-2038</t>
  </si>
  <si>
    <t>081917AG1</t>
  </si>
  <si>
    <t>BSP 2017-12BRA D1 15-Oct-2037</t>
  </si>
  <si>
    <t>08179LAS0</t>
  </si>
  <si>
    <t>BSP 2018-14A D1R 20-Oct-2037</t>
  </si>
  <si>
    <t>08182BBE7</t>
  </si>
  <si>
    <t>BSP 2019-17A D1R2 15-Oct-2037</t>
  </si>
  <si>
    <t>08186RAW9</t>
  </si>
  <si>
    <t>BSP 2020-21A DR 15-Oct-2034</t>
  </si>
  <si>
    <t>08186EAS7</t>
  </si>
  <si>
    <t>BSP 2022-29A D1R 25-Jan-2038</t>
  </si>
  <si>
    <t>08179DAJ8</t>
  </si>
  <si>
    <t>BSP 2023-33A D 25-Jan-2036</t>
  </si>
  <si>
    <t>08182YAG3</t>
  </si>
  <si>
    <t>BSP 2024-35A D 25-Apr-2037</t>
  </si>
  <si>
    <t>081922AJ5</t>
  </si>
  <si>
    <t>BSP 2024-36A D1 25-Jan-2038</t>
  </si>
  <si>
    <t>13887TBA4</t>
  </si>
  <si>
    <t>CANYC 2018 1X</t>
  </si>
  <si>
    <t>CANYC 2019-1A D1RR 15-Jul-2037</t>
  </si>
  <si>
    <t>13887TBC0</t>
  </si>
  <si>
    <t>CANYC 2019-1A D2RR 15-Jul-2037</t>
  </si>
  <si>
    <t>13876XAN1</t>
  </si>
  <si>
    <t>CANYC 2021-2A D 15-Apr-2034</t>
  </si>
  <si>
    <t>13875MAG1</t>
  </si>
  <si>
    <t>Canyon CLO</t>
  </si>
  <si>
    <t>CANYC 2021-3A D 15-Jul-2034</t>
  </si>
  <si>
    <t>13877JAG6</t>
  </si>
  <si>
    <t>CANYC 2022-1A D 15-Apr-2035</t>
  </si>
  <si>
    <t>12481KAY4</t>
  </si>
  <si>
    <t>CBAM 2017-2A DR 17-Jul-2034</t>
  </si>
  <si>
    <t>07-17-2034</t>
  </si>
  <si>
    <t>12481HAW5</t>
  </si>
  <si>
    <t>CBAM 2017-3A DR 17-Jul-2034</t>
  </si>
  <si>
    <t>12482JAJ9</t>
  </si>
  <si>
    <t>CBAM 2018-7A D 20-Jul-2031</t>
  </si>
  <si>
    <t>2018-07-12</t>
  </si>
  <si>
    <t>07-20-2031</t>
  </si>
  <si>
    <t>Baa2</t>
  </si>
  <si>
    <t>07-20-2020</t>
  </si>
  <si>
    <t>14987LAL5</t>
  </si>
  <si>
    <t>CBAMR 2017-1A D1R2 20-Jan-2038</t>
  </si>
  <si>
    <t>12516GAJ5</t>
  </si>
  <si>
    <t>CBAMR 2018-6A D1R2 31-Mar-2038</t>
  </si>
  <si>
    <t>12516GAL0</t>
  </si>
  <si>
    <t>CBAMR 2018-6A D2R2 31-Mar-2038</t>
  </si>
  <si>
    <t>15675FAG3</t>
  </si>
  <si>
    <t>Cerberus Loan Funding LP</t>
  </si>
  <si>
    <t>CERB 2024-1A D 15-Apr-2036</t>
  </si>
  <si>
    <t>12529QAJ8</t>
  </si>
  <si>
    <t>CFIP CLO Ltd</t>
  </si>
  <si>
    <t>CFIP 2021-1A D 20-Jan-2035</t>
  </si>
  <si>
    <t>14311UBG2</t>
  </si>
  <si>
    <t>CGMS 2016-3A DRRR 20-Jul-2034</t>
  </si>
  <si>
    <t>07-20-2034</t>
  </si>
  <si>
    <t>14314FBG2</t>
  </si>
  <si>
    <t>CGMS 2017-3A D1R2 21-Oct-2037</t>
  </si>
  <si>
    <t>14315RAW1</t>
  </si>
  <si>
    <t>CGMS 2018-4A D1R 17-Oct-2037</t>
  </si>
  <si>
    <t>14316BAU9</t>
  </si>
  <si>
    <t>CGMS 2019-1A CR 20-Apr-2031</t>
  </si>
  <si>
    <t>14317XBN5</t>
  </si>
  <si>
    <t>CGMS 2020-1A C1RR 20-Jan-2038</t>
  </si>
  <si>
    <t>14315GAU9</t>
  </si>
  <si>
    <t>CGMS 2020-2A CR 25-Jan-2035</t>
  </si>
  <si>
    <t>14316YAU9</t>
  </si>
  <si>
    <t>CGMS 2021-10A D1R 20-Jan-2038</t>
  </si>
  <si>
    <t>14317YAJ3</t>
  </si>
  <si>
    <t>CGMS 2021-5A D 20-Jul-2034</t>
  </si>
  <si>
    <t>143133AW6</t>
  </si>
  <si>
    <t>CGMS 2021-6A D1R 15-Jan-2038</t>
  </si>
  <si>
    <t>14316WAU3</t>
  </si>
  <si>
    <t>CGMS 2021-7A D1R 15-Apr-2040</t>
  </si>
  <si>
    <t>143120AG8</t>
  </si>
  <si>
    <t>CGMS 2021-8A D 15-Oct-2034</t>
  </si>
  <si>
    <t>14319CAJ9</t>
  </si>
  <si>
    <t>CGMS 2023-4A D 25-Oct-2036</t>
  </si>
  <si>
    <t>12550ABM7</t>
  </si>
  <si>
    <t>CIFC Funding Ltd</t>
  </si>
  <si>
    <t>CIFC 2014-5A D1R3 17-Jul-2037</t>
  </si>
  <si>
    <t>12550ABP0</t>
  </si>
  <si>
    <t>CIFC 2014-5A D2R3 17-Jul-2037</t>
  </si>
  <si>
    <t>12555XAY7</t>
  </si>
  <si>
    <t>CIFC 2019-6A D1R 16-Jul-2037</t>
  </si>
  <si>
    <t>12560EAU0</t>
  </si>
  <si>
    <t>CIFC 2020-3A DR 20-Oct-2034</t>
  </si>
  <si>
    <t>12562RAS4</t>
  </si>
  <si>
    <t>CIFC 2020-4A DR 15-Jan-2040</t>
  </si>
  <si>
    <t>12563EAU7</t>
  </si>
  <si>
    <t>CIFC 2021-1A D1R 25-Jul-2037</t>
  </si>
  <si>
    <t>12564DAG9</t>
  </si>
  <si>
    <t>CIFC 2021-3A D 15-Jul-2036</t>
  </si>
  <si>
    <t>07-15-2036</t>
  </si>
  <si>
    <t>12567HAJ1</t>
  </si>
  <si>
    <t>CIFC 2021-7A D 23-Jan-2035</t>
  </si>
  <si>
    <t>12572GAU1</t>
  </si>
  <si>
    <t>CIFC 2022-5A DR 16-Jan-2037</t>
  </si>
  <si>
    <t>12570XAG7</t>
  </si>
  <si>
    <t>CIFC 2024-1A D 18-Apr-2037</t>
  </si>
  <si>
    <t>17181UAJ7</t>
  </si>
  <si>
    <t>CIFC 2024-2A D 22-Apr-2037</t>
  </si>
  <si>
    <t>23802WAC5</t>
  </si>
  <si>
    <t>COLO 2021-1A B 27-Feb-2051</t>
  </si>
  <si>
    <t>14074EAL5</t>
  </si>
  <si>
    <t>CPTPK 2024-1A D 20-Jul-2037</t>
  </si>
  <si>
    <t>26246GAJ2</t>
  </si>
  <si>
    <t>DRSLF 2021-87A D 20-May-2034</t>
  </si>
  <si>
    <t>26253MAW0</t>
  </si>
  <si>
    <t>DRSLF 2022-108A D1R 18-Jul-2037</t>
  </si>
  <si>
    <t>26243DAU7</t>
  </si>
  <si>
    <t>DRSLF 2022-112A DR 15-Nov-2036</t>
  </si>
  <si>
    <t>26253EBF4</t>
  </si>
  <si>
    <t>DRSLF 2022-113A D1R2 15-Oct-2037</t>
  </si>
  <si>
    <t>26253TAJ4</t>
  </si>
  <si>
    <t>DRSLF 2023-102A D 15-Oct-2036</t>
  </si>
  <si>
    <t>26248DAJ7</t>
  </si>
  <si>
    <t>DRSLF 2024-115A D 18-Apr-2037</t>
  </si>
  <si>
    <t>29002UAQ3</t>
  </si>
  <si>
    <t>ELM16 2022-3A DR 20-Apr-2037</t>
  </si>
  <si>
    <t>29001XAS4</t>
  </si>
  <si>
    <t>ELM17 2022-4A D1R 17-Jul-2037</t>
  </si>
  <si>
    <t>29002AAS3</t>
  </si>
  <si>
    <t>ELM20 2022-7A DR 17-Jan-2037</t>
  </si>
  <si>
    <t>290020AS5</t>
  </si>
  <si>
    <t>ELM24 2023-3A D1R 17-Jan-2038</t>
  </si>
  <si>
    <t>289913AL9</t>
  </si>
  <si>
    <t>ELM29 2024-5A D1R 20-Apr-2037</t>
  </si>
  <si>
    <t>29001EAG2</t>
  </si>
  <si>
    <t>ELM33 2024-9RA D1R 21-Oct-2037</t>
  </si>
  <si>
    <t>29004UAJ7</t>
  </si>
  <si>
    <t>ELM37 2024-13A D1 17-Jan-2038</t>
  </si>
  <si>
    <t>29002QBA6</t>
  </si>
  <si>
    <t>ELMW7 2020-4A D1RR 17-Oct-2037</t>
  </si>
  <si>
    <t>29003EAY1</t>
  </si>
  <si>
    <t>ELMW8 2021-1A DR 20-Apr-2037</t>
  </si>
  <si>
    <t>34955YAJ8</t>
  </si>
  <si>
    <t>Fortress Credit BSL Ltd</t>
  </si>
  <si>
    <t>FCBSL 2018-1A DR 23-Jul-2031</t>
  </si>
  <si>
    <t>33883MAQ7</t>
  </si>
  <si>
    <t>FLAT 2020-1A DR 20-May-2036</t>
  </si>
  <si>
    <t>33888AAJ4</t>
  </si>
  <si>
    <t>FLAT 2024-4A D 15-Jan-2038</t>
  </si>
  <si>
    <t>38178DAJ6</t>
  </si>
  <si>
    <t>GCBSL 2020-50A DR 20-Apr-2035</t>
  </si>
  <si>
    <t>38138TAY7</t>
  </si>
  <si>
    <t>GLM 2021-10A DR 20-Oct-2037</t>
  </si>
  <si>
    <t>38139BAW9</t>
  </si>
  <si>
    <t>GLM 2022-15A DR 20-Oct-2036</t>
  </si>
  <si>
    <t>38138WAJ3</t>
  </si>
  <si>
    <t>GLM 2024-19A D 20-Apr-2037</t>
  </si>
  <si>
    <t>38139EAL7</t>
  </si>
  <si>
    <t>GLM 2024-22A D 20-Oct-2037</t>
  </si>
  <si>
    <t>37149HAS5</t>
  </si>
  <si>
    <t>Generate CLO Ltd</t>
  </si>
  <si>
    <t>GNRT 2023-11A D1R 20-Oct-2037</t>
  </si>
  <si>
    <t>37149QAG1</t>
  </si>
  <si>
    <t>GNRT 2024-14A D 22-Apr-2037</t>
  </si>
  <si>
    <t>37149PAG3</t>
  </si>
  <si>
    <t>GNRT 2024-17A D1 22-Oct-2037</t>
  </si>
  <si>
    <t>370912AG2</t>
  </si>
  <si>
    <t>GNRT 2024-20A D1 25-Jan-2038</t>
  </si>
  <si>
    <t>370910AJ0</t>
  </si>
  <si>
    <t>GNRT 2A D1R2 22-Oct-2037</t>
  </si>
  <si>
    <t>37148BAJ9</t>
  </si>
  <si>
    <t>GNRT 4A D1RR 20-Jul-2037</t>
  </si>
  <si>
    <t>37148EAW4</t>
  </si>
  <si>
    <t>GNRT 8A D1R2 20-Jan-2038</t>
  </si>
  <si>
    <t>2021-12-22</t>
  </si>
  <si>
    <t>01-15-2034</t>
  </si>
  <si>
    <t>Harvest US CLO</t>
  </si>
  <si>
    <t>42086NAN8</t>
  </si>
  <si>
    <t>HAYFN 2019-2A DR 20-Oct-2034</t>
  </si>
  <si>
    <t>42088AAJ3</t>
  </si>
  <si>
    <t>Hayfin US</t>
  </si>
  <si>
    <t>HAYFN 2021-14A D 20-Jul-2034</t>
  </si>
  <si>
    <t>442924AQ9</t>
  </si>
  <si>
    <t>HLM 2024-19A D1 15-Apr-2037</t>
  </si>
  <si>
    <t>442913AG4</t>
  </si>
  <si>
    <t>HLM 2024-21A D1A 15-Oct-2037</t>
  </si>
  <si>
    <t>413279AL4</t>
  </si>
  <si>
    <t>Harmony-Peace Park CLO Ltd</t>
  </si>
  <si>
    <t>HPPK 2024-1A D1 20-Oct-2037</t>
  </si>
  <si>
    <t>44931NAW1</t>
  </si>
  <si>
    <t>ICG 2016-1A CRR 29-Apr-2034</t>
  </si>
  <si>
    <t>04-29-2034</t>
  </si>
  <si>
    <t>449251AS6</t>
  </si>
  <si>
    <t>ICG 2020-1A DR 20-Jan-2035</t>
  </si>
  <si>
    <t>449303AJ5</t>
  </si>
  <si>
    <t>ICG 2021-1A D 17-Apr-2034</t>
  </si>
  <si>
    <t>449249AG6</t>
  </si>
  <si>
    <t>ICG 2021-3A D 20-Oct-2034</t>
  </si>
  <si>
    <t>46146JAG1</t>
  </si>
  <si>
    <t>INVCO 2021-3A D 22-Oct-2034</t>
  </si>
  <si>
    <t>46146VAU3</t>
  </si>
  <si>
    <t>INVCO 2022-3A D1R 22-Oct-2037</t>
  </si>
  <si>
    <t>46146GAW2</t>
  </si>
  <si>
    <t>INVCO 2023-1A DR 22-Apr-2037</t>
  </si>
  <si>
    <t>46148AAJ2</t>
  </si>
  <si>
    <t>INVCO 2024-2A D 15-Jul-2037</t>
  </si>
  <si>
    <t>48206KAW6</t>
  </si>
  <si>
    <t>JNPPK 2023-1A DR 20-Jul-2036</t>
  </si>
  <si>
    <t>47048JBD4</t>
  </si>
  <si>
    <t>Jamestown CLO Ltd</t>
  </si>
  <si>
    <t>JTWN 2016-9A CRR 25-Jul-2034</t>
  </si>
  <si>
    <t>47049QAG1</t>
  </si>
  <si>
    <t>JTWN 2018-11A C 14-Jul-2031</t>
  </si>
  <si>
    <t>48251BBC3</t>
  </si>
  <si>
    <t>KKR 16 CR2 20-Oct-2034</t>
  </si>
  <si>
    <t>48251FAQ4</t>
  </si>
  <si>
    <t>KKR 17 DR 15-Apr-2034</t>
  </si>
  <si>
    <t>48255VAW2</t>
  </si>
  <si>
    <t>KKR 2023-46A D1R 20-Oct-2037</t>
  </si>
  <si>
    <t>48252RAU8</t>
  </si>
  <si>
    <t>KKR 24 DR 20-Apr-2032</t>
  </si>
  <si>
    <t>48254NAJ0</t>
  </si>
  <si>
    <t>KKR 31A D 20-Apr-2034</t>
  </si>
  <si>
    <t>04-20-2034</t>
  </si>
  <si>
    <t>48254QAE4</t>
  </si>
  <si>
    <t>KKR 33A D 20-Jul-2034</t>
  </si>
  <si>
    <t>48253UAG1</t>
  </si>
  <si>
    <t>KKR 34A D 15-Jul-2034</t>
  </si>
  <si>
    <t>48254LAU9</t>
  </si>
  <si>
    <t>KKR 35A DR 20-Jan-2038</t>
  </si>
  <si>
    <t>481950AJ2</t>
  </si>
  <si>
    <t>KKR 44A D 20-Jan-2036</t>
  </si>
  <si>
    <t>510758AJ4</t>
  </si>
  <si>
    <t>LSHR 2021-1A DR 15-Jan-2037</t>
  </si>
  <si>
    <t>51076LAL9</t>
  </si>
  <si>
    <t>LSHR 2022-1A BR 15-Jan-2037</t>
  </si>
  <si>
    <t>55954NAQ2</t>
  </si>
  <si>
    <t>MAGNE 2019-23A DR 25-Jan-2035</t>
  </si>
  <si>
    <t>55954WAS8</t>
  </si>
  <si>
    <t>MAGNE 2019-24A DR 15-Apr-2035</t>
  </si>
  <si>
    <t>55280QBJ5</t>
  </si>
  <si>
    <t>MCF CLO LLC</t>
  </si>
  <si>
    <t>MCFCL 2017-1A DR2 20-Oct-2037</t>
  </si>
  <si>
    <t>55820JBL3</t>
  </si>
  <si>
    <t>MDPK 2016-21A C1RR 15-Oct-2032</t>
  </si>
  <si>
    <t>55819XBQ4</t>
  </si>
  <si>
    <t>MDPK 2016-22A D1R2 15-Jan-2038</t>
  </si>
  <si>
    <t>55821AAW8</t>
  </si>
  <si>
    <t>MDPK 2018-28A D1R 15-Jan-2038</t>
  </si>
  <si>
    <t>55821TAU1</t>
  </si>
  <si>
    <t>MDPK 2018-30A D1R 16-Jul-2037</t>
  </si>
  <si>
    <t>55817ABJ2</t>
  </si>
  <si>
    <t>MDPK 2018-32A D2 22-Jul-2037</t>
  </si>
  <si>
    <t>55819JAU7</t>
  </si>
  <si>
    <t>MDPK 2019-33A DR 15-Oct-2032</t>
  </si>
  <si>
    <t>55819MAY2</t>
  </si>
  <si>
    <t>MDPK 2019-35A DR 20-Apr-2032</t>
  </si>
  <si>
    <t>55821UAG9</t>
  </si>
  <si>
    <t>MDPK 2021-48A D 19-Apr-2033</t>
  </si>
  <si>
    <t>55821GAL9</t>
  </si>
  <si>
    <t>MDPK 2021-51A D 19-Jul-2034</t>
  </si>
  <si>
    <t>55822BAJ4</t>
  </si>
  <si>
    <t>MDPK 2021-52A D 22-Jan-2035</t>
  </si>
  <si>
    <t>558189AG1</t>
  </si>
  <si>
    <t>MDPK 2022-53A D 21-Apr-2035</t>
  </si>
  <si>
    <t>55819FAY7</t>
  </si>
  <si>
    <t>MDPK 2022-55A D1R 18-Jul-2037</t>
  </si>
  <si>
    <t>557910AW6</t>
  </si>
  <si>
    <t>MDPK 2022-60A D1R 25-Oct-2037</t>
  </si>
  <si>
    <t>55822XAJ6</t>
  </si>
  <si>
    <t>MDPK 2024-68A D1 20-Jan-2038</t>
  </si>
  <si>
    <t>59803ABQ4</t>
  </si>
  <si>
    <t>MIDO 2019-10A D1RR 23-Oct-2034</t>
  </si>
  <si>
    <t>XS2363074332</t>
  </si>
  <si>
    <t>Montmartre Euro CLO</t>
  </si>
  <si>
    <t>MONTM 2020-2A DR 15-Jul-2034</t>
  </si>
  <si>
    <t>56607BAS3</t>
  </si>
  <si>
    <t>Marble Point CLO</t>
  </si>
  <si>
    <t>MP16 2019-2A D1R 16-Nov-2034</t>
  </si>
  <si>
    <t>566069AG5</t>
  </si>
  <si>
    <t>MP20 2021-1A D1 23-Apr-2034</t>
  </si>
  <si>
    <t>65023PAU4</t>
  </si>
  <si>
    <t>Newark BSL CLO</t>
  </si>
  <si>
    <t>NBCLO 2017-1A CR 25-Jul-2030</t>
  </si>
  <si>
    <t>64130TBS3</t>
  </si>
  <si>
    <t>NEUB 2015-20A D1R3 15-Apr-2039</t>
  </si>
  <si>
    <t>64130DCA6</t>
  </si>
  <si>
    <t>NEUB 2016-21A D1R3 20-Jan-2039</t>
  </si>
  <si>
    <t>64130XBA3</t>
  </si>
  <si>
    <t>NEUB 2018-29A D1R 19-Jan-2039</t>
  </si>
  <si>
    <t>64134MAQ9</t>
  </si>
  <si>
    <t>NEUB 2021-45A DR 14-Oct-2036</t>
  </si>
  <si>
    <t>67707CBL1</t>
  </si>
  <si>
    <t>OHA Credit Partners Ltd</t>
  </si>
  <si>
    <t>OAKC 2014-10RA D1R2 20-Apr-2038</t>
  </si>
  <si>
    <t>67109FBE4</t>
  </si>
  <si>
    <t>OAKC 2015-11A D1R2 20-Apr-2037</t>
  </si>
  <si>
    <t>67706XBA0</t>
  </si>
  <si>
    <t>OAKC 2017-14A D2R 21-Jul-2037</t>
  </si>
  <si>
    <t>67707BAR1</t>
  </si>
  <si>
    <t>OAKC 2017-15A D1R 20-Apr-2037</t>
  </si>
  <si>
    <t>67115WBA7</t>
  </si>
  <si>
    <t>OAKC 2018-1A D1R 20-Apr-2037</t>
  </si>
  <si>
    <t>67098DBL6</t>
  </si>
  <si>
    <t>OAKC 2019-4A D1R2 22-Jan-2038</t>
  </si>
  <si>
    <t>01-18-2036</t>
  </si>
  <si>
    <t>67707GBA6</t>
  </si>
  <si>
    <t>OAKC 2021-8A D1R 20-Jan-2038</t>
  </si>
  <si>
    <t>67100SAJ5</t>
  </si>
  <si>
    <t>OAKC 2024-19A D1 20-Jul-2037</t>
  </si>
  <si>
    <t>67402JAW1</t>
  </si>
  <si>
    <t>OAKCL 2021-1A D1R 15-Jan-2038</t>
  </si>
  <si>
    <t>67401RAW4</t>
  </si>
  <si>
    <t>OAKCL 2022-3A D1R 15-Oct-2037</t>
  </si>
  <si>
    <t>Oak Street Investment Fund</t>
  </si>
  <si>
    <t>11-20-2050</t>
  </si>
  <si>
    <t>67181DAG6</t>
  </si>
  <si>
    <t>OAKIG 2020-1A B1 20-Nov-2050</t>
  </si>
  <si>
    <t>67181DAH4</t>
  </si>
  <si>
    <t>OAKIG 2020-1A B2 20-Nov-2050</t>
  </si>
  <si>
    <t>01-20-2051</t>
  </si>
  <si>
    <t>67190AAE6</t>
  </si>
  <si>
    <t>OAKIG 2021-1A B1 20-Jan-2051</t>
  </si>
  <si>
    <t>67118YAW3</t>
  </si>
  <si>
    <t>OCP 2022-24A D1R 20-Oct-2037</t>
  </si>
  <si>
    <t>671060AJ0</t>
  </si>
  <si>
    <t>OCP 2024-35A D1 25-Oct-2037</t>
  </si>
  <si>
    <t>67590BAY6</t>
  </si>
  <si>
    <t>Octagon Investment Partners Lt</t>
  </si>
  <si>
    <t>OCT16 2013-1A DR 17-Jul-2030</t>
  </si>
  <si>
    <t>67573LAJ8</t>
  </si>
  <si>
    <t>OCT43 2019-1A D 25-Oct-2032</t>
  </si>
  <si>
    <t>67577MAU7</t>
  </si>
  <si>
    <t>OCT45 2019-1A DR 15-Apr-2035</t>
  </si>
  <si>
    <t>67576XBG4</t>
  </si>
  <si>
    <t>OCT47 2020-1A D1R2 22-Jan-2038</t>
  </si>
  <si>
    <t>67578FAU1</t>
  </si>
  <si>
    <t>OCT49 2020-5A D1R 15-Apr-2037</t>
  </si>
  <si>
    <t>67577FAJ7</t>
  </si>
  <si>
    <t>OCT54 2021-1A D 15-Jul-2034</t>
  </si>
  <si>
    <t>675930AJ0</t>
  </si>
  <si>
    <t>OCT59 2022-1A D 15-May-2035</t>
  </si>
  <si>
    <t>675935AY6</t>
  </si>
  <si>
    <t>OCT60 2022-1A D1R 20-Oct-2037</t>
  </si>
  <si>
    <t>675949AL5</t>
  </si>
  <si>
    <t>Octagon Credit Investors LLC</t>
  </si>
  <si>
    <t>OCT68 2023-1A D 20-Oct-2036</t>
  </si>
  <si>
    <t>67109BDJ0</t>
  </si>
  <si>
    <t>OHALF 2015-1A DR3 19-Jan-2037</t>
  </si>
  <si>
    <t>67110UBG3</t>
  </si>
  <si>
    <t>OHA Loan Funding Ltd</t>
  </si>
  <si>
    <t>OHALF 2016-1A D1R2 20-Jul-2037</t>
  </si>
  <si>
    <t>Parallel CLO Ltd</t>
  </si>
  <si>
    <t>70019KAJ6</t>
  </si>
  <si>
    <t>PKBLU 2024-6A D1 25-Jan-2038</t>
  </si>
  <si>
    <t>69688FAG5</t>
  </si>
  <si>
    <t>PLMRS 2021-3A D 15-Jan-2035</t>
  </si>
  <si>
    <t>01-15-2035</t>
  </si>
  <si>
    <t>69703LAJ7</t>
  </si>
  <si>
    <t>PLMRS 2024-2A D1 20-Jul-2037</t>
  </si>
  <si>
    <t>72583UAL1</t>
  </si>
  <si>
    <t>PXLY 2024-1A D1 15-Jan-2037</t>
  </si>
  <si>
    <t>75010KAL9</t>
  </si>
  <si>
    <t>RAD 2019-6A D1R 20-Oct-2037</t>
  </si>
  <si>
    <t>74936GAG3</t>
  </si>
  <si>
    <t>RAD 2020-7A D1R 17-Apr-2036</t>
  </si>
  <si>
    <t>750099AS2</t>
  </si>
  <si>
    <t>RAD 2023-21A D1R 25-Jan-2037</t>
  </si>
  <si>
    <t>74923VAJ9</t>
  </si>
  <si>
    <t>RAD 2023-22A D 20-Jan-2037</t>
  </si>
  <si>
    <t>75884YAN8</t>
  </si>
  <si>
    <t>REG20 2021-2A D1R 15-Jan-2038</t>
  </si>
  <si>
    <t>75900QAJ4</t>
  </si>
  <si>
    <t>REG26 2023-2A D 25-Jan-2037</t>
  </si>
  <si>
    <t>758970AJ6</t>
  </si>
  <si>
    <t>REG27 2024-1A D 26-Apr-2037</t>
  </si>
  <si>
    <t>758971AE5</t>
  </si>
  <si>
    <t>REG29 2024-3A D1 06-Sep-2037</t>
  </si>
  <si>
    <t>75888ABN5</t>
  </si>
  <si>
    <t>REGT7 2016-1A DR2 20-Jun-2034</t>
  </si>
  <si>
    <t>773663AG4</t>
  </si>
  <si>
    <t>Rockland Park CLO Ltd</t>
  </si>
  <si>
    <t>ROCKP 2021-1A D 20-Apr-2034</t>
  </si>
  <si>
    <t>77340EBG0</t>
  </si>
  <si>
    <t>ROCKT 2017 1A</t>
  </si>
  <si>
    <t>ROCKT 2017-1A DR2B 20-Apr-2034</t>
  </si>
  <si>
    <t>77341KAJ0</t>
  </si>
  <si>
    <t>ROCKT 2021-1A D 20-Jul-2034</t>
  </si>
  <si>
    <t>76857JAL6</t>
  </si>
  <si>
    <t>RVRPK 2024-1A D 25-Jan-2038</t>
  </si>
  <si>
    <t>SESAC Rights Management Inc</t>
  </si>
  <si>
    <t>07-25-2049</t>
  </si>
  <si>
    <t>83012FAU2</t>
  </si>
  <si>
    <t>Sixth Street CLO</t>
  </si>
  <si>
    <t>SIXST 2021-17A D1R 17-Apr-2038</t>
  </si>
  <si>
    <t>829929AG3</t>
  </si>
  <si>
    <t>SIXST 2023-23A D 23-Oct-2036</t>
  </si>
  <si>
    <t>83011QAG0</t>
  </si>
  <si>
    <t>SIXST 2024-24A D 23-Apr-2037</t>
  </si>
  <si>
    <t>83013GAG0</t>
  </si>
  <si>
    <t>SIXST 2024-27A D1 17-Jan-2038</t>
  </si>
  <si>
    <t>83614XAW1</t>
  </si>
  <si>
    <t>Sound Point CLO Ltd</t>
  </si>
  <si>
    <t>SNDPT 2020-1A DR 20-Jul-2034</t>
  </si>
  <si>
    <t>83615PAG2</t>
  </si>
  <si>
    <t>SNDPT 2021-3A D 25-Oct-2034</t>
  </si>
  <si>
    <t>83616KAG2</t>
  </si>
  <si>
    <t>SNDPT 2022-1A D 25-Apr-2035</t>
  </si>
  <si>
    <t>04-25-2035</t>
  </si>
  <si>
    <t>83617PAJ4</t>
  </si>
  <si>
    <t>SNDPT 2025-2A D1 15-Apr-2038</t>
  </si>
  <si>
    <t>828085AW0</t>
  </si>
  <si>
    <t>Silver Point CLO Ltd</t>
  </si>
  <si>
    <t>SPCLO 2022-1A D1R 20-Jan-2038</t>
  </si>
  <si>
    <t>86217RAS7</t>
  </si>
  <si>
    <t>Storm King Park CLO LTD</t>
  </si>
  <si>
    <t>STKPK 2022-1A D1R 15-Oct-2037</t>
  </si>
  <si>
    <t>87167WAJ4</t>
  </si>
  <si>
    <t>SYMP 2021-25A D 19-Apr-2034</t>
  </si>
  <si>
    <t>87168NAJ3</t>
  </si>
  <si>
    <t>SYMP 2022-32A D1 23-Apr-2035</t>
  </si>
  <si>
    <t>87168RAW5</t>
  </si>
  <si>
    <t>SYMP 2022-36A D1R 24-Oct-2037</t>
  </si>
  <si>
    <t>871987AG8</t>
  </si>
  <si>
    <t>SYMP 2024-42A D 17-Apr-2037</t>
  </si>
  <si>
    <t>871972AJ4</t>
  </si>
  <si>
    <t>SYMP 2024-44A D 14-Jul-2037</t>
  </si>
  <si>
    <t>Tallman Park CLO</t>
  </si>
  <si>
    <t>88239MAQ2</t>
  </si>
  <si>
    <t>TCIFC 2023-2A D1R 21-Oct-2037</t>
  </si>
  <si>
    <t>510800AJ4</t>
  </si>
  <si>
    <t>THLLS 2019-1A DR 15-Apr-2033</t>
  </si>
  <si>
    <t>87248TAS4</t>
  </si>
  <si>
    <t>TICP CLO Ltd</t>
  </si>
  <si>
    <t>TICP 2017-7A DR 15-Apr-2033</t>
  </si>
  <si>
    <t>TPG CLO 2025-1 Ltd</t>
  </si>
  <si>
    <t>89531FBG1</t>
  </si>
  <si>
    <t>TREST 2017-1A D1RR 25-Jul-2037</t>
  </si>
  <si>
    <t>89531MAU6</t>
  </si>
  <si>
    <t>TREST 2018-2A D1R 25-Jul-2037</t>
  </si>
  <si>
    <t>89532TAY2</t>
  </si>
  <si>
    <t>TREST 2020-3A D1R 20-Oct-2037</t>
  </si>
  <si>
    <t>89532WAJ8</t>
  </si>
  <si>
    <t>TREST 2021-4A D 21-Jul-2034</t>
  </si>
  <si>
    <t>89532UAL7</t>
  </si>
  <si>
    <t>TREST 2021-5A D 20-Oct-2034</t>
  </si>
  <si>
    <t>894940BA2</t>
  </si>
  <si>
    <t>TREST 2023-6A D1R 25-Apr-2038</t>
  </si>
  <si>
    <t>89532XAL1</t>
  </si>
  <si>
    <t>TREST 2024-7A D1 25-Oct-2037</t>
  </si>
  <si>
    <t>913318AJ0</t>
  </si>
  <si>
    <t>Unity-Peace Park CLO Ltd</t>
  </si>
  <si>
    <t>UNPPK 2022-1A D 20-Apr-2035</t>
  </si>
  <si>
    <t>92535VAH5</t>
  </si>
  <si>
    <t>VBTOW 2020-2A C 15-Sep-2050</t>
  </si>
  <si>
    <t>XS2348060414</t>
  </si>
  <si>
    <t>Vendome Funding</t>
  </si>
  <si>
    <t>VENDM 1A DR 20-Jul-2034</t>
  </si>
  <si>
    <t>92918EAS6</t>
  </si>
  <si>
    <t>Voya CLO Ltd</t>
  </si>
  <si>
    <t>VOYA 2020-1A DR 16-Jul-2034</t>
  </si>
  <si>
    <t>94949GAJ0</t>
  </si>
  <si>
    <t>WELF 2020-1A C 15-Apr-2033</t>
  </si>
  <si>
    <t>94950CAJ5</t>
  </si>
  <si>
    <t>WELF 2021-1A D 20-Apr-2034</t>
  </si>
  <si>
    <t>97314EAJ5</t>
  </si>
  <si>
    <t>WINDR 2019-2A DR 15-Jan-2035</t>
  </si>
  <si>
    <t>01-15-2024</t>
  </si>
  <si>
    <t>97315VAJ6</t>
  </si>
  <si>
    <t>WINDR 2021-2A D 20-Jul-2034</t>
  </si>
  <si>
    <t>97316UAG3</t>
  </si>
  <si>
    <t>WINDR 2021-4A D 20-Jan-2035</t>
  </si>
  <si>
    <t>668468AG6</t>
  </si>
  <si>
    <t>WOODS 2021-25A D 20-Jul-2034</t>
  </si>
  <si>
    <t>66860XAL1</t>
  </si>
  <si>
    <t>WOODS 2021-27A D 17-Oct-2034</t>
  </si>
  <si>
    <t>2025-04-08</t>
  </si>
  <si>
    <t>BB-</t>
  </si>
  <si>
    <t>68626DAA0</t>
  </si>
  <si>
    <t>ANTOR 2024-3A E 25-Jul-2037</t>
  </si>
  <si>
    <t>03768NAJ4</t>
  </si>
  <si>
    <t>APID 2020-33A ER2 24-Apr-2038</t>
  </si>
  <si>
    <t>03769FAA9</t>
  </si>
  <si>
    <t>APID 2021-37A E 22-Oct-2034</t>
  </si>
  <si>
    <t>03768YAA9</t>
  </si>
  <si>
    <t>APID 2021-38A E1 21-Jan-2034</t>
  </si>
  <si>
    <t>BB+</t>
  </si>
  <si>
    <t>039952AA4</t>
  </si>
  <si>
    <t>ARES 2023-70A E 25-Oct-2035</t>
  </si>
  <si>
    <t>06759KAE5</t>
  </si>
  <si>
    <t>BABSN 2019-1A ER 15-Apr-2035</t>
  </si>
  <si>
    <t>09261MBC9</t>
  </si>
  <si>
    <t>BLKMM 2021-6A ER 20-Apr-2037</t>
  </si>
  <si>
    <t>91734KAJ6</t>
  </si>
  <si>
    <t>Blackrock Baker CLO 2021-1, Ltd</t>
  </si>
  <si>
    <t>BLKMM 2021-8A D 15-Jan-2034</t>
  </si>
  <si>
    <t>08186QAE1</t>
  </si>
  <si>
    <t>BSP 2019-18A ER 15-Oct-2034</t>
  </si>
  <si>
    <t>08187AAE5</t>
  </si>
  <si>
    <t>BSP 2021-25A ER 15-Jan-2035</t>
  </si>
  <si>
    <t>Ba3</t>
  </si>
  <si>
    <t>12481LAE6</t>
  </si>
  <si>
    <t>CBAM 2017-2A ER 17-Jul-2034</t>
  </si>
  <si>
    <t>12481JAG6</t>
  </si>
  <si>
    <t>CBAM 2017-3A ER 17-Jul-2034</t>
  </si>
  <si>
    <t>12481UAA4</t>
  </si>
  <si>
    <t>CBAM 2018-5A E 17-Apr-2031</t>
  </si>
  <si>
    <t>12516HAA2</t>
  </si>
  <si>
    <t>CBAMR 2018-6A ER2 31-Mar-2038</t>
  </si>
  <si>
    <t>14318AAA3</t>
  </si>
  <si>
    <t>CGMS 2021-5A E 20-Jul-2034</t>
  </si>
  <si>
    <t>14316XAJ6</t>
  </si>
  <si>
    <t>CGMS 2021-7A ER 15-Apr-2040</t>
  </si>
  <si>
    <t>143117AA7</t>
  </si>
  <si>
    <t>CGMS 2021-8A E 15-Oct-2034</t>
  </si>
  <si>
    <t>12554FAE1</t>
  </si>
  <si>
    <t>CIFC 2019-2A ER 17-Apr-2034</t>
  </si>
  <si>
    <t>12567QAJ1</t>
  </si>
  <si>
    <t>CIFC 2022-2A ER 19-Apr-2035</t>
  </si>
  <si>
    <t>29003XAA1</t>
  </si>
  <si>
    <t>ELM14 2022-1A E 20-Apr-2035</t>
  </si>
  <si>
    <t>18914KAJ1</t>
  </si>
  <si>
    <t>Fort Greene Park CLO</t>
  </si>
  <si>
    <t>FTGPK 2025-2A ER 22-Apr-2034</t>
  </si>
  <si>
    <t>38136HAS8</t>
  </si>
  <si>
    <t>GLM 2017-1A ER3 20-Apr-2034</t>
  </si>
  <si>
    <t>38139CAG2</t>
  </si>
  <si>
    <t>GLM 2022-15A ER 20-Oct-2036</t>
  </si>
  <si>
    <t>40441AAA8</t>
  </si>
  <si>
    <t>HLM 2021-16A E 23-Jan-2035</t>
  </si>
  <si>
    <t>449249AJ0</t>
  </si>
  <si>
    <t>ICG 2021-3A E 20-Oct-2034</t>
  </si>
  <si>
    <t>48255MAA0</t>
  </si>
  <si>
    <t>KKR 2022-41A E 15-Apr-2035</t>
  </si>
  <si>
    <t>48254TAA6</t>
  </si>
  <si>
    <t>KKR 33A E 20-Jul-2034</t>
  </si>
  <si>
    <t>48257AAA4</t>
  </si>
  <si>
    <t>KKR 35A ER 20-Jan-2038</t>
  </si>
  <si>
    <t>48254XAA7</t>
  </si>
  <si>
    <t>KKR 36A E 15-Oct-2034</t>
  </si>
  <si>
    <t>55954VAG6</t>
  </si>
  <si>
    <t>MAGNE 2023-34A ER 15-Jan-2038</t>
  </si>
  <si>
    <t>55821NAA8</t>
  </si>
  <si>
    <t>MDPK 2021-39A E 22-Oct-2034</t>
  </si>
  <si>
    <t>56577GAL3</t>
  </si>
  <si>
    <t>MRNON 2020-1A D 15-Jan-2034</t>
  </si>
  <si>
    <t>56577LAQ1</t>
  </si>
  <si>
    <t>MRNON 2021-1RA ER 15-Jul-2034</t>
  </si>
  <si>
    <t>56577JAJ2</t>
  </si>
  <si>
    <t>MRNON 2021-2RA ER 15-Jul-2033</t>
  </si>
  <si>
    <t>04-20-2033</t>
  </si>
  <si>
    <t>675948AJ2</t>
  </si>
  <si>
    <t>OCT61 2023-2A ER 20-Apr-2038</t>
  </si>
  <si>
    <t>675950AA7</t>
  </si>
  <si>
    <t>OCT68 2023-1A E 20-Oct-2036</t>
  </si>
  <si>
    <t>69701TAL7</t>
  </si>
  <si>
    <t>PLMRS 2020-3A DR2 15-Nov-2036</t>
  </si>
  <si>
    <t>75888CAA0</t>
  </si>
  <si>
    <t>REG19 2022-1A E 20-Apr-2035</t>
  </si>
  <si>
    <t>75885AAE9</t>
  </si>
  <si>
    <t>REG20 2021-2A ER 15-Jan-2038</t>
  </si>
  <si>
    <t>75887PAN4</t>
  </si>
  <si>
    <t>REGT6 2016-1A ER2 20-Apr-2034</t>
  </si>
  <si>
    <t>77341JAA2</t>
  </si>
  <si>
    <t>ROCKT 2021-1A E 20-Jul-2034</t>
  </si>
  <si>
    <t>74980WAA6</t>
  </si>
  <si>
    <t>RR Ltd</t>
  </si>
  <si>
    <t>RRAM 2021-15A D 15-Apr-2036</t>
  </si>
  <si>
    <t>83616LAA3</t>
  </si>
  <si>
    <t>SNDPT 2022-1A E 25-Apr-2035</t>
  </si>
  <si>
    <t>87167YAA9</t>
  </si>
  <si>
    <t>SYMP 2021-25A E 19-Apr-2034</t>
  </si>
  <si>
    <t>87240GAG6</t>
  </si>
  <si>
    <t>TCP Waterman Clo LLC</t>
  </si>
  <si>
    <t>TCP 2017-1A ER 20-Aug-2033</t>
  </si>
  <si>
    <t>94951KAC1</t>
  </si>
  <si>
    <t>WELF 2021-3A E 15-Jan-2035</t>
  </si>
  <si>
    <t>97315YAA9</t>
  </si>
  <si>
    <t>WINDR 2021-2A E 20-Jul-2034</t>
  </si>
  <si>
    <t>97316VAA4</t>
  </si>
  <si>
    <t>WINDR 2021-4A E1 20-Jan-2035</t>
  </si>
  <si>
    <t>Ba1</t>
  </si>
  <si>
    <t>66860YAA3</t>
  </si>
  <si>
    <t>WOODS 2021-27A E 17-Oct-2034</t>
  </si>
  <si>
    <t>B-</t>
  </si>
  <si>
    <t>12482GAC0</t>
  </si>
  <si>
    <t>CBAM 2018-7A E 20-Jul-2031</t>
  </si>
  <si>
    <t>B1</t>
  </si>
  <si>
    <t>510803AA7</t>
  </si>
  <si>
    <t>THLLS 2019-1A ER 15-Apr-2033</t>
  </si>
  <si>
    <t>87246LAJ3</t>
  </si>
  <si>
    <t>WINDR 2015-1A FR 20-Oct-2030</t>
  </si>
  <si>
    <t>Caa2</t>
  </si>
  <si>
    <t>33883PAY3</t>
  </si>
  <si>
    <t>FLAT 2021-1A D1R 19-Oct-2037</t>
  </si>
  <si>
    <t>2024-09-12</t>
  </si>
  <si>
    <t>WR</t>
  </si>
  <si>
    <t>10-19-2026</t>
  </si>
  <si>
    <t>44G8/813/IG CLO FWH</t>
  </si>
  <si>
    <t>44G9/814/ABS FWH</t>
  </si>
  <si>
    <t>44H1/815/Atypical FWH</t>
  </si>
  <si>
    <t>44I4/816/HY CLOs FWH</t>
  </si>
  <si>
    <t>P44I5/817/HY CLOs OC</t>
  </si>
  <si>
    <t>44J6/821/IG CLO OC</t>
  </si>
  <si>
    <t>44J7/822/ABS OC</t>
  </si>
  <si>
    <t>44J5/823/Atypical OC</t>
  </si>
  <si>
    <t>Portfolio</t>
  </si>
  <si>
    <t>Security ID</t>
  </si>
  <si>
    <t>Quantity</t>
  </si>
  <si>
    <t>Price</t>
  </si>
  <si>
    <t>Cost Proceeds</t>
  </si>
  <si>
    <t>Coupon Rate</t>
  </si>
  <si>
    <t>Portfolio_Name</t>
  </si>
  <si>
    <t>SBL_813_813</t>
  </si>
  <si>
    <t>BUY</t>
  </si>
  <si>
    <t>07-21-2036</t>
  </si>
  <si>
    <t>SBL_816_816</t>
  </si>
  <si>
    <t>04-26-2036</t>
  </si>
  <si>
    <t>SELL</t>
  </si>
  <si>
    <t>01-15-2030</t>
  </si>
  <si>
    <t>04-18-2036</t>
  </si>
  <si>
    <t>04-22-2035</t>
  </si>
  <si>
    <t>SBL_814_814</t>
  </si>
  <si>
    <t>06-15-2025</t>
  </si>
  <si>
    <t>11-05-2029</t>
  </si>
  <si>
    <t>SBL_815_815</t>
  </si>
  <si>
    <t>Other</t>
  </si>
  <si>
    <t>04-21-2036</t>
  </si>
  <si>
    <t>07-17-2036</t>
  </si>
  <si>
    <t>04-22-2036</t>
  </si>
  <si>
    <t>04-25-2036</t>
  </si>
  <si>
    <t>07-19-2030</t>
  </si>
  <si>
    <t>04-20-2036</t>
  </si>
  <si>
    <t>SBL_823_823</t>
  </si>
  <si>
    <t>Portfolio Code</t>
  </si>
  <si>
    <t>Investment Type</t>
  </si>
  <si>
    <t>CUSIP</t>
  </si>
  <si>
    <t>BASEMarket Value</t>
  </si>
  <si>
    <t>BASEOriginal Cost</t>
  </si>
  <si>
    <t>Issuer Name</t>
  </si>
  <si>
    <t>Row Labels</t>
  </si>
  <si>
    <t>Manager</t>
  </si>
  <si>
    <t>WAL_Range</t>
  </si>
  <si>
    <t>coupon_Range</t>
  </si>
  <si>
    <t>CLO RATED</t>
  </si>
  <si>
    <t>SBL_817_817</t>
  </si>
  <si>
    <t>CLO MEZZ</t>
  </si>
  <si>
    <t>ALT CLO RATED</t>
  </si>
  <si>
    <t>ABS OTHER</t>
  </si>
  <si>
    <t>ABS Other</t>
  </si>
  <si>
    <t>cusip</t>
  </si>
  <si>
    <t>SP Rating</t>
  </si>
  <si>
    <t>Moody Rating</t>
  </si>
  <si>
    <t>Fitch Rating</t>
  </si>
  <si>
    <t>KBRA Rating</t>
  </si>
  <si>
    <t>DBRS Rating</t>
  </si>
  <si>
    <t>A1</t>
  </si>
  <si>
    <t>Regatta VI Funding Ltd.</t>
  </si>
  <si>
    <t>Regatta XIX Funding Ltd</t>
  </si>
  <si>
    <t>Rockford Tower CLO Ltd</t>
  </si>
  <si>
    <t>Sound Point CLO LTD</t>
  </si>
  <si>
    <t>TCP Whitney CLO LTD</t>
  </si>
  <si>
    <t>Benefit Street Partners CLO Lt</t>
  </si>
  <si>
    <t>Bluemountain CLO Ltd</t>
  </si>
  <si>
    <t>CFIP CLO LTD</t>
  </si>
  <si>
    <t>Regatta XX Funding Ltd</t>
  </si>
  <si>
    <t>Canyon CLO 2021-3 Ltd</t>
  </si>
  <si>
    <t>Canyon Capital CLO Ltd</t>
  </si>
  <si>
    <t>Carlyle US CLO 2020-1, Ltd</t>
  </si>
  <si>
    <t>CBAM CLO Management LLC</t>
  </si>
  <si>
    <t>Cerberus</t>
  </si>
  <si>
    <t>Crown Point CLO 7, Ltd</t>
  </si>
  <si>
    <t>Elevation CLO Ltd</t>
  </si>
  <si>
    <t>Elmwood CLO 29 Ltd</t>
  </si>
  <si>
    <t>Elmwood CLO 33 Ltd</t>
  </si>
  <si>
    <t>Elmwood CLO 17 Ltd</t>
  </si>
  <si>
    <t>Elmwood CLO 24 Ltd</t>
  </si>
  <si>
    <t>Elmwood CLO 20 Ltd</t>
  </si>
  <si>
    <t>Elmwood CLO VII Ltd.</t>
  </si>
  <si>
    <t>Elmwood CLO 16 Ltd</t>
  </si>
  <si>
    <t>Elmwood CLO VIII Ltd</t>
  </si>
  <si>
    <t>Elmwood CLO 37 Ltd</t>
  </si>
  <si>
    <t>Empower CLO Ltd.</t>
  </si>
  <si>
    <t>Fortress Credit BSL Limited</t>
  </si>
  <si>
    <t>Gallatin Funding Ltd</t>
  </si>
  <si>
    <t>Generate CLO Ltd.</t>
  </si>
  <si>
    <t>Generate CLO 8 Ltd.</t>
  </si>
  <si>
    <t>Harmony-Peace Park CLO</t>
  </si>
  <si>
    <t>Hayfin Kingsland XI Ltd</t>
  </si>
  <si>
    <t>Hayfin US XIV LTD</t>
  </si>
  <si>
    <t>Juniper Valley Park CLO, Ltd</t>
  </si>
  <si>
    <t>Lake Shore MM CLO</t>
  </si>
  <si>
    <t>Lake Shore MM CLO LLC</t>
  </si>
  <si>
    <t>THL Credit Lake Shore MM CLO I</t>
  </si>
  <si>
    <t>Atrium CDO Corp</t>
  </si>
  <si>
    <t>Marble Point CLO XX Ltd</t>
  </si>
  <si>
    <t>Marble Point CLO LTD</t>
  </si>
  <si>
    <t>Newark BSL CLO 2 Ltd.</t>
  </si>
  <si>
    <t>Octagon Investment Partners 43</t>
  </si>
  <si>
    <t>Octagon Investment Partners 47</t>
  </si>
  <si>
    <t>Octagon Investment Partners 54</t>
  </si>
  <si>
    <t>Octagon Investment Partners 45</t>
  </si>
  <si>
    <t>Octagon Investment Partners 49</t>
  </si>
  <si>
    <t>Octagon 59 Ltd</t>
  </si>
  <si>
    <t>Octagon 60 Ltd</t>
  </si>
  <si>
    <t>Octagon 68 Ltd</t>
  </si>
  <si>
    <t>Orion CLO Ltd.</t>
  </si>
  <si>
    <t>Regatta VII Funding Ltd</t>
  </si>
  <si>
    <t>Regatta XXVII Funding Ltd.</t>
  </si>
  <si>
    <t>Regatta XXIX Funding Ltd.</t>
  </si>
  <si>
    <t>Regatta XXVI Funding Ltd.</t>
  </si>
  <si>
    <t>Riverbank Park CLO Ltd</t>
  </si>
  <si>
    <t>Silver Point Capital CLO 1, Lt</t>
  </si>
  <si>
    <t>Storm King Park CLO, Ltd</t>
  </si>
  <si>
    <t>Texas Debt Capital CLO, Ltd</t>
  </si>
  <si>
    <t>Unity-Peace Park CLO, Ltd.</t>
  </si>
  <si>
    <t>Wise CLO 2024-2 Ltd</t>
  </si>
  <si>
    <t>Wise CLO Ltd</t>
  </si>
  <si>
    <t>AGL CLO 6 LTD</t>
  </si>
  <si>
    <t>Babson CLO Ltd</t>
  </si>
  <si>
    <t>Aimco</t>
  </si>
  <si>
    <t>Elmwood CLO 14 Ltd</t>
  </si>
  <si>
    <t>Octagon 61 Ltd</t>
  </si>
  <si>
    <t>Battalion CLO LTD</t>
  </si>
  <si>
    <t>001210AJ2</t>
  </si>
  <si>
    <t>00121XAJ0</t>
  </si>
  <si>
    <t>58403XAC2</t>
  </si>
  <si>
    <t>039939AW3</t>
  </si>
  <si>
    <t>039939AY9</t>
  </si>
  <si>
    <t>04021MAG3</t>
  </si>
  <si>
    <t>04021MAJ7</t>
  </si>
  <si>
    <t>05876KAS4</t>
  </si>
  <si>
    <t>067927AG8</t>
  </si>
  <si>
    <t>081930AG4</t>
  </si>
  <si>
    <t>081930AJ8</t>
  </si>
  <si>
    <t>09090MAJ2</t>
  </si>
  <si>
    <t>97719NAG2</t>
  </si>
  <si>
    <t>08182NAQ5</t>
  </si>
  <si>
    <t>138919AJ4</t>
  </si>
  <si>
    <t>14315DAG7</t>
  </si>
  <si>
    <t>14315LAJ3</t>
  </si>
  <si>
    <t>14315DAJ1</t>
  </si>
  <si>
    <t>XS2348060844</t>
  </si>
  <si>
    <t>XS2363074688</t>
  </si>
  <si>
    <t>12481NAE2</t>
  </si>
  <si>
    <t>12481NAF9</t>
  </si>
  <si>
    <t>12481QAJ4</t>
  </si>
  <si>
    <t>12481QAL9</t>
  </si>
  <si>
    <t>Baa1</t>
  </si>
  <si>
    <t>12482JAE0</t>
  </si>
  <si>
    <t>Aaa</t>
  </si>
  <si>
    <t>12482JAG5</t>
  </si>
  <si>
    <t>12509VAN2</t>
  </si>
  <si>
    <t>12510TAE4</t>
  </si>
  <si>
    <t>12511AAG9</t>
  </si>
  <si>
    <t>12509VAQ5</t>
  </si>
  <si>
    <t>12510TAF1</t>
  </si>
  <si>
    <t>12511AAJ3</t>
  </si>
  <si>
    <t>12511AAL8</t>
  </si>
  <si>
    <t>70019HAG9</t>
  </si>
  <si>
    <t>70019HAJ3</t>
  </si>
  <si>
    <t>12572VAE4</t>
  </si>
  <si>
    <t>12572VAG9</t>
  </si>
  <si>
    <t>17181TAQ4</t>
  </si>
  <si>
    <t>55821KAJ5</t>
  </si>
  <si>
    <t>03770QAJ3</t>
  </si>
  <si>
    <t>25254AAG2</t>
  </si>
  <si>
    <t>Diameter Capital CLO</t>
  </si>
  <si>
    <t>25254AAJ6</t>
  </si>
  <si>
    <t>289908AJ4</t>
  </si>
  <si>
    <t>Elmwood CLO 38 Ltd</t>
  </si>
  <si>
    <t>289910AL5</t>
  </si>
  <si>
    <t>Elmwood CLO 39 Ltd</t>
  </si>
  <si>
    <t>34955YAG4</t>
  </si>
  <si>
    <t>97316RAG0</t>
  </si>
  <si>
    <t>97316RAJ4</t>
  </si>
  <si>
    <t>88432FBE8</t>
  </si>
  <si>
    <t>40169CAL0</t>
  </si>
  <si>
    <t>449272AN3</t>
  </si>
  <si>
    <t>ICG Rhinebeck CLO 2021-4 Ltd</t>
  </si>
  <si>
    <t>449272AQ6</t>
  </si>
  <si>
    <t>75010RAG5</t>
  </si>
  <si>
    <t>48250WAN5</t>
  </si>
  <si>
    <t>48255PAG0</t>
  </si>
  <si>
    <t>482937AD1</t>
  </si>
  <si>
    <t>49835MAJ8</t>
  </si>
  <si>
    <t>56577NAW4</t>
  </si>
  <si>
    <t>56577NAY0</t>
  </si>
  <si>
    <t>758968AU5</t>
  </si>
  <si>
    <t>Regatta XXII Funding Ltd.</t>
  </si>
  <si>
    <t>64133KAQ4</t>
  </si>
  <si>
    <t>67110NBM6</t>
  </si>
  <si>
    <t>67112RBL7</t>
  </si>
  <si>
    <t>67707BAP5</t>
  </si>
  <si>
    <t>67402LAJ5</t>
  </si>
  <si>
    <t>67402XAG5</t>
  </si>
  <si>
    <t>67571LAJ0</t>
  </si>
  <si>
    <t>67592CAJ5</t>
  </si>
  <si>
    <t>OCTAGON INVESTMENT PARTNERS 39</t>
  </si>
  <si>
    <t>675942AJ5</t>
  </si>
  <si>
    <t>Octagon 74 Ltd</t>
  </si>
  <si>
    <t>67112KAK5</t>
  </si>
  <si>
    <t>67116HAQ5</t>
  </si>
  <si>
    <t>67570FAG0</t>
  </si>
  <si>
    <t>381733AN4</t>
  </si>
  <si>
    <t>69703YAG5</t>
  </si>
  <si>
    <t>69703YAJ9</t>
  </si>
  <si>
    <t>26248XAG9</t>
  </si>
  <si>
    <t>75887NBC2</t>
  </si>
  <si>
    <t>82808UAJ4</t>
  </si>
  <si>
    <t>827918AJ2</t>
  </si>
  <si>
    <t>83013NAL4</t>
  </si>
  <si>
    <t>83607PAW7</t>
  </si>
  <si>
    <t>55817GAG6</t>
  </si>
  <si>
    <t>55817GAU5</t>
  </si>
  <si>
    <t>55817DAJ7</t>
  </si>
  <si>
    <t>92916MAD3</t>
  </si>
  <si>
    <t>89989FAA2</t>
  </si>
  <si>
    <t>23802WAE1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</si>
</sst>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yyyy\-mm\-dd\ hh:mm:ss"/>
    <numFmt numFmtId="165" formatCode="_(* #,##0_);_(* \(#,##0\);_(* &quot;-&quot;??_);_(@_)"/>
    <numFmt numFmtId="166" formatCode="yyyy\-mm\-dd\ h:mm:ss"/>
  </numFmts>
  <fonts count="11" x14ac:knownFonts="1">
    <font>
      <sz val="11"/>
      <color theme="1"/>
      <name val="Calibri"/>
      <family val="2"/>
      <scheme val="minor"/>
    </font>
    <font>
      <b/>
      <sz val="22"/>
      <color rgb="FF0E2841"/>
      <name val="Arial"/>
      <family val="2"/>
    </font>
    <font>
      <sz val="11"/>
      <color theme="1"/>
      <name val="Arial"/>
      <family val="2"/>
    </font>
    <font>
      <b/>
      <sz val="18"/>
      <color rgb="FF0E2841"/>
      <name val="Arial"/>
      <family val="2"/>
    </font>
    <font>
      <sz val="18"/>
      <color rgb="FF0E2841"/>
      <name val="Arial"/>
      <family val="2"/>
    </font>
    <font>
      <b/>
      <sz val="16"/>
      <color rgb="FF0E284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0E284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841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295FF"/>
        <bgColor theme="8"/>
      </patternFill>
    </fill>
    <fill>
      <patternFill patternType="solid">
        <fgColor rgb="FF0295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theme="1"/>
      </top>
      <bottom style="medium">
        <color indexed="64"/>
      </bottom>
      <diagonal/>
    </border>
    <border>
      <left/>
      <right/>
      <top style="double">
        <color theme="1"/>
      </top>
      <bottom style="medium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43" fontId="6" fillId="0" borderId="0"/>
    <xf numFmtId="9" fontId="6" fillId="0" borderId="0"/>
  </cellStyleXfs>
  <cellXfs count="48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0" applyFont="1"/>
    <xf numFmtId="0" fontId="7" fillId="2" borderId="1" xfId="0" applyFont="1" applyFill="1" applyBorder="1" applyAlignment="1">
      <alignment horizontal="left"/>
    </xf>
    <xf numFmtId="43" fontId="7" fillId="2" borderId="2" xfId="1" applyFont="1" applyFill="1" applyBorder="1"/>
    <xf numFmtId="0" fontId="8" fillId="0" borderId="0" xfId="0" applyFont="1"/>
    <xf numFmtId="165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3" fontId="2" fillId="0" borderId="0" xfId="1" applyFont="1"/>
    <xf numFmtId="0" fontId="5" fillId="0" borderId="0" xfId="0" applyFont="1"/>
    <xf numFmtId="43" fontId="2" fillId="3" borderId="0" xfId="1" applyFont="1" applyFill="1"/>
    <xf numFmtId="43" fontId="2" fillId="0" borderId="0" xfId="0" applyNumberFormat="1" applyFont="1"/>
    <xf numFmtId="0" fontId="5" fillId="0" borderId="0" xfId="0" applyFont="1" applyAlignment="1">
      <alignment horizontal="left"/>
    </xf>
    <xf numFmtId="0" fontId="2" fillId="3" borderId="3" xfId="0" applyFont="1" applyFill="1" applyBorder="1"/>
    <xf numFmtId="0" fontId="2" fillId="0" borderId="3" xfId="0" applyFont="1" applyBorder="1"/>
    <xf numFmtId="0" fontId="7" fillId="5" borderId="5" xfId="0" applyFont="1" applyFill="1" applyBorder="1"/>
    <xf numFmtId="43" fontId="7" fillId="5" borderId="6" xfId="1" applyFont="1" applyFill="1" applyBorder="1"/>
    <xf numFmtId="0" fontId="7" fillId="4" borderId="8" xfId="0" applyFont="1" applyFill="1" applyBorder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7" fillId="4" borderId="9" xfId="0" applyNumberFormat="1" applyFont="1" applyFill="1" applyBorder="1" applyAlignment="1">
      <alignment horizontal="center"/>
    </xf>
    <xf numFmtId="43" fontId="7" fillId="4" borderId="9" xfId="0" applyNumberFormat="1" applyFont="1" applyFill="1" applyBorder="1" applyAlignment="1">
      <alignment horizontal="center"/>
    </xf>
    <xf numFmtId="2" fontId="7" fillId="5" borderId="6" xfId="0" applyNumberFormat="1" applyFont="1" applyFill="1" applyBorder="1" applyAlignment="1">
      <alignment horizontal="center"/>
    </xf>
    <xf numFmtId="2" fontId="2" fillId="3" borderId="0" xfId="1" applyNumberFormat="1" applyFont="1" applyFill="1" applyAlignment="1">
      <alignment horizontal="center"/>
    </xf>
    <xf numFmtId="10" fontId="7" fillId="4" borderId="10" xfId="0" applyNumberFormat="1" applyFont="1" applyFill="1" applyBorder="1" applyAlignment="1">
      <alignment horizontal="center"/>
    </xf>
    <xf numFmtId="10" fontId="2" fillId="3" borderId="4" xfId="1" applyNumberFormat="1" applyFont="1" applyFill="1" applyBorder="1" applyAlignment="1">
      <alignment horizontal="center"/>
    </xf>
    <xf numFmtId="10" fontId="2" fillId="0" borderId="4" xfId="1" applyNumberFormat="1" applyFont="1" applyBorder="1" applyAlignment="1">
      <alignment horizontal="center"/>
    </xf>
    <xf numFmtId="10" fontId="7" fillId="5" borderId="7" xfId="0" applyNumberFormat="1" applyFont="1" applyFill="1" applyBorder="1" applyAlignment="1">
      <alignment horizontal="center"/>
    </xf>
    <xf numFmtId="10" fontId="7" fillId="2" borderId="2" xfId="2" applyNumberFormat="1" applyFont="1" applyFill="1" applyBorder="1" applyAlignment="1">
      <alignment horizontal="center"/>
    </xf>
    <xf numFmtId="10" fontId="2" fillId="0" borderId="0" xfId="2" applyNumberFormat="1" applyFont="1" applyAlignment="1">
      <alignment horizontal="center"/>
    </xf>
    <xf numFmtId="1" fontId="7" fillId="2" borderId="2" xfId="1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9" fillId="0" borderId="1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3" borderId="0" xfId="0" applyFont="1" applyFill="1"/>
    <xf numFmtId="0" fontId="0" fillId="3" borderId="12" xfId="0" applyFont="1" applyFill="1" applyBorder="1"/>
    <xf numFmtId="166" fontId="0" fillId="3" borderId="12" xfId="0" applyNumberFormat="1" applyFont="1" applyFill="1" applyBorder="1"/>
    <xf numFmtId="166" fontId="0" fillId="0" borderId="0" xfId="0" applyNumberFormat="1" applyFont="1"/>
    <xf numFmtId="166" fontId="0" fillId="3" borderId="0" xfId="0" applyNumberFormat="1" applyFont="1" applyFill="1"/>
    <xf numFmtId="0" fontId="10" fillId="0" borderId="0" xfId="0" applyFont="1" applyBorder="1"/>
    <xf numFmtId="0" fontId="0" fillId="3" borderId="0" xfId="0" applyFont="1" applyFill="1" applyBorder="1"/>
    <xf numFmtId="166" fontId="0" fillId="3" borderId="0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3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yyyy\-mm\-dd\ h:mm:ss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1" formatCode="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2" formatCode="0.00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2" formatCode="0.00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2" formatCode="0.00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2" formatCode="0.00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2" formatCode="0.00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165" formatCode="_(* #,##0_);_(* \(#,##0\);_(* &quot;-&quot;??_);_(@_)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name val="Arial"/>
        <family val="2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0" formatCode="General"/>
    </dxf>
    <dxf>
      <font>
        <strike val="0"/>
        <outline val="0"/>
        <shadow val="0"/>
        <vertAlign val="baseline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0" formatCode="General"/>
    </dxf>
    <dxf>
      <font>
        <strike val="0"/>
        <outline val="0"/>
        <shadow val="0"/>
        <vertAlign val="baseline"/>
        <name val="Arial"/>
        <family val="2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0" formatCode="General"/>
    </dxf>
    <dxf>
      <font>
        <strike val="0"/>
        <outline val="0"/>
        <shadow val="0"/>
        <vertAlign val="baseline"/>
        <name val="Arial"/>
        <family val="2"/>
      </font>
      <numFmt numFmtId="3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  <numFmt numFmtId="0" formatCode="General"/>
    </dxf>
    <dxf>
      <font>
        <strike val="0"/>
        <outline val="0"/>
        <shadow val="0"/>
        <vertAlign val="baseline"/>
        <name val="Arial"/>
        <family val="2"/>
      </font>
      <numFmt numFmtId="3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</dxf>
    <dxf>
      <font>
        <strike val="0"/>
        <outline val="0"/>
        <shadow val="0"/>
        <vertAlign val="baseline"/>
        <name val="Arial"/>
        <family val="2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u/>
        <color theme="0"/>
      </font>
      <fill>
        <patternFill>
          <bgColor rgb="FF0295FF"/>
        </patternFill>
      </fill>
      <border>
        <top style="double">
          <color theme="1"/>
        </top>
      </border>
    </dxf>
    <dxf>
      <font>
        <b/>
        <color theme="0"/>
      </font>
      <fill>
        <patternFill patternType="solid">
          <fgColor theme="8"/>
          <bgColor rgb="FF0295FF"/>
        </patternFill>
      </fill>
      <border>
        <bottom style="medium">
          <color theme="1"/>
        </bottom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/>
        <right/>
        <top/>
        <bottom/>
        <vertical/>
        <horizontal/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E2841"/>
        </patternFill>
      </fill>
    </dxf>
    <dxf>
      <font>
        <color theme="1"/>
      </font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8"/>
          <bgColor rgb="FF0E2841"/>
        </patternFill>
      </fill>
      <border>
        <bottom style="medium">
          <color theme="1"/>
        </bottom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3" defaultTableStyle="TableStyleMedium2" defaultPivotStyle="PivotStyleLight16">
    <tableStyle name="TableStyleEldridge" pivot="0" count="7" xr9:uid="{00000000-0011-0000-FFFF-FFFF00000000}">
      <tableStyleElement type="wholeTable" dxfId="307"/>
      <tableStyleElement type="headerRow" dxfId="306"/>
      <tableStyleElement type="totalRow" dxfId="305"/>
      <tableStyleElement type="firstColumn" dxfId="304"/>
      <tableStyleElement type="lastColumn" dxfId="303"/>
      <tableStyleElement type="firstRowStripe" dxfId="302"/>
      <tableStyleElement type="firstColumnStripe" dxfId="301"/>
    </tableStyle>
    <tableStyle name="TableStyleEldridge2" pivot="0" count="9" xr9:uid="{00000000-0011-0000-FFFF-FFFF01000000}">
      <tableStyleElement type="wholeTable" dxfId="300"/>
      <tableStyleElement type="headerRow" dxfId="299"/>
      <tableStyleElement type="totalRow" dxfId="298"/>
      <tableStyleElement type="firstColumn" dxfId="297"/>
      <tableStyleElement type="lastColumn" dxfId="296"/>
      <tableStyleElement type="firstRowStripe" dxfId="295"/>
      <tableStyleElement type="secondRowStripe" dxfId="294"/>
      <tableStyleElement type="firstColumnStripe" dxfId="293"/>
      <tableStyleElement type="secondColumnStripe" dxfId="292"/>
    </tableStyle>
    <tableStyle name="TableStyleEldridge3" pivot="0" count="7" xr9:uid="{00000000-0011-0000-FFFF-FFFF02000000}">
      <tableStyleElement type="wholeTable" dxfId="291"/>
      <tableStyleElement type="headerRow" dxfId="290"/>
      <tableStyleElement type="totalRow" dxfId="289"/>
      <tableStyleElement type="firstColumn" dxfId="288"/>
      <tableStyleElement type="lastColumn" dxfId="287"/>
      <tableStyleElement type="firstRowStripe" dxfId="286"/>
      <tableStyleElement type="firstColumnStripe" dxfId="2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port_manager" displayName="tbl_report_manager" ref="B38:I47" headerRowDxfId="284" dataDxfId="283" totalsRowDxfId="282">
  <autoFilter ref="B38:I47" xr:uid="{00000000-0009-0000-0100-000001000000}"/>
  <tableColumns count="8">
    <tableColumn id="1" xr3:uid="{00000000-0010-0000-0000-000001000000}" name="CLO/ABS Debt" totalsRowLabel="Total" dataDxfId="281" totalsRowDxfId="280"/>
    <tableColumn id="2" xr3:uid="{00000000-0010-0000-0000-000002000000}" name="Current Face" dataDxfId="279" totalsRowDxfId="278" dataCellStyle="Comma">
      <calculatedColumnFormula>IF($C$4="All Portfolios",
   SUMIFS(Positions!$D$2:$D$644,Positions!$O$2:$O$644, tbl_report_manager[[#This Row],[CLO/ABS Debt]]),
   SUMIFS(Positions!$D$2:$D$644, Positions!$M$2:$M$644, $C$4,Positions!$O$2:$O$644, tbl_report_manager[[#This Row],[CLO/ABS Debt]]))</calculatedColumnFormula>
    </tableColumn>
    <tableColumn id="3" xr3:uid="{00000000-0010-0000-0000-000003000000}" name="Market Value" dataDxfId="277" totalsRowDxfId="276" dataCellStyle="Comma">
      <calculatedColumnFormula>IF($C$4="All Portfolios",
   SUMIFS(Positions!$E$2:$E$644,Positions!$O$2:$O$644, tbl_report_manager[[#This Row],[CLO/ABS Debt]]),
   SUMIFS(Positions!$E$2:$E$644, Positions!$M$2:$M$644, $C$4,Positions!$O$2:$O$644, tbl_report_manager[[#This Row],[CLO/ABS Debt]]))</calculatedColumnFormula>
    </tableColumn>
    <tableColumn id="4" xr3:uid="{00000000-0010-0000-0000-000004000000}" name="Current Face %" dataDxfId="275" totalsRowDxfId="274" dataCellStyle="Percent">
      <calculatedColumnFormula>IFERROR(tbl_report_manager[[#This Row],[Current Face]]/$C$37,0)</calculatedColumnFormula>
    </tableColumn>
    <tableColumn id="5" xr3:uid="{00000000-0010-0000-0000-000005000000}" name="Market Value %" dataDxfId="273" totalsRowDxfId="272" dataCellStyle="Percent">
      <calculatedColumnFormula>IFERROR(tbl_report_manager[[#This Row],[Market Value]]/$D$37,0)</calculatedColumnFormula>
    </tableColumn>
    <tableColumn id="6" xr3:uid="{00000000-0010-0000-0000-000006000000}" name="No. of Issuers" dataDxfId="271">
      <calculatedColumnFormula array="1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calculatedColumnFormula>
    </tableColumn>
    <tableColumn id="7" xr3:uid="{00000000-0010-0000-0000-000007000000}" name="No. of Cusips" dataDxfId="270" totalsRowDxfId="269">
      <calculatedColumnFormula array="1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calculatedColumnFormula>
    </tableColumn>
    <tableColumn id="8" xr3:uid="{00000000-0010-0000-0000-000008000000}" name="No. of Positions" totalsRowFunction="sum" dataDxfId="268" totalsRowDxfId="267">
      <calculatedColumnFormula>IF($C$4="All Portfolios",
   COUNTIFS(Positions!$O$2:$O$644, tbl_report_manager[[#This Row],[CLO/ABS Debt]]),
   COUNTIFS(Positions!$M$2:$M$644, $C$4,Positions!$O$2:$O$644, tbl_report_manager[[#This Row],[CLO/ABS Debt]])
)</calculatedColumnFormula>
    </tableColumn>
  </tableColumns>
  <tableStyleInfo name="TableStyleEldridg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port_paydown" displayName="tbl_report_paydown" ref="B52:H53" totalsRowShown="0" headerRowDxfId="266" dataDxfId="265">
  <autoFilter ref="B52:H53" xr:uid="{00000000-0009-0000-0100-000002000000}"/>
  <tableColumns count="7">
    <tableColumn id="1" xr3:uid="{00000000-0010-0000-0100-000001000000}" name="Type" dataDxfId="264"/>
    <tableColumn id="2" xr3:uid="{00000000-0010-0000-0100-000002000000}" name="Issuer" dataDxfId="263"/>
    <tableColumn id="3" xr3:uid="{00000000-0010-0000-0100-000003000000}" name="Security Description" dataDxfId="262"/>
    <tableColumn id="4" xr3:uid="{00000000-0010-0000-0100-000004000000}" name="Cusip" dataDxfId="261"/>
    <tableColumn id="5" xr3:uid="{00000000-0010-0000-0100-000005000000}" name="Settle Date" dataDxfId="260"/>
    <tableColumn id="6" xr3:uid="{00000000-0010-0000-0100-000006000000}" name="Face Value" dataDxfId="259" dataCellStyle="Comma"/>
    <tableColumn id="7" xr3:uid="{00000000-0010-0000-0100-000007000000}" name="Tranche Rating" dataDxfId="258"/>
  </tableColumns>
  <tableStyleInfo name="TableStyleEldridg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port_sale" displayName="tbl_report_sale" ref="B59:J60" totalsRowShown="0" headerRowDxfId="257">
  <autoFilter ref="B59:J60" xr:uid="{00000000-0009-0000-0100-000003000000}"/>
  <tableColumns count="9">
    <tableColumn id="1" xr3:uid="{00000000-0010-0000-0200-000001000000}" name="Issuer" dataDxfId="256"/>
    <tableColumn id="2" xr3:uid="{00000000-0010-0000-0200-000002000000}" name="Security Description" dataDxfId="255"/>
    <tableColumn id="3" xr3:uid="{00000000-0010-0000-0200-000003000000}" name="Cusip" dataDxfId="254"/>
    <tableColumn id="4" xr3:uid="{00000000-0010-0000-0200-000004000000}" name="Trade Date" dataDxfId="253"/>
    <tableColumn id="5" xr3:uid="{00000000-0010-0000-0200-000005000000}" name="Settle Date" dataDxfId="252"/>
    <tableColumn id="6" xr3:uid="{00000000-0010-0000-0200-000006000000}" name="Face Value" dataDxfId="251" dataCellStyle="Comma"/>
    <tableColumn id="7" xr3:uid="{00000000-0010-0000-0200-000007000000}" name="Sale Price" dataDxfId="250"/>
    <tableColumn id="8" xr3:uid="{00000000-0010-0000-0200-000008000000}" name="Maturity Date" dataDxfId="249"/>
    <tableColumn id="9" xr3:uid="{00000000-0010-0000-0200-000009000000}" name="Tranche Rating" dataDxfId="248"/>
  </tableColumns>
  <tableStyleInfo name="TableStyleEldridg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report_purchase" displayName="tbl_report_purchase" ref="B67:J68" totalsRowShown="0" headerRowDxfId="247">
  <autoFilter ref="B67:J68" xr:uid="{00000000-0009-0000-0100-000004000000}"/>
  <tableColumns count="9">
    <tableColumn id="1" xr3:uid="{00000000-0010-0000-0300-000001000000}" name="Issuer" dataDxfId="246"/>
    <tableColumn id="2" xr3:uid="{00000000-0010-0000-0300-000002000000}" name="Security Description" dataDxfId="245"/>
    <tableColumn id="3" xr3:uid="{00000000-0010-0000-0300-000003000000}" name="Cusip" dataDxfId="244"/>
    <tableColumn id="4" xr3:uid="{00000000-0010-0000-0300-000004000000}" name="Trade Date" dataDxfId="243"/>
    <tableColumn id="5" xr3:uid="{00000000-0010-0000-0300-000005000000}" name="Settle Date" dataDxfId="242"/>
    <tableColumn id="6" xr3:uid="{00000000-0010-0000-0300-000006000000}" name="Face Value" dataDxfId="241" dataCellStyle="Comma"/>
    <tableColumn id="7" xr3:uid="{00000000-0010-0000-0300-000007000000}" name="Purchase Price" dataDxfId="240"/>
    <tableColumn id="8" xr3:uid="{00000000-0010-0000-0300-000008000000}" name="Maturity Date" dataDxfId="239"/>
    <tableColumn id="9" xr3:uid="{00000000-0010-0000-0300-000009000000}" name="Tranche Rating" dataDxfId="238"/>
  </tableColumns>
  <tableStyleInfo name="TableStyleEldridg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hold_aaa" displayName="tbl_hold_aaa" ref="B75:S76" totalsRowShown="0" headerRowDxfId="237" dataDxfId="236">
  <autoFilter ref="B75:S76" xr:uid="{00000000-0009-0000-0100-000005000000}"/>
  <tableColumns count="18">
    <tableColumn id="1" xr3:uid="{00000000-0010-0000-0400-000001000000}" name="Cusip" dataDxfId="235"/>
    <tableColumn id="2" xr3:uid="{00000000-0010-0000-0400-000002000000}" name="Issuer" dataDxfId="234"/>
    <tableColumn id="3" xr3:uid="{00000000-0010-0000-0400-000003000000}" name="Security Description" dataDxfId="233"/>
    <tableColumn id="4" xr3:uid="{00000000-0010-0000-0400-000004000000}" name="Issue Date" dataDxfId="232"/>
    <tableColumn id="5" xr3:uid="{00000000-0010-0000-0400-000005000000}" name="Maturity Date" dataDxfId="231"/>
    <tableColumn id="6" xr3:uid="{00000000-0010-0000-0400-000006000000}" name="Coupon" dataDxfId="230"/>
    <tableColumn id="7" xr3:uid="{00000000-0010-0000-0400-000007000000}" name="Spread" dataDxfId="229"/>
    <tableColumn id="8" xr3:uid="{00000000-0010-0000-0400-000008000000}" name="Current Face" dataDxfId="228" dataCellStyle="Comma"/>
    <tableColumn id="9" xr3:uid="{00000000-0010-0000-0400-000009000000}" name="Factor" dataDxfId="227"/>
    <tableColumn id="10" xr3:uid="{00000000-0010-0000-0400-00000A000000}" name="Market Price" dataDxfId="226"/>
    <tableColumn id="11" xr3:uid="{00000000-0010-0000-0400-00000B000000}" name="Market Value" dataDxfId="225" dataCellStyle="Comma"/>
    <tableColumn id="12" xr3:uid="{00000000-0010-0000-0400-00000C000000}" name="NRSRO" dataDxfId="224"/>
    <tableColumn id="13" xr3:uid="{00000000-0010-0000-0400-00000D000000}" name="NRSRO Rating" dataDxfId="223"/>
    <tableColumn id="14" xr3:uid="{00000000-0010-0000-0400-00000E000000}" name="WAL" dataDxfId="222"/>
    <tableColumn id="15" xr3:uid="{00000000-0010-0000-0400-00000F000000}" name="Par Sub" dataDxfId="221" dataCellStyle="Percent"/>
    <tableColumn id="16" xr3:uid="{00000000-0010-0000-0400-000010000000}" name="Implied DM" dataDxfId="220"/>
    <tableColumn id="17" xr3:uid="{00000000-0010-0000-0400-000011000000}" name="Next Payment Date" dataDxfId="219"/>
    <tableColumn id="18" xr3:uid="{00000000-0010-0000-0400-000012000000}" name="Non-Call Date" dataDxfId="218"/>
  </tableColumns>
  <tableStyleInfo name="TableStyleEldridge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hold_aa" displayName="tbl_hold_aa" ref="B83:S86" totalsRowShown="0" headerRowDxfId="217" dataDxfId="216">
  <autoFilter ref="B83:S86" xr:uid="{00000000-0009-0000-0100-000006000000}"/>
  <tableColumns count="18">
    <tableColumn id="1" xr3:uid="{00000000-0010-0000-0500-000001000000}" name="Cusip" dataDxfId="215"/>
    <tableColumn id="2" xr3:uid="{00000000-0010-0000-0500-000002000000}" name="Issuer" dataDxfId="214"/>
    <tableColumn id="3" xr3:uid="{00000000-0010-0000-0500-000003000000}" name="Security Description" dataDxfId="213"/>
    <tableColumn id="4" xr3:uid="{00000000-0010-0000-0500-000004000000}" name="Issue Date" dataDxfId="212"/>
    <tableColumn id="5" xr3:uid="{00000000-0010-0000-0500-000005000000}" name="Maturity Date" dataDxfId="211"/>
    <tableColumn id="6" xr3:uid="{00000000-0010-0000-0500-000006000000}" name="Coupon" dataDxfId="210"/>
    <tableColumn id="7" xr3:uid="{00000000-0010-0000-0500-000007000000}" name="Spread" dataDxfId="209"/>
    <tableColumn id="8" xr3:uid="{00000000-0010-0000-0500-000008000000}" name="Current Face" dataDxfId="208"/>
    <tableColumn id="9" xr3:uid="{00000000-0010-0000-0500-000009000000}" name="Factor" dataDxfId="207"/>
    <tableColumn id="10" xr3:uid="{00000000-0010-0000-0500-00000A000000}" name="Market Price" dataDxfId="206"/>
    <tableColumn id="11" xr3:uid="{00000000-0010-0000-0500-00000B000000}" name="Market Value" dataDxfId="205"/>
    <tableColumn id="12" xr3:uid="{00000000-0010-0000-0500-00000C000000}" name="NRSRO" dataDxfId="204"/>
    <tableColumn id="13" xr3:uid="{00000000-0010-0000-0500-00000D000000}" name="NRSRO Rating" dataDxfId="203"/>
    <tableColumn id="14" xr3:uid="{00000000-0010-0000-0500-00000E000000}" name="WAL" dataDxfId="202"/>
    <tableColumn id="15" xr3:uid="{00000000-0010-0000-0500-00000F000000}" name="Par Sub" dataDxfId="201"/>
    <tableColumn id="16" xr3:uid="{00000000-0010-0000-0500-000010000000}" name="Implied DM" dataDxfId="200"/>
    <tableColumn id="17" xr3:uid="{00000000-0010-0000-0500-000011000000}" name="Next Payment Date" dataDxfId="199"/>
    <tableColumn id="18" xr3:uid="{00000000-0010-0000-0500-000012000000}" name="Non-Call Date" dataDxfId="198"/>
  </tableColumns>
  <tableStyleInfo name="TableStyleEldridge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hold_a" displayName="tbl_hold_a" ref="B93:S95" headerRowDxfId="197" dataDxfId="196" totalsRowDxfId="195">
  <autoFilter ref="B93:S95" xr:uid="{00000000-0009-0000-0100-000007000000}"/>
  <tableColumns count="18">
    <tableColumn id="1" xr3:uid="{00000000-0010-0000-0600-000001000000}" name="Cusip" totalsRowLabel="Total" dataDxfId="194" totalsRowDxfId="193"/>
    <tableColumn id="2" xr3:uid="{00000000-0010-0000-0600-000002000000}" name="Issuer" dataDxfId="192" totalsRowDxfId="191"/>
    <tableColumn id="3" xr3:uid="{00000000-0010-0000-0600-000003000000}" name="Security Description" dataDxfId="190" totalsRowDxfId="189"/>
    <tableColumn id="4" xr3:uid="{00000000-0010-0000-0600-000004000000}" name="Issue Date" dataDxfId="188" totalsRowDxfId="187"/>
    <tableColumn id="5" xr3:uid="{00000000-0010-0000-0600-000005000000}" name="Maturity Date" dataDxfId="186" totalsRowDxfId="185"/>
    <tableColumn id="6" xr3:uid="{00000000-0010-0000-0600-000006000000}" name="Coupon" dataDxfId="184" totalsRowDxfId="183"/>
    <tableColumn id="7" xr3:uid="{00000000-0010-0000-0600-000007000000}" name="Spread" dataDxfId="182" totalsRowDxfId="181"/>
    <tableColumn id="8" xr3:uid="{00000000-0010-0000-0600-000008000000}" name="Current Face" dataDxfId="180" totalsRowDxfId="179" dataCellStyle="Comma"/>
    <tableColumn id="9" xr3:uid="{00000000-0010-0000-0600-000009000000}" name="Factor" dataDxfId="178" totalsRowDxfId="177"/>
    <tableColumn id="10" xr3:uid="{00000000-0010-0000-0600-00000A000000}" name="Market Price" dataDxfId="176" totalsRowDxfId="175"/>
    <tableColumn id="11" xr3:uid="{00000000-0010-0000-0600-00000B000000}" name="Market Value" dataDxfId="174" totalsRowDxfId="173" dataCellStyle="Comma"/>
    <tableColumn id="12" xr3:uid="{00000000-0010-0000-0600-00000C000000}" name="NRSRO" dataDxfId="172" totalsRowDxfId="171"/>
    <tableColumn id="13" xr3:uid="{00000000-0010-0000-0600-00000D000000}" name="NRSRO Rating" dataDxfId="170" totalsRowDxfId="169"/>
    <tableColumn id="14" xr3:uid="{00000000-0010-0000-0600-00000E000000}" name="WAL" dataDxfId="168" totalsRowDxfId="167"/>
    <tableColumn id="15" xr3:uid="{00000000-0010-0000-0600-00000F000000}" name="Par Sub" dataDxfId="166" totalsRowDxfId="165" dataCellStyle="Percent"/>
    <tableColumn id="16" xr3:uid="{00000000-0010-0000-0600-000010000000}" name="Implied DM" dataDxfId="164" totalsRowDxfId="163"/>
    <tableColumn id="17" xr3:uid="{00000000-0010-0000-0600-000011000000}" name="Next Payment Date" dataDxfId="162" totalsRowDxfId="161"/>
    <tableColumn id="18" xr3:uid="{00000000-0010-0000-0600-000012000000}" name="Non-Call Date" totalsRowFunction="sum" dataDxfId="160" totalsRowDxfId="159"/>
  </tableColumns>
  <tableStyleInfo name="TableStyleEldridge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hold_bbb" displayName="tbl_hold_bbb" ref="B102:S103" totalsRowShown="0" headerRowDxfId="158" dataDxfId="157">
  <autoFilter ref="B102:S103" xr:uid="{00000000-0009-0000-0100-000008000000}"/>
  <tableColumns count="18">
    <tableColumn id="1" xr3:uid="{00000000-0010-0000-0700-000001000000}" name="Cusip" dataDxfId="156"/>
    <tableColumn id="2" xr3:uid="{00000000-0010-0000-0700-000002000000}" name="Issuer" dataDxfId="155"/>
    <tableColumn id="3" xr3:uid="{00000000-0010-0000-0700-000003000000}" name="Security Description" dataDxfId="154"/>
    <tableColumn id="4" xr3:uid="{00000000-0010-0000-0700-000004000000}" name="Issue Date" dataDxfId="153"/>
    <tableColumn id="5" xr3:uid="{00000000-0010-0000-0700-000005000000}" name="Maturity Date" dataDxfId="152"/>
    <tableColumn id="6" xr3:uid="{00000000-0010-0000-0700-000006000000}" name="Coupon" dataDxfId="151"/>
    <tableColumn id="7" xr3:uid="{00000000-0010-0000-0700-000007000000}" name="Spread" dataDxfId="150"/>
    <tableColumn id="8" xr3:uid="{00000000-0010-0000-0700-000008000000}" name="Current Face" dataDxfId="149" dataCellStyle="Comma"/>
    <tableColumn id="9" xr3:uid="{00000000-0010-0000-0700-000009000000}" name="Factor" dataDxfId="148"/>
    <tableColumn id="10" xr3:uid="{00000000-0010-0000-0700-00000A000000}" name="Market Price" dataDxfId="147"/>
    <tableColumn id="11" xr3:uid="{00000000-0010-0000-0700-00000B000000}" name="Market Value" dataDxfId="146" dataCellStyle="Comma"/>
    <tableColumn id="12" xr3:uid="{00000000-0010-0000-0700-00000C000000}" name="NRSRO" dataDxfId="145"/>
    <tableColumn id="13" xr3:uid="{00000000-0010-0000-0700-00000D000000}" name="NRSRO Rating" dataDxfId="144"/>
    <tableColumn id="14" xr3:uid="{00000000-0010-0000-0700-00000E000000}" name="WAL" dataDxfId="143"/>
    <tableColumn id="15" xr3:uid="{00000000-0010-0000-0700-00000F000000}" name="Par Sub" dataDxfId="142" dataCellStyle="Percent"/>
    <tableColumn id="16" xr3:uid="{00000000-0010-0000-0700-000010000000}" name="Implied DM" dataDxfId="141"/>
    <tableColumn id="17" xr3:uid="{00000000-0010-0000-0700-000011000000}" name="Next Payment Date" dataDxfId="140"/>
    <tableColumn id="18" xr3:uid="{00000000-0010-0000-0700-000012000000}" name="Non-Call Date" dataDxfId="139"/>
  </tableColumns>
  <tableStyleInfo name="TableStyleEldridge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hold_bb" displayName="tbl_hold_bb" ref="B110:S111" totalsRowShown="0" headerRowDxfId="138" dataDxfId="137">
  <autoFilter ref="B110:S111" xr:uid="{00000000-0009-0000-0100-000009000000}"/>
  <tableColumns count="18">
    <tableColumn id="1" xr3:uid="{00000000-0010-0000-0800-000001000000}" name="Cusip" dataDxfId="136"/>
    <tableColumn id="2" xr3:uid="{00000000-0010-0000-0800-000002000000}" name="Issuer" dataDxfId="135"/>
    <tableColumn id="3" xr3:uid="{00000000-0010-0000-0800-000003000000}" name="Security Description" dataDxfId="134"/>
    <tableColumn id="4" xr3:uid="{00000000-0010-0000-0800-000004000000}" name="Issue Date" dataDxfId="133"/>
    <tableColumn id="5" xr3:uid="{00000000-0010-0000-0800-000005000000}" name="Maturity Date" dataDxfId="132"/>
    <tableColumn id="6" xr3:uid="{00000000-0010-0000-0800-000006000000}" name="Coupon" dataDxfId="131"/>
    <tableColumn id="7" xr3:uid="{00000000-0010-0000-0800-000007000000}" name="Spread" dataDxfId="130"/>
    <tableColumn id="8" xr3:uid="{00000000-0010-0000-0800-000008000000}" name="Current Face" dataDxfId="129" dataCellStyle="Comma"/>
    <tableColumn id="9" xr3:uid="{00000000-0010-0000-0800-000009000000}" name="Factor" dataDxfId="128"/>
    <tableColumn id="10" xr3:uid="{00000000-0010-0000-0800-00000A000000}" name="Market Price" dataDxfId="127"/>
    <tableColumn id="11" xr3:uid="{00000000-0010-0000-0800-00000B000000}" name="Market Value" dataDxfId="126" dataCellStyle="Comma"/>
    <tableColumn id="12" xr3:uid="{00000000-0010-0000-0800-00000C000000}" name="NRSRO" dataDxfId="125"/>
    <tableColumn id="13" xr3:uid="{00000000-0010-0000-0800-00000D000000}" name="NRSRO Rating" dataDxfId="124"/>
    <tableColumn id="14" xr3:uid="{00000000-0010-0000-0800-00000E000000}" name="WAL" dataDxfId="123"/>
    <tableColumn id="15" xr3:uid="{00000000-0010-0000-0800-00000F000000}" name="Par Sub" dataDxfId="122" dataCellStyle="Percent"/>
    <tableColumn id="16" xr3:uid="{00000000-0010-0000-0800-000010000000}" name="Implied DM" dataDxfId="121"/>
    <tableColumn id="17" xr3:uid="{00000000-0010-0000-0800-000011000000}" name="Next Payment Date" dataDxfId="120"/>
    <tableColumn id="18" xr3:uid="{00000000-0010-0000-0800-000012000000}" name="Non-Call Date" dataDxfId="119"/>
  </tableColumns>
  <tableStyleInfo name="TableStyleEldridge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hold_b" displayName="tbl_hold_b" ref="B118:S121" totalsRowShown="0" headerRowDxfId="118" dataDxfId="117">
  <autoFilter ref="B118:S121" xr:uid="{00000000-0009-0000-0100-00000A000000}"/>
  <tableColumns count="18">
    <tableColumn id="1" xr3:uid="{00000000-0010-0000-0900-000001000000}" name="Cusip" dataDxfId="116"/>
    <tableColumn id="2" xr3:uid="{00000000-0010-0000-0900-000002000000}" name="Issuer" dataDxfId="115"/>
    <tableColumn id="3" xr3:uid="{00000000-0010-0000-0900-000003000000}" name="Security Description" dataDxfId="114"/>
    <tableColumn id="4" xr3:uid="{00000000-0010-0000-0900-000004000000}" name="Issue Date" dataDxfId="113"/>
    <tableColumn id="5" xr3:uid="{00000000-0010-0000-0900-000005000000}" name="Maturity Date" dataDxfId="112"/>
    <tableColumn id="6" xr3:uid="{00000000-0010-0000-0900-000006000000}" name="Coupon" dataDxfId="111"/>
    <tableColumn id="7" xr3:uid="{00000000-0010-0000-0900-000007000000}" name="Spread" dataDxfId="110"/>
    <tableColumn id="8" xr3:uid="{00000000-0010-0000-0900-000008000000}" name="Current Face" dataDxfId="109" dataCellStyle="Comma"/>
    <tableColumn id="9" xr3:uid="{00000000-0010-0000-0900-000009000000}" name="Factor" dataDxfId="108"/>
    <tableColumn id="10" xr3:uid="{00000000-0010-0000-0900-00000A000000}" name="Market Price" dataDxfId="107"/>
    <tableColumn id="11" xr3:uid="{00000000-0010-0000-0900-00000B000000}" name="Market Value" dataDxfId="106" dataCellStyle="Comma"/>
    <tableColumn id="12" xr3:uid="{00000000-0010-0000-0900-00000C000000}" name="NRSRO" dataDxfId="105"/>
    <tableColumn id="13" xr3:uid="{00000000-0010-0000-0900-00000D000000}" name="NRSRO Rating" dataDxfId="104"/>
    <tableColumn id="14" xr3:uid="{00000000-0010-0000-0900-00000E000000}" name="WAL" dataDxfId="103"/>
    <tableColumn id="15" xr3:uid="{00000000-0010-0000-0900-00000F000000}" name="Par Sub" dataDxfId="102" dataCellStyle="Percent"/>
    <tableColumn id="16" xr3:uid="{00000000-0010-0000-0900-000010000000}" name="Implied DM" dataDxfId="101"/>
    <tableColumn id="17" xr3:uid="{00000000-0010-0000-0900-000011000000}" name="Next Payment Date" dataDxfId="100"/>
    <tableColumn id="18" xr3:uid="{00000000-0010-0000-0900-000012000000}" name="Non-Call Date" dataDxfId="99"/>
  </tableColumns>
  <tableStyleInfo name="TableStyleEldridge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B9:C18" totalsRowShown="0" headerRowDxfId="98" dataDxfId="97">
  <autoFilter ref="B9:C18" xr:uid="{00000000-0009-0000-0100-00000B000000}"/>
  <tableColumns count="2">
    <tableColumn id="1" xr3:uid="{00000000-0010-0000-0A00-000001000000}" name="Analytics" dataDxfId="96"/>
    <tableColumn id="2" xr3:uid="{00000000-0010-0000-0A00-000002000000}" name="CLO/ABS Debt" dataDxfId="95"/>
  </tableColumns>
  <tableStyleInfo name="TableStyleEldridge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3" displayName="Table13" ref="E9:G18" totalsRowCount="1" headerRowDxfId="94" dataDxfId="93" totalsRowDxfId="92">
  <autoFilter ref="E9:G17" xr:uid="{00000000-0009-0000-0100-00000C000000}"/>
  <tableColumns count="3">
    <tableColumn id="1" xr3:uid="{00000000-0010-0000-0B00-000001000000}" name="Tranche Rating" totalsRowLabel="Total" dataDxfId="91" totalsRowDxfId="90"/>
    <tableColumn id="2" xr3:uid="{00000000-0010-0000-0B00-000002000000}" name="Portfolio % CF" totalsRowFunction="sum" dataDxfId="89" totalsRowDxfId="88" dataCellStyle="Percent">
      <calculatedColumnFormula>IFERROR(IF($C$4="All Portfolios",
   SUMIFS(Positions!$D$2:$D$644,Positions!$Q$2:$Q$644,Table13[[#This Row],[Tranche Rating]])/$C$10,
   SUMIFS(Positions!$D$2:$D$644,Positions!$Q$2:$Q$644,Table13[[#This Row],[Tranche Rating]],Positions!$M$2:$M$644,$C$4)/$C$10),0)</calculatedColumnFormula>
    </tableColumn>
    <tableColumn id="3" xr3:uid="{00000000-0010-0000-0B00-000003000000}" name="Portfolio % MV" totalsRowFunction="sum" dataDxfId="87" totalsRowDxfId="86" dataCellStyle="Percent">
      <calculatedColumnFormula>IFERROR(IF($C$4="All Portfolios",
   SUMIFS(Positions!$E$2:$E$644,Positions!$Q$2:$Q$644,Table13[[#This Row],[Tranche Rating]])/$C$11,
   SUMIFS(Positions!$E$2:$E$644,Positions!$Q$2:$Q$644,Table13[[#This Row],[Tranche Rating]],Positions!$M$2:$M$644,$C$4)/$C$11),0)</calculatedColumnFormula>
    </tableColumn>
  </tableColumns>
  <tableStyleInfo name="TableStyleEldridge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4" displayName="Table14" ref="I9:K17" totalsRowCount="1" headerRowDxfId="85" dataDxfId="84" totalsRowDxfId="83">
  <autoFilter ref="I9:K16" xr:uid="{00000000-0009-0000-0100-00000D000000}"/>
  <tableColumns count="3">
    <tableColumn id="1" xr3:uid="{00000000-0010-0000-0C00-000001000000}" name="WAL" totalsRowLabel="Total" dataDxfId="82" totalsRowDxfId="81"/>
    <tableColumn id="2" xr3:uid="{00000000-0010-0000-0C00-000002000000}" name="Portfolio % CF" totalsRowFunction="sum" dataDxfId="80" totalsRowDxfId="79" dataCellStyle="Percent">
      <calculatedColumnFormula>IFERROR(IF($C$4="All Portfolios",
   SUMIFS(Positions!$D$2:$D$644,Positions!$R$2:$R$644,Table14[[#This Row],[WAL]])/$C$10,
   SUMIFS(Positions!$D$2:$D$644,Positions!$R$2:$R$644,Table14[[#This Row],[WAL]],Positions!$M$2:$M$644,$C$4)/$C$10),0)</calculatedColumnFormula>
    </tableColumn>
    <tableColumn id="3" xr3:uid="{00000000-0010-0000-0C00-000003000000}" name="Portfolio % MV" totalsRowFunction="sum" dataDxfId="78" totalsRowDxfId="77" dataCellStyle="Percent">
      <calculatedColumnFormula>IFERROR(IF($C$4="All Portfolios",
   SUMIFS(Positions!$E$2:$E$644,Positions!$R$2:$R$644,Table14[[#This Row],[WAL]])/$C$11,
   SUMIFS(Positions!$E$2:$E$644,Positions!$R$2:$R$644,Table14[[#This Row],[WAL]],Positions!$M$2:$M$644,$C$4)/$C$11),0)</calculatedColumnFormula>
    </tableColumn>
  </tableColumns>
  <tableStyleInfo name="TableStyleEldridge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5" displayName="Table15" ref="M9:O16" totalsRowCount="1" headerRowDxfId="76" dataDxfId="75" totalsRowDxfId="74">
  <autoFilter ref="M9:O15" xr:uid="{00000000-0009-0000-0100-00000E000000}"/>
  <tableColumns count="3">
    <tableColumn id="1" xr3:uid="{00000000-0010-0000-0D00-000001000000}" name="Coupon" totalsRowLabel="Total" dataDxfId="73" totalsRowDxfId="72"/>
    <tableColumn id="2" xr3:uid="{00000000-0010-0000-0D00-000002000000}" name="Portfolio % CF" totalsRowFunction="sum" dataDxfId="71" totalsRowDxfId="70" dataCellStyle="Percent">
      <calculatedColumnFormula>IFERROR(IF($C$4="All Portfolios",
   SUMIFS(Positions!$D$2:$D$644,Positions!$S$2:$S$644,Table15[[#This Row],[Coupon]])/$C$10,
   SUMIFS(Positions!$D$2:$D$644,Positions!$S$2:$S$644,Table15[[#This Row],[Coupon]],Positions!$M$2:$M$644,$C$4)/$C$10),0)</calculatedColumnFormula>
    </tableColumn>
    <tableColumn id="3" xr3:uid="{00000000-0010-0000-0D00-000003000000}" name="Portfolio % MV" totalsRowFunction="sum" dataDxfId="69" totalsRowDxfId="68" dataCellStyle="Percent">
      <calculatedColumnFormula>IFERROR(IF($C$4="All Portfolios",
   SUMIFS(Positions!$E$2:$E$644,Positions!$S$2:$S$644,Table15[[#This Row],[Coupon]])/$C$11,
   SUMIFS(Positions!$E$2:$E$644,Positions!$S$2:$S$644,Table15[[#This Row],[Coupon]],Positions!$M$2:$M$644,$C$4)/$C$11),0)</calculatedColumnFormula>
    </tableColumn>
  </tableColumns>
  <tableStyleInfo name="TableStyleEldridge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hold_ccc" displayName="tbl_hold_ccc" ref="B128:S129" totalsRowShown="0" headerRowDxfId="67" dataDxfId="66">
  <autoFilter ref="B128:S129" xr:uid="{00000000-0009-0000-0100-00000F000000}"/>
  <tableColumns count="18">
    <tableColumn id="1" xr3:uid="{00000000-0010-0000-0E00-000001000000}" name="Cusip" dataDxfId="65"/>
    <tableColumn id="2" xr3:uid="{00000000-0010-0000-0E00-000002000000}" name="Issuer" dataDxfId="64"/>
    <tableColumn id="3" xr3:uid="{00000000-0010-0000-0E00-000003000000}" name="Security Description" dataDxfId="63"/>
    <tableColumn id="4" xr3:uid="{00000000-0010-0000-0E00-000004000000}" name="Issue Date" dataDxfId="62"/>
    <tableColumn id="5" xr3:uid="{00000000-0010-0000-0E00-000005000000}" name="Maturity Date" dataDxfId="61"/>
    <tableColumn id="6" xr3:uid="{00000000-0010-0000-0E00-000006000000}" name="Coupon" dataDxfId="60"/>
    <tableColumn id="7" xr3:uid="{00000000-0010-0000-0E00-000007000000}" name="Spread" dataDxfId="59"/>
    <tableColumn id="8" xr3:uid="{00000000-0010-0000-0E00-000008000000}" name="Current Face" dataDxfId="58" dataCellStyle="Comma"/>
    <tableColumn id="9" xr3:uid="{00000000-0010-0000-0E00-000009000000}" name="Factor" dataDxfId="57"/>
    <tableColumn id="10" xr3:uid="{00000000-0010-0000-0E00-00000A000000}" name="Market Price" dataDxfId="56"/>
    <tableColumn id="11" xr3:uid="{00000000-0010-0000-0E00-00000B000000}" name="Market Value" dataDxfId="55" dataCellStyle="Comma"/>
    <tableColumn id="12" xr3:uid="{00000000-0010-0000-0E00-00000C000000}" name="NRSRO" dataDxfId="54"/>
    <tableColumn id="13" xr3:uid="{00000000-0010-0000-0E00-00000D000000}" name="NRSRO Rating" dataDxfId="53"/>
    <tableColumn id="14" xr3:uid="{00000000-0010-0000-0E00-00000E000000}" name="WAL" dataDxfId="52"/>
    <tableColumn id="15" xr3:uid="{00000000-0010-0000-0E00-00000F000000}" name="Par Sub" dataDxfId="51" dataCellStyle="Percent"/>
    <tableColumn id="16" xr3:uid="{00000000-0010-0000-0E00-000010000000}" name="Implied DM" dataDxfId="50"/>
    <tableColumn id="17" xr3:uid="{00000000-0010-0000-0E00-000011000000}" name="Next Payment Date" dataDxfId="49"/>
    <tableColumn id="18" xr3:uid="{00000000-0010-0000-0E00-000012000000}" name="Non-Call Date" dataDxfId="48"/>
  </tableColumns>
  <tableStyleInfo name="TableStyleEldridge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hold_nr" displayName="tbl_hold_nr" ref="B136:S137" totalsRowShown="0" headerRowDxfId="47" dataDxfId="46">
  <autoFilter ref="B136:S137" xr:uid="{00000000-0009-0000-0100-000010000000}"/>
  <tableColumns count="18">
    <tableColumn id="1" xr3:uid="{00000000-0010-0000-0F00-000001000000}" name="Cusip" dataDxfId="45"/>
    <tableColumn id="2" xr3:uid="{00000000-0010-0000-0F00-000002000000}" name="Issuer" dataDxfId="44"/>
    <tableColumn id="3" xr3:uid="{00000000-0010-0000-0F00-000003000000}" name="Security Description" dataDxfId="43"/>
    <tableColumn id="4" xr3:uid="{00000000-0010-0000-0F00-000004000000}" name="Issue Date" dataDxfId="42"/>
    <tableColumn id="5" xr3:uid="{00000000-0010-0000-0F00-000005000000}" name="Maturity Date" dataDxfId="41"/>
    <tableColumn id="6" xr3:uid="{00000000-0010-0000-0F00-000006000000}" name="Coupon" dataDxfId="40"/>
    <tableColumn id="7" xr3:uid="{00000000-0010-0000-0F00-000007000000}" name="Spread" dataDxfId="39"/>
    <tableColumn id="8" xr3:uid="{00000000-0010-0000-0F00-000008000000}" name="Current Face" dataDxfId="38" dataCellStyle="Comma"/>
    <tableColumn id="9" xr3:uid="{00000000-0010-0000-0F00-000009000000}" name="Factor" dataDxfId="37"/>
    <tableColumn id="10" xr3:uid="{00000000-0010-0000-0F00-00000A000000}" name="Market Price" dataDxfId="36"/>
    <tableColumn id="11" xr3:uid="{00000000-0010-0000-0F00-00000B000000}" name="Market Value" dataDxfId="35" dataCellStyle="Comma"/>
    <tableColumn id="12" xr3:uid="{00000000-0010-0000-0F00-00000C000000}" name="NRSRO" dataDxfId="34"/>
    <tableColumn id="13" xr3:uid="{00000000-0010-0000-0F00-00000D000000}" name="NRSRO Rating" dataDxfId="33"/>
    <tableColumn id="14" xr3:uid="{00000000-0010-0000-0F00-00000E000000}" name="WAL" dataDxfId="32"/>
    <tableColumn id="15" xr3:uid="{00000000-0010-0000-0F00-00000F000000}" name="Par Sub" dataDxfId="31" dataCellStyle="Percent"/>
    <tableColumn id="16" xr3:uid="{00000000-0010-0000-0F00-000010000000}" name="Implied DM" dataDxfId="30"/>
    <tableColumn id="17" xr3:uid="{00000000-0010-0000-0F00-000011000000}" name="Next Payment Date" dataDxfId="29"/>
    <tableColumn id="18" xr3:uid="{00000000-0010-0000-0F00-000012000000}" name="Non-Call Date" dataDxfId="28"/>
  </tableColumns>
  <tableStyleInfo name="TableStyleEldridge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awtran" displayName="tbl_rawtran" ref="A1:L130" totalsRowShown="0" headerRowDxfId="27" headerRowBorderDxfId="26" tableBorderDxfId="25">
  <tableColumns count="12">
    <tableColumn id="1" xr3:uid="{00000000-0010-0000-1000-000001000000}" name="Portfolio"/>
    <tableColumn id="3" xr3:uid="{00000000-0010-0000-1000-000003000000}" name="Security ID"/>
    <tableColumn id="4" xr3:uid="{00000000-0010-0000-1000-000004000000}" name="Security Description"/>
    <tableColumn id="5" xr3:uid="{00000000-0010-0000-1000-000005000000}" name="Trade Date" dataDxfId="24"/>
    <tableColumn id="6" xr3:uid="{00000000-0010-0000-1000-000006000000}" name="Settle Date" dataDxfId="23"/>
    <tableColumn id="7" xr3:uid="{00000000-0010-0000-1000-000007000000}" name="Maturity Date" dataDxfId="22"/>
    <tableColumn id="8" xr3:uid="{00000000-0010-0000-1000-000008000000}" name="Quantity"/>
    <tableColumn id="9" xr3:uid="{00000000-0010-0000-1000-000009000000}" name="Price"/>
    <tableColumn id="10" xr3:uid="{00000000-0010-0000-1000-00000A000000}" name="Cost Proceeds"/>
    <tableColumn id="11" xr3:uid="{00000000-0010-0000-1000-00000B000000}" name="Coupon Rate"/>
    <tableColumn id="12" xr3:uid="{00000000-0010-0000-1000-00000C000000}" name="Portfolio_Name"/>
    <tableColumn id="2" xr3:uid="{00000000-0010-0000-1000-000002000000}" name="Type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8C9144-5168-489A-B4C5-8E14FBC64E8B}" name="tbl_rawhold" displayName="tbl_rawhold" ref="A1:S644" totalsRowShown="0" headerRowDxfId="21" dataDxfId="20" tableBorderDxfId="19">
  <tableColumns count="19">
    <tableColumn id="1" xr3:uid="{55FCBEB5-6900-4A67-BD6C-5A9D896E1F5B}" name="Portfolio Code" dataDxfId="18"/>
    <tableColumn id="2" xr3:uid="{B1CF8769-6374-435A-B341-04B6530C6DC0}" name="Investment Type" dataDxfId="17"/>
    <tableColumn id="3" xr3:uid="{A07ABB32-648E-4DC0-8A63-C5E80A371954}" name="CUSIP" dataDxfId="16"/>
    <tableColumn id="4" xr3:uid="{556E6DBB-32B8-496E-8193-535B4BC44D5E}" name="Current Face" dataDxfId="15"/>
    <tableColumn id="5" xr3:uid="{C5524FEB-E9AD-41AF-A7A9-675F9F7B6BB8}" name="BASEMarket Value" dataDxfId="14"/>
    <tableColumn id="6" xr3:uid="{C29BC4EB-05CE-4504-AC69-A931E39C1175}" name="BASEOriginal Cost" dataDxfId="13"/>
    <tableColumn id="7" xr3:uid="{3E560A71-647E-40B5-B1F1-22ADC8BA51E3}" name="Issuer Name" dataDxfId="12"/>
    <tableColumn id="8" xr3:uid="{8126FEFE-EFEC-4135-9477-8694863B6BA7}" name="Coupon Rate" dataDxfId="11"/>
    <tableColumn id="9" xr3:uid="{8FB7B91A-A940-4697-B398-26602BF5D2F2}" name="Security Description" dataDxfId="10"/>
    <tableColumn id="10" xr3:uid="{D8168212-3492-42EF-B3A8-C72605D51A83}" name="Maturity Date" dataDxfId="9"/>
    <tableColumn id="11" xr3:uid="{4761EF4A-49D2-426F-81D7-A446683B41F2}" name="Spread" dataDxfId="8"/>
    <tableColumn id="12" xr3:uid="{40DED1B9-3704-443E-B599-31BA55E5CB3A}" name="Factor" dataDxfId="7"/>
    <tableColumn id="13" xr3:uid="{A5DBBD08-04CF-4978-8742-ACBE8366B0E3}" name="Portfolio_Name" dataDxfId="6"/>
    <tableColumn id="14" xr3:uid="{05CD9835-194F-4CF2-9481-2CE94E520220}" name="Row Labels" dataDxfId="5"/>
    <tableColumn id="15" xr3:uid="{4FDD0F14-7987-4EEE-9956-BC970244E1B9}" name="Manager" dataDxfId="4"/>
    <tableColumn id="16" xr3:uid="{F362AD71-77A1-4E4C-8546-33675A4AEB36}" name="WAL" dataDxfId="3"/>
    <tableColumn id="17" xr3:uid="{8E7029B9-8AA8-401F-B6EA-6007BA7FC880}" name="Tranche Rating" dataDxfId="2"/>
    <tableColumn id="18" xr3:uid="{065572E1-697D-4400-99B2-60F27DAFB9E4}" name="WAL_Range" dataDxfId="1"/>
    <tableColumn id="19" xr3:uid="{6B3E49EE-3D56-4DE1-A9CB-C256FD63AB95}" name="coupon_R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137"/>
  <sheetViews>
    <sheetView showGridLines="0" tabSelected="1" view="pageBreakPreview" zoomScaleNormal="100" zoomScaleSheetLayoutView="100" workbookViewId="0">
      <pane ySplit="5" topLeftCell="A6" activePane="bottomLeft" state="frozen"/>
      <selection pane="bottomLeft" activeCell="D8" sqref="D8"/>
    </sheetView>
  </sheetViews>
  <sheetFormatPr defaultColWidth="8.7109375" defaultRowHeight="14.25" x14ac:dyDescent="0.2"/>
  <cols>
    <col min="1" max="1" width="8.140625" style="9" customWidth="1"/>
    <col min="2" max="2" width="33.5703125" style="9" customWidth="1"/>
    <col min="3" max="3" width="38.85546875" style="9" bestFit="1" customWidth="1"/>
    <col min="4" max="4" width="24.28515625" style="9" bestFit="1" customWidth="1"/>
    <col min="5" max="5" width="18.7109375" style="9" bestFit="1" customWidth="1"/>
    <col min="6" max="6" width="18" style="9" bestFit="1" customWidth="1"/>
    <col min="7" max="7" width="20" style="9" customWidth="1"/>
    <col min="8" max="8" width="19.7109375" style="9" bestFit="1" customWidth="1"/>
    <col min="9" max="9" width="18" style="9" customWidth="1"/>
    <col min="10" max="10" width="18.140625" style="9" bestFit="1" customWidth="1"/>
    <col min="11" max="11" width="17.85546875" style="9" customWidth="1"/>
    <col min="12" max="12" width="17.7109375" style="9" customWidth="1"/>
    <col min="13" max="13" width="18" style="9" customWidth="1"/>
    <col min="14" max="14" width="17.7109375" style="9" bestFit="1" customWidth="1"/>
    <col min="15" max="15" width="20.5703125" style="9" bestFit="1" customWidth="1"/>
    <col min="16" max="16" width="17.7109375" style="9" customWidth="1"/>
    <col min="17" max="17" width="18" style="9" customWidth="1"/>
    <col min="18" max="18" width="22.42578125" style="9" bestFit="1" customWidth="1"/>
    <col min="19" max="19" width="16.7109375" style="9" customWidth="1"/>
    <col min="20" max="20" width="8.7109375" style="9" customWidth="1"/>
    <col min="21" max="16384" width="8.7109375" style="9"/>
  </cols>
  <sheetData>
    <row r="1" spans="2:15" ht="27.95" customHeight="1" x14ac:dyDescent="0.4">
      <c r="B1" s="4" t="s">
        <v>0</v>
      </c>
    </row>
    <row r="2" spans="2:15" ht="23.1" customHeight="1" x14ac:dyDescent="0.35">
      <c r="B2" s="1" t="s">
        <v>1</v>
      </c>
      <c r="C2" s="1" t="s">
        <v>2</v>
      </c>
    </row>
    <row r="3" spans="2:15" ht="15" x14ac:dyDescent="0.25">
      <c r="C3" s="7" t="s">
        <v>3</v>
      </c>
    </row>
    <row r="4" spans="2:15" ht="22.5" customHeight="1" x14ac:dyDescent="0.35">
      <c r="B4" s="2">
        <v>45869</v>
      </c>
      <c r="C4" s="3" t="s">
        <v>4</v>
      </c>
    </row>
    <row r="6" spans="2:15" ht="27.95" customHeight="1" x14ac:dyDescent="0.4">
      <c r="B6" s="4" t="s">
        <v>5</v>
      </c>
    </row>
    <row r="7" spans="2:15" ht="15" x14ac:dyDescent="0.25">
      <c r="B7" s="7"/>
      <c r="F7" s="14"/>
    </row>
    <row r="8" spans="2:15" ht="20.100000000000001" customHeight="1" x14ac:dyDescent="0.3">
      <c r="B8" s="12" t="s">
        <v>6</v>
      </c>
      <c r="C8" s="12"/>
      <c r="D8" s="12"/>
      <c r="E8" s="15" t="s">
        <v>7</v>
      </c>
      <c r="H8" s="15"/>
      <c r="I8" s="12" t="s">
        <v>8</v>
      </c>
      <c r="J8" s="12"/>
      <c r="K8" s="12"/>
      <c r="M8" s="12" t="s">
        <v>9</v>
      </c>
      <c r="N8" s="12"/>
      <c r="O8" s="12"/>
    </row>
    <row r="9" spans="2:15" x14ac:dyDescent="0.2">
      <c r="B9" s="24" t="s">
        <v>10</v>
      </c>
      <c r="C9" s="24" t="s">
        <v>11</v>
      </c>
      <c r="D9" s="10"/>
      <c r="E9" s="24" t="s">
        <v>7</v>
      </c>
      <c r="F9" s="24" t="s">
        <v>12</v>
      </c>
      <c r="G9" s="24" t="s">
        <v>13</v>
      </c>
      <c r="I9" s="24" t="s">
        <v>14</v>
      </c>
      <c r="J9" s="24" t="s">
        <v>12</v>
      </c>
      <c r="K9" s="24" t="s">
        <v>13</v>
      </c>
      <c r="M9" s="24" t="s">
        <v>15</v>
      </c>
      <c r="N9" s="24" t="s">
        <v>12</v>
      </c>
      <c r="O9" s="24" t="s">
        <v>13</v>
      </c>
    </row>
    <row r="10" spans="2:15" x14ac:dyDescent="0.2">
      <c r="B10" s="24" t="s">
        <v>16</v>
      </c>
      <c r="C10" s="14">
        <f>C37</f>
        <v>181607248</v>
      </c>
      <c r="D10" s="14"/>
      <c r="E10" s="24" t="s">
        <v>17</v>
      </c>
      <c r="F10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0</v>
      </c>
      <c r="G10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0</v>
      </c>
      <c r="I10" s="24" t="s">
        <v>18</v>
      </c>
      <c r="J10" s="34">
        <f>IFERROR(IF($C$4="All Portfolios",
   SUMIFS(Positions!$D$2:$D$644,Positions!$R$2:$R$644,Table14[[#This Row],[WAL]])/$C$10,
   SUMIFS(Positions!$D$2:$D$644,Positions!$R$2:$R$644,Table14[[#This Row],[WAL]],Positions!$M$2:$M$644,$C$4)/$C$10),0)</f>
        <v>0.64632198751188052</v>
      </c>
      <c r="K10" s="34">
        <f>IFERROR(IF($C$4="All Portfolios",
   SUMIFS(Positions!$E$2:$E$644,Positions!$R$2:$R$644,Table14[[#This Row],[WAL]])/$C$11,
   SUMIFS(Positions!$E$2:$E$644,Positions!$R$2:$R$644,Table14[[#This Row],[WAL]],Positions!$M$2:$M$644,$C$4)/$C$11),0)</f>
        <v>0.63241357539312226</v>
      </c>
      <c r="M10" s="24" t="s">
        <v>19</v>
      </c>
      <c r="N10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0.46488781664292383</v>
      </c>
      <c r="O10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0.45944394505683056</v>
      </c>
    </row>
    <row r="11" spans="2:15" x14ac:dyDescent="0.2">
      <c r="B11" s="24" t="s">
        <v>20</v>
      </c>
      <c r="C11" s="14">
        <f>D37</f>
        <v>182643452.13999999</v>
      </c>
      <c r="D11" s="14"/>
      <c r="E11" s="24" t="s">
        <v>21</v>
      </c>
      <c r="F11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8.9297300513027977E-2</v>
      </c>
      <c r="G11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8.8525361355995674E-2</v>
      </c>
      <c r="I11" s="24" t="s">
        <v>22</v>
      </c>
      <c r="J11" s="34">
        <f>IFERROR(IF($C$4="All Portfolios",
   SUMIFS(Positions!$D$2:$D$644,Positions!$R$2:$R$644,Table14[[#This Row],[WAL]])/$C$10,
   SUMIFS(Positions!$D$2:$D$644,Positions!$R$2:$R$644,Table14[[#This Row],[WAL]],Positions!$M$2:$M$644,$C$4)/$C$10),0)</f>
        <v>1.2951276365495059</v>
      </c>
      <c r="K11" s="34">
        <f>IFERROR(IF($C$4="All Portfolios",
   SUMIFS(Positions!$E$2:$E$644,Positions!$R$2:$R$644,Table14[[#This Row],[WAL]])/$C$11,
   SUMIFS(Positions!$E$2:$E$644,Positions!$R$2:$R$644,Table14[[#This Row],[WAL]],Positions!$M$2:$M$644,$C$4)/$C$11),0)</f>
        <v>1.2645382616452336</v>
      </c>
      <c r="M11" s="24" t="s">
        <v>23</v>
      </c>
      <c r="N11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0.12522093463720127</v>
      </c>
      <c r="O11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0.11924928906460387</v>
      </c>
    </row>
    <row r="12" spans="2:15" x14ac:dyDescent="0.2">
      <c r="B12" s="24" t="s">
        <v>47</v>
      </c>
      <c r="C12" s="34">
        <f t="array" ref="C12">IFERROR(IF( $C$4 = "All Portfolios",
  SUMPRODUCT( Positions!$D$2:$D$644 *  (Positions!$H$2:$H$644 * 0.01) ) / C10,
  SUMPRODUCT((Positions!$M$2:$M$644 = $C$4) *  Positions!$D$2:$D$644 *  (Positions!$H$2:$H$644 * 0.01) ) / C10),0)</f>
        <v>1.0455414420918294</v>
      </c>
      <c r="D12" s="14"/>
      <c r="E12" s="24" t="s">
        <v>24</v>
      </c>
      <c r="F12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1.4491610726320789</v>
      </c>
      <c r="G12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1.4387011240818091</v>
      </c>
      <c r="I12" s="24" t="s">
        <v>25</v>
      </c>
      <c r="J12" s="34">
        <f>IFERROR(IF($C$4="All Portfolios",
   SUMIFS(Positions!$D$2:$D$644,Positions!$R$2:$R$644,Table14[[#This Row],[WAL]])/$C$10,
   SUMIFS(Positions!$D$2:$D$644,Positions!$R$2:$R$644,Table14[[#This Row],[WAL]],Positions!$M$2:$M$644,$C$4)/$C$10),0)</f>
        <v>1.2325245142517329</v>
      </c>
      <c r="K12" s="34">
        <f>IFERROR(IF($C$4="All Portfolios",
   SUMIFS(Positions!$E$2:$E$644,Positions!$R$2:$R$644,Table14[[#This Row],[WAL]])/$C$11,
   SUMIFS(Positions!$E$2:$E$644,Positions!$R$2:$R$644,Table14[[#This Row],[WAL]],Positions!$M$2:$M$644,$C$4)/$C$11),0)</f>
        <v>1.2153190060153674</v>
      </c>
      <c r="M12" s="24" t="s">
        <v>26</v>
      </c>
      <c r="N12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0.24129958777070945</v>
      </c>
      <c r="O12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0.22963707764267843</v>
      </c>
    </row>
    <row r="13" spans="2:15" x14ac:dyDescent="0.2">
      <c r="B13" s="24" t="s">
        <v>27</v>
      </c>
      <c r="C13" s="34">
        <f>IFERROR(IF($C$4="All Portfolios",
   SUM(Positions!$F$2:$F$644)/C10,
   SUMIF(Positions!$M$2:$M$644,$C$4,Positions!$F$2:$F$644)/C10),0)</f>
        <v>13.272420333686238</v>
      </c>
      <c r="D13" s="14"/>
      <c r="E13" s="24" t="s">
        <v>28</v>
      </c>
      <c r="F13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9.2524816856969991</v>
      </c>
      <c r="G13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9.2127374085670279</v>
      </c>
      <c r="I13" s="24" t="s">
        <v>29</v>
      </c>
      <c r="J13" s="34">
        <f>IFERROR(IF($C$4="All Portfolios",
   SUMIFS(Positions!$D$2:$D$644,Positions!$R$2:$R$644,Table14[[#This Row],[WAL]])/$C$10,
   SUMIFS(Positions!$D$2:$D$644,Positions!$R$2:$R$644,Table14[[#This Row],[WAL]],Positions!$M$2:$M$644,$C$4)/$C$10),0)</f>
        <v>3.9567122728493742</v>
      </c>
      <c r="K13" s="34">
        <f>IFERROR(IF($C$4="All Portfolios",
   SUMIFS(Positions!$E$2:$E$644,Positions!$R$2:$R$644,Table14[[#This Row],[WAL]])/$C$11,
   SUMIFS(Positions!$E$2:$E$644,Positions!$R$2:$R$644,Table14[[#This Row],[WAL]],Positions!$M$2:$M$644,$C$4)/$C$11),0)</f>
        <v>3.9182327913482862</v>
      </c>
      <c r="M13" s="24" t="s">
        <v>30</v>
      </c>
      <c r="N13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0.31496540270242956</v>
      </c>
      <c r="O13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0.31537020224436069</v>
      </c>
    </row>
    <row r="14" spans="2:15" x14ac:dyDescent="0.2">
      <c r="B14" s="24" t="s">
        <v>31</v>
      </c>
      <c r="C14" s="34">
        <f>IFERROR(C11/C10,0)</f>
        <v>1.0057057422069409</v>
      </c>
      <c r="D14" s="14"/>
      <c r="E14" s="24" t="s">
        <v>32</v>
      </c>
      <c r="F14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2.218058036683646</v>
      </c>
      <c r="G14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2.1890735409092557</v>
      </c>
      <c r="I14" s="24" t="s">
        <v>33</v>
      </c>
      <c r="J14" s="34">
        <f>IFERROR(IF($C$4="All Portfolios",
   SUMIFS(Positions!$D$2:$D$644,Positions!$R$2:$R$644,Table14[[#This Row],[WAL]])/$C$10,
   SUMIFS(Positions!$D$2:$D$644,Positions!$R$2:$R$644,Table14[[#This Row],[WAL]],Positions!$M$2:$M$644,$C$4)/$C$10),0)</f>
        <v>5.8738745107794372</v>
      </c>
      <c r="K14" s="34">
        <f>IFERROR(IF($C$4="All Portfolios",
   SUMIFS(Positions!$E$2:$E$644,Positions!$R$2:$R$644,Table14[[#This Row],[WAL]])/$C$11,
   SUMIFS(Positions!$E$2:$E$644,Positions!$R$2:$R$644,Table14[[#This Row],[WAL]],Positions!$M$2:$M$644,$C$4)/$C$11),0)</f>
        <v>5.8688264305164584</v>
      </c>
      <c r="M14" s="24" t="s">
        <v>34</v>
      </c>
      <c r="N14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1.1416939923014526</v>
      </c>
      <c r="O14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1.1386958300622934</v>
      </c>
    </row>
    <row r="15" spans="2:15" x14ac:dyDescent="0.2">
      <c r="B15" s="24" t="s">
        <v>35</v>
      </c>
      <c r="C15" s="36">
        <f t="array" ref="C15">IFERROR(IF( $C$4 = "All Portfolios",
  SUMPRODUCT( Positions!$D$2:$D$644 *  Positions!$P$2:$P$644 ) / C10,
  SUMPRODUCT((Positions!$M$2:$M$644 = $C$4) *  Positions!$D$2:$D$644 *  Positions!$P$2:$P$644 ) / C10),0)</f>
        <v>92.365458664379489</v>
      </c>
      <c r="D15" s="14"/>
      <c r="E15" s="24" t="s">
        <v>36</v>
      </c>
      <c r="F15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0.22373653895434834</v>
      </c>
      <c r="G15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0.22041767497441697</v>
      </c>
      <c r="I15" s="24" t="s">
        <v>37</v>
      </c>
      <c r="J15" s="34">
        <f>IFERROR(IF($C$4="All Portfolios",
   SUMIFS(Positions!$D$2:$D$644,Positions!$R$2:$R$644,Table14[[#This Row],[WAL]])/$C$10,
   SUMIFS(Positions!$D$2:$D$644,Positions!$R$2:$R$644,Table14[[#This Row],[WAL]],Positions!$M$2:$M$644,$C$4)/$C$10),0)</f>
        <v>0.22276093297774108</v>
      </c>
      <c r="K15" s="34">
        <f>IFERROR(IF($C$4="All Portfolios",
   SUMIFS(Positions!$E$2:$E$644,Positions!$R$2:$R$644,Table14[[#This Row],[WAL]])/$C$11,
   SUMIFS(Positions!$E$2:$E$644,Positions!$R$2:$R$644,Table14[[#This Row],[WAL]],Positions!$M$2:$M$644,$C$4)/$C$11),0)</f>
        <v>0.22537174767397608</v>
      </c>
      <c r="M15" s="24" t="s">
        <v>38</v>
      </c>
      <c r="N15" s="34">
        <f>IFERROR(IF($C$4="All Portfolios",
   SUMIFS(Positions!$D$2:$D$644,Positions!$S$2:$S$644,Table15[[#This Row],[Coupon]])/$C$10,
   SUMIFS(Positions!$D$2:$D$644,Positions!$S$2:$S$644,Table15[[#This Row],[Coupon]],Positions!$M$2:$M$644,$C$4)/$C$10),0)</f>
        <v>11.052685716943103</v>
      </c>
      <c r="O15" s="34">
        <f>IFERROR(IF($C$4="All Portfolios",
   SUMIFS(Positions!$E$2:$E$644,Positions!$S$2:$S$644,Table15[[#This Row],[Coupon]])/$C$11,
   SUMIFS(Positions!$E$2:$E$644,Positions!$S$2:$S$644,Table15[[#This Row],[Coupon]],Positions!$M$2:$M$644,$C$4)/$C$11),0)</f>
        <v>10.974791412087031</v>
      </c>
    </row>
    <row r="16" spans="2:15" x14ac:dyDescent="0.2">
      <c r="B16" s="24" t="s">
        <v>39</v>
      </c>
      <c r="C16" s="22">
        <f>G37</f>
        <v>9</v>
      </c>
      <c r="D16" s="14"/>
      <c r="E16" s="24" t="s">
        <v>40</v>
      </c>
      <c r="F16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5.9617664598937151E-2</v>
      </c>
      <c r="G16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3.9525865096255296E-2</v>
      </c>
      <c r="I16" s="24" t="s">
        <v>41</v>
      </c>
      <c r="J16" s="34">
        <f>IFERROR(IF($C$4="All Portfolios",
   SUMIFS(Positions!$D$2:$D$644,Positions!$R$2:$R$644,Table14[[#This Row],[WAL]])/$C$10,
   SUMIFS(Positions!$D$2:$D$644,Positions!$R$2:$R$644,Table14[[#This Row],[WAL]],Positions!$M$2:$M$644,$C$4)/$C$10),0)</f>
        <v>0.11343159607814772</v>
      </c>
      <c r="K16" s="34">
        <f>IFERROR(IF($C$4="All Portfolios",
   SUMIFS(Positions!$E$2:$E$644,Positions!$R$2:$R$644,Table14[[#This Row],[WAL]])/$C$11,
   SUMIFS(Positions!$E$2:$E$644,Positions!$R$2:$R$644,Table14[[#This Row],[WAL]],Positions!$M$2:$M$644,$C$4)/$C$11),0)</f>
        <v>0.11248594356534594</v>
      </c>
      <c r="M16" s="24" t="s">
        <v>42</v>
      </c>
      <c r="N16" s="23">
        <f>SUBTOTAL(109,Table15[Portfolio % CF])</f>
        <v>13.34075345099782</v>
      </c>
      <c r="O16" s="23">
        <f>SUBTOTAL(109,Table15[Portfolio % MV])</f>
        <v>13.237187756157798</v>
      </c>
    </row>
    <row r="17" spans="2:11" x14ac:dyDescent="0.2">
      <c r="B17" s="24" t="s">
        <v>43</v>
      </c>
      <c r="C17" s="22">
        <f>COUNTA(tbl_report_manager[CLO/ABS Debt])</f>
        <v>9</v>
      </c>
      <c r="D17" s="14"/>
      <c r="E17" s="24" t="s">
        <v>44</v>
      </c>
      <c r="F17" s="34">
        <f>IFERROR(IF($C$4="All Portfolios",
   SUMIFS(Positions!$D$2:$D$644,Positions!$Q$2:$Q$644,Table13[[#This Row],[Tranche Rating]])/$C$10,
   SUMIFS(Positions!$D$2:$D$644,Positions!$Q$2:$Q$644,Table13[[#This Row],[Tranche Rating]],Positions!$M$2:$M$644,$C$4)/$C$10),0)</f>
        <v>4.8401151918782449E-2</v>
      </c>
      <c r="G17" s="34">
        <f>IFERROR(IF($C$4="All Portfolios",
   SUMIFS(Positions!$E$2:$E$644,Positions!$Q$2:$Q$644,Table13[[#This Row],[Tranche Rating]])/$C$11,
   SUMIFS(Positions!$E$2:$E$644,Positions!$Q$2:$Q$644,Table13[[#This Row],[Tranche Rating]],Positions!$M$2:$M$644,$C$4)/$C$11),0)</f>
        <v>4.8206781173031329E-2</v>
      </c>
      <c r="I17" s="24" t="s">
        <v>42</v>
      </c>
      <c r="J17" s="23">
        <f>SUBTOTAL(109,Table14[Portfolio % CF])</f>
        <v>13.340753450997818</v>
      </c>
      <c r="K17" s="23">
        <f>SUBTOTAL(109,Table14[Portfolio % MV])</f>
        <v>13.237187756157791</v>
      </c>
    </row>
    <row r="18" spans="2:11" x14ac:dyDescent="0.2">
      <c r="B18" s="24" t="s">
        <v>45</v>
      </c>
      <c r="C18" s="22">
        <f>H37</f>
        <v>46</v>
      </c>
      <c r="D18" s="14"/>
      <c r="E18" s="24" t="s">
        <v>42</v>
      </c>
      <c r="F18" s="23">
        <f>SUBTOTAL(109,Table13[Portfolio % CF])</f>
        <v>13.340753450997818</v>
      </c>
      <c r="G18" s="23">
        <f>SUBTOTAL(109,Table13[Portfolio % MV])</f>
        <v>13.237187756157791</v>
      </c>
    </row>
    <row r="19" spans="2:11" ht="14.45" customHeight="1" x14ac:dyDescent="0.2">
      <c r="C19" s="8"/>
      <c r="D19" s="14"/>
    </row>
    <row r="20" spans="2:11" x14ac:dyDescent="0.2">
      <c r="C20" s="8"/>
      <c r="D20" s="14"/>
      <c r="E20" s="8"/>
    </row>
    <row r="21" spans="2:11" x14ac:dyDescent="0.2">
      <c r="C21" s="8"/>
      <c r="D21" s="14"/>
      <c r="E21" s="8"/>
    </row>
    <row r="22" spans="2:11" ht="20.45" customHeight="1" thickBot="1" x14ac:dyDescent="0.35">
      <c r="B22" s="12" t="s">
        <v>46</v>
      </c>
      <c r="C22" s="8"/>
      <c r="D22" s="14"/>
      <c r="E22" s="8"/>
    </row>
    <row r="23" spans="2:11" ht="14.45" customHeight="1" thickBot="1" x14ac:dyDescent="0.3">
      <c r="B23" s="20" t="s">
        <v>7</v>
      </c>
      <c r="C23" s="25" t="s">
        <v>47</v>
      </c>
      <c r="D23" s="26" t="s">
        <v>48</v>
      </c>
      <c r="E23" s="26" t="s">
        <v>49</v>
      </c>
      <c r="F23" s="25" t="s">
        <v>20</v>
      </c>
      <c r="G23" s="29" t="s">
        <v>50</v>
      </c>
    </row>
    <row r="24" spans="2:11" x14ac:dyDescent="0.2">
      <c r="B24" s="16" t="s">
        <v>51</v>
      </c>
      <c r="C24" s="28">
        <f>IFERROR(SUMPRODUCT(tbl_hold_aaa[Coupon],tbl_hold_aaa[Current Face])/SUM(tbl_hold_aaa[Current Face]),0)</f>
        <v>0</v>
      </c>
      <c r="D24" s="28">
        <f>IFERROR(SUMPRODUCT(tbl_hold_aaa[WAL],tbl_hold_aaa[Current Face])/SUM(tbl_hold_aaa[Current Face]),0)</f>
        <v>0</v>
      </c>
      <c r="E24" s="13">
        <f>SUM(tbl_hold_aaa[Current Face])</f>
        <v>0</v>
      </c>
      <c r="F24" s="13">
        <f>SUM(tbl_hold_aaa[Market Value])</f>
        <v>0</v>
      </c>
      <c r="G24" s="30">
        <f>IFERROR(Report!$F24/Report!$E24,0)</f>
        <v>0</v>
      </c>
    </row>
    <row r="25" spans="2:11" x14ac:dyDescent="0.2">
      <c r="B25" s="17" t="s">
        <v>52</v>
      </c>
      <c r="C25" s="21">
        <f>IFERROR(SUMPRODUCT(tbl_hold_aa[Coupon],tbl_hold_aa[Current Face])/SUM(tbl_hold_aa[Current Face]),0)</f>
        <v>2.9180759036882016</v>
      </c>
      <c r="D25" s="21">
        <f>IFERROR(SUMPRODUCT(tbl_hold_aa[WAL],tbl_hold_aa[Current Face])/SUM(tbl_hold_aa[Current Face]),0)</f>
        <v>0.2931717445636543</v>
      </c>
      <c r="E25" s="11">
        <f>SUM(tbl_hold_aa[Current Face])</f>
        <v>16217037</v>
      </c>
      <c r="F25" s="11">
        <f>SUM(tbl_hold_aa[Market Value])</f>
        <v>16168577.6</v>
      </c>
      <c r="G25" s="31">
        <f>IFERROR(Report!$F25/Report!$E25,0)</f>
        <v>0.99701182157998403</v>
      </c>
    </row>
    <row r="26" spans="2:11" x14ac:dyDescent="0.2">
      <c r="B26" s="16" t="s">
        <v>53</v>
      </c>
      <c r="C26" s="28">
        <f>IFERROR(SUMPRODUCT(tbl_hold_a[Coupon],tbl_hold_a[Current Face])/SUM(tbl_hold_a[Current Face]),0)</f>
        <v>6.3981943399638341</v>
      </c>
      <c r="D26" s="28">
        <f>IFERROR(SUMPRODUCT(tbl_hold_a[WAL],tbl_hold_a[Current Face])/SUM(tbl_hold_a[Current Face]),0)</f>
        <v>8.4412284939999989</v>
      </c>
      <c r="E26" s="13">
        <f>SUM(tbl_hold_a[Current Face])</f>
        <v>4977000</v>
      </c>
      <c r="F26" s="13">
        <f>SUM(tbl_hold_a[Market Value])</f>
        <v>5000885.42</v>
      </c>
      <c r="G26" s="30">
        <f>IFERROR(Report!$F26/Report!$E26,0)</f>
        <v>1.0047991601366284</v>
      </c>
    </row>
    <row r="27" spans="2:11" x14ac:dyDescent="0.2">
      <c r="B27" s="17" t="s">
        <v>54</v>
      </c>
      <c r="C27" s="21">
        <f>IFERROR(SUMPRODUCT(tbl_hold_bbb[Coupon],tbl_hold_bbb[Current Face])/SUM(tbl_hold_bbb[Current Face]),0)</f>
        <v>7.3704599999999996</v>
      </c>
      <c r="D27" s="21">
        <f>IFERROR(SUMPRODUCT(tbl_hold_bbb[WAL],tbl_hold_bbb[Current Face])/SUM(tbl_hold_bbb[Current Face]),0)</f>
        <v>9.2339745929999992</v>
      </c>
      <c r="E27" s="11">
        <f>SUM(tbl_hold_bbb[Current Face])</f>
        <v>3500000</v>
      </c>
      <c r="F27" s="11">
        <f>SUM(tbl_hold_bbb[Market Value])</f>
        <v>3514199.5</v>
      </c>
      <c r="G27" s="31">
        <f>IFERROR(Report!$F27/Report!$E27,0)</f>
        <v>1.004057</v>
      </c>
    </row>
    <row r="28" spans="2:11" x14ac:dyDescent="0.2">
      <c r="B28" s="16" t="s">
        <v>55</v>
      </c>
      <c r="C28" s="28">
        <f>IFERROR(SUMPRODUCT(tbl_hold_bb[Coupon],tbl_hold_bb[Current Face])/SUM(tbl_hold_bb[Current Face]),0)</f>
        <v>10.93549</v>
      </c>
      <c r="D28" s="28">
        <f>IFERROR(SUMPRODUCT(tbl_hold_bb[WAL],tbl_hold_bb[Current Face])/SUM(tbl_hold_bb[Current Face]),0)</f>
        <v>10.114242512000001</v>
      </c>
      <c r="E28" s="13">
        <f>SUM(tbl_hold_bb[Current Face])</f>
        <v>4500000</v>
      </c>
      <c r="F28" s="13">
        <f>SUM(tbl_hold_bb[Market Value])</f>
        <v>4538146.5</v>
      </c>
      <c r="G28" s="30">
        <f>IFERROR(Report!$F28/Report!$E28,0)</f>
        <v>1.0084770000000001</v>
      </c>
    </row>
    <row r="29" spans="2:11" x14ac:dyDescent="0.2">
      <c r="B29" s="17" t="s">
        <v>56</v>
      </c>
      <c r="C29" s="21">
        <f>IFERROR(SUMPRODUCT(tbl_hold_b[Coupon],tbl_hold_b[Current Face])/SUM(tbl_hold_b[Current Face]),0)</f>
        <v>10.540352806322209</v>
      </c>
      <c r="D29" s="21">
        <f>IFERROR(SUMPRODUCT(tbl_hold_b[WAL],tbl_hold_b[Current Face])/SUM(tbl_hold_b[Current Face]),0)</f>
        <v>3.9801654875806456</v>
      </c>
      <c r="E29" s="11">
        <f>SUM(tbl_hold_b[Current Face])</f>
        <v>40632177.116544001</v>
      </c>
      <c r="F29" s="11">
        <f>SUM(tbl_hold_b[Market Value])</f>
        <v>40257845.07</v>
      </c>
      <c r="G29" s="31">
        <f>IFERROR(Report!$F29/Report!$E29,0)</f>
        <v>0.99078730028493633</v>
      </c>
    </row>
    <row r="30" spans="2:11" x14ac:dyDescent="0.2">
      <c r="B30" s="16" t="s">
        <v>57</v>
      </c>
      <c r="C30" s="28">
        <f>IFERROR(SUMPRODUCT(tbl_hold_ccc[Coupon],tbl_hold_ccc[Current Face])/SUM(tbl_hold_ccc[Current Face]),0)</f>
        <v>13.0871</v>
      </c>
      <c r="D30" s="28">
        <f>IFERROR(SUMPRODUCT(tbl_hold_ccc[WAL],tbl_hold_ccc[Current Face])/SUM(tbl_hold_ccc[Current Face]),0)</f>
        <v>5.022739734</v>
      </c>
      <c r="E30" s="13">
        <f>SUM(tbl_hold_ccc[Current Face])</f>
        <v>10827000</v>
      </c>
      <c r="F30" s="13">
        <f>SUM(tbl_hold_ccc[Market Value])</f>
        <v>7219140.4500000002</v>
      </c>
      <c r="G30" s="30">
        <f>IFERROR(Report!$F30/Report!$E30,0)</f>
        <v>0.66677200055417019</v>
      </c>
    </row>
    <row r="31" spans="2:11" ht="14.45" customHeight="1" thickBot="1" x14ac:dyDescent="0.25">
      <c r="B31" s="17" t="s">
        <v>58</v>
      </c>
      <c r="C31" s="21">
        <f>IFERROR(SUMPRODUCT(tbl_hold_nr[Coupon],tbl_hold_nr[Current Face])/SUM(tbl_hold_nr[Current Face]),0)</f>
        <v>7.4254899999999999</v>
      </c>
      <c r="D31" s="21">
        <f>IFERROR(SUMPRODUCT(tbl_hold_nr[WAL],tbl_hold_nr[Current Face])/SUM(tbl_hold_nr[Current Face]),0)</f>
        <v>8.7084858969999992</v>
      </c>
      <c r="E31" s="11">
        <f>SUM(tbl_hold_nr[Current Face])</f>
        <v>8790000</v>
      </c>
      <c r="F31" s="11">
        <f>SUM(tbl_hold_nr[Market Value])</f>
        <v>8804652.9299999997</v>
      </c>
      <c r="G31" s="31">
        <f>IFERROR(Report!$F31/Report!$E31,0)</f>
        <v>1.0016669999999999</v>
      </c>
    </row>
    <row r="32" spans="2:11" ht="15" customHeight="1" thickTop="1" thickBot="1" x14ac:dyDescent="0.3">
      <c r="B32" s="18" t="s">
        <v>42</v>
      </c>
      <c r="C32" s="27">
        <f>IFERROR(SUMPRODUCT(Report!$C$24:$C$31,Report!$E$24:$E$31)/Report!$E$32,0)</f>
        <v>8.825870713877336</v>
      </c>
      <c r="D32" s="27">
        <f>IFERROR(SUMPRODUCT(Report!$D$24:$D$31,Report!$E$24:$E$31)/Report!$E$32,0)</f>
        <v>4.6649816973100524</v>
      </c>
      <c r="E32" s="19">
        <f>SUBTOTAL(109,Report!$E$24:$E$31)</f>
        <v>89443214.116544008</v>
      </c>
      <c r="F32" s="19">
        <f>SUBTOTAL(109,Report!$F$24:$F$31)</f>
        <v>85503447.469999999</v>
      </c>
      <c r="G32" s="32">
        <f>IFERROR(Report!$F$32/Report!$E$32,0)</f>
        <v>0.95595231359406974</v>
      </c>
    </row>
    <row r="34" spans="2:9" x14ac:dyDescent="0.2">
      <c r="C34" s="8"/>
      <c r="D34" s="14"/>
      <c r="E34" s="8"/>
    </row>
    <row r="36" spans="2:9" ht="20.100000000000001" customHeight="1" x14ac:dyDescent="0.3">
      <c r="B36" s="12" t="s">
        <v>59</v>
      </c>
    </row>
    <row r="37" spans="2:9" ht="14.45" customHeight="1" thickBot="1" x14ac:dyDescent="0.3">
      <c r="B37" s="5" t="s">
        <v>60</v>
      </c>
      <c r="C37" s="6">
        <f>SUM(tbl_report_manager[Current Face])</f>
        <v>181607248</v>
      </c>
      <c r="D37" s="6">
        <f>SUM(tbl_report_manager[Market Value])</f>
        <v>182643452.13999999</v>
      </c>
      <c r="E37" s="33">
        <f>SUM(tbl_report_manager[Current Face %])</f>
        <v>1</v>
      </c>
      <c r="F37" s="33">
        <f>SUM(tbl_report_manager[Market Value %])</f>
        <v>1.0000000000000002</v>
      </c>
      <c r="G37" s="35">
        <f>SUM(tbl_report_manager[No. of Issuers])</f>
        <v>9</v>
      </c>
      <c r="H37" s="35">
        <f>SUM(tbl_report_manager[No. of Cusips])</f>
        <v>46</v>
      </c>
      <c r="I37" s="35">
        <f>SUM(tbl_report_manager[No. of Positions])</f>
        <v>58</v>
      </c>
    </row>
    <row r="38" spans="2:9" x14ac:dyDescent="0.2">
      <c r="B38" s="9" t="s">
        <v>11</v>
      </c>
      <c r="C38" s="10" t="s">
        <v>49</v>
      </c>
      <c r="D38" s="10" t="s">
        <v>20</v>
      </c>
      <c r="E38" s="24" t="s">
        <v>61</v>
      </c>
      <c r="F38" s="24" t="s">
        <v>62</v>
      </c>
      <c r="G38" s="24" t="s">
        <v>63</v>
      </c>
      <c r="H38" s="24" t="s">
        <v>64</v>
      </c>
      <c r="I38" s="24" t="s">
        <v>65</v>
      </c>
    </row>
    <row r="39" spans="2:9" x14ac:dyDescent="0.2">
      <c r="B39" s="9" t="s">
        <v>66</v>
      </c>
      <c r="C39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23121733</v>
      </c>
      <c r="D39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23256405.009999998</v>
      </c>
      <c r="E39" s="34">
        <f>IFERROR(tbl_report_manager[[#This Row],[Current Face]]/$C$37,0)</f>
        <v>0.12731723680984364</v>
      </c>
      <c r="F39" s="34">
        <f>IFERROR(tbl_report_manager[[#This Row],[Market Value]]/$D$37,0)</f>
        <v>0.12733226807481432</v>
      </c>
      <c r="G39" s="24">
        <f t="array" ref="G39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39" s="24">
        <f t="array" ref="H39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7</v>
      </c>
      <c r="I39" s="24">
        <f>IF($C$4="All Portfolios",
   COUNTIFS(Positions!$O$2:$O$644, tbl_report_manager[[#This Row],[CLO/ABS Debt]]),
   COUNTIFS(Positions!$M$2:$M$644, $C$4,Positions!$O$2:$O$644, tbl_report_manager[[#This Row],[CLO/ABS Debt]])
)</f>
        <v>7</v>
      </c>
    </row>
    <row r="40" spans="2:9" x14ac:dyDescent="0.2">
      <c r="B40" s="9" t="s">
        <v>67</v>
      </c>
      <c r="C40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0</v>
      </c>
      <c r="D40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0</v>
      </c>
      <c r="E40" s="34">
        <f>IFERROR(tbl_report_manager[[#This Row],[Current Face]]/$C$37,0)</f>
        <v>0</v>
      </c>
      <c r="F40" s="34">
        <f>IFERROR(tbl_report_manager[[#This Row],[Market Value]]/$D$37,0)</f>
        <v>0</v>
      </c>
      <c r="G40" s="24">
        <f t="array" ref="G40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0" s="24">
        <f t="array" ref="H40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</v>
      </c>
      <c r="I40" s="24">
        <f>IF($C$4="All Portfolios",
   COUNTIFS(Positions!$O$2:$O$644, tbl_report_manager[[#This Row],[CLO/ABS Debt]]),
   COUNTIFS(Positions!$M$2:$M$644, $C$4,Positions!$O$2:$O$644, tbl_report_manager[[#This Row],[CLO/ABS Debt]])
)</f>
        <v>0</v>
      </c>
    </row>
    <row r="41" spans="2:9" x14ac:dyDescent="0.2">
      <c r="B41" s="9" t="s">
        <v>68</v>
      </c>
      <c r="C41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19545000</v>
      </c>
      <c r="D41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19660144.620000001</v>
      </c>
      <c r="E41" s="34">
        <f>IFERROR(tbl_report_manager[[#This Row],[Current Face]]/$C$37,0)</f>
        <v>0.10762235657026199</v>
      </c>
      <c r="F41" s="34">
        <f>IFERROR(tbl_report_manager[[#This Row],[Market Value]]/$D$37,0)</f>
        <v>0.10764220884814471</v>
      </c>
      <c r="G41" s="24">
        <f t="array" ref="G41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1" s="24">
        <f t="array" ref="H41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5</v>
      </c>
      <c r="I41" s="24">
        <f>IF($C$4="All Portfolios",
   COUNTIFS(Positions!$O$2:$O$644, tbl_report_manager[[#This Row],[CLO/ABS Debt]]),
   COUNTIFS(Positions!$M$2:$M$644, $C$4,Positions!$O$2:$O$644, tbl_report_manager[[#This Row],[CLO/ABS Debt]])
)</f>
        <v>8</v>
      </c>
    </row>
    <row r="42" spans="2:9" x14ac:dyDescent="0.2">
      <c r="B42" s="9" t="s">
        <v>69</v>
      </c>
      <c r="C42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42004000</v>
      </c>
      <c r="D42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42289256.770000011</v>
      </c>
      <c r="E42" s="34">
        <f>IFERROR(tbl_report_manager[[#This Row],[Current Face]]/$C$37,0)</f>
        <v>0.23129032823623868</v>
      </c>
      <c r="F42" s="34">
        <f>IFERROR(tbl_report_manager[[#This Row],[Market Value]]/$D$37,0)</f>
        <v>0.23153995544052913</v>
      </c>
      <c r="G42" s="24">
        <f t="array" ref="G42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2" s="24">
        <f t="array" ref="H42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12</v>
      </c>
      <c r="I42" s="24">
        <f>IF($C$4="All Portfolios",
   COUNTIFS(Positions!$O$2:$O$644, tbl_report_manager[[#This Row],[CLO/ABS Debt]]),
   COUNTIFS(Positions!$M$2:$M$644, $C$4,Positions!$O$2:$O$644, tbl_report_manager[[#This Row],[CLO/ABS Debt]])
)</f>
        <v>18</v>
      </c>
    </row>
    <row r="43" spans="2:9" x14ac:dyDescent="0.2">
      <c r="B43" s="9" t="s">
        <v>70</v>
      </c>
      <c r="C43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81556515</v>
      </c>
      <c r="D43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82033269.599999994</v>
      </c>
      <c r="E43" s="34">
        <f>IFERROR(tbl_report_manager[[#This Row],[Current Face]]/$C$37,0)</f>
        <v>0.44908182849618428</v>
      </c>
      <c r="F43" s="34">
        <f>IFERROR(tbl_report_manager[[#This Row],[Market Value]]/$D$37,0)</f>
        <v>0.4491443226616183</v>
      </c>
      <c r="G43" s="24">
        <f t="array" ref="G43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3" s="24">
        <f t="array" ref="H43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15</v>
      </c>
      <c r="I43" s="24">
        <f>IF($C$4="All Portfolios",
   COUNTIFS(Positions!$O$2:$O$644, tbl_report_manager[[#This Row],[CLO/ABS Debt]]),
   COUNTIFS(Positions!$M$2:$M$644, $C$4,Positions!$O$2:$O$644, tbl_report_manager[[#This Row],[CLO/ABS Debt]])
)</f>
        <v>21</v>
      </c>
    </row>
    <row r="44" spans="2:9" x14ac:dyDescent="0.2">
      <c r="B44" s="9" t="s">
        <v>71</v>
      </c>
      <c r="C44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3900000</v>
      </c>
      <c r="D44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3915167.1</v>
      </c>
      <c r="E44" s="34">
        <f>IFERROR(tbl_report_manager[[#This Row],[Current Face]]/$C$37,0)</f>
        <v>2.1474913820620199E-2</v>
      </c>
      <c r="F44" s="34">
        <f>IFERROR(tbl_report_manager[[#This Row],[Market Value]]/$D$37,0)</f>
        <v>2.1436120781373226E-2</v>
      </c>
      <c r="G44" s="24">
        <f t="array" ref="G44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4" s="24">
        <f t="array" ref="H44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</v>
      </c>
      <c r="I44" s="24">
        <f>IF($C$4="All Portfolios",
   COUNTIFS(Positions!$O$2:$O$644, tbl_report_manager[[#This Row],[CLO/ABS Debt]]),
   COUNTIFS(Positions!$M$2:$M$644, $C$4,Positions!$O$2:$O$644, tbl_report_manager[[#This Row],[CLO/ABS Debt]])
)</f>
        <v>1</v>
      </c>
    </row>
    <row r="45" spans="2:9" x14ac:dyDescent="0.2">
      <c r="B45" s="9" t="s">
        <v>72</v>
      </c>
      <c r="C45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0</v>
      </c>
      <c r="D45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0</v>
      </c>
      <c r="E45" s="34">
        <f>IFERROR(tbl_report_manager[[#This Row],[Current Face]]/$C$37,0)</f>
        <v>0</v>
      </c>
      <c r="F45" s="34">
        <f>IFERROR(tbl_report_manager[[#This Row],[Market Value]]/$D$37,0)</f>
        <v>0</v>
      </c>
      <c r="G45" s="24">
        <f t="array" ref="G45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5" s="24">
        <f t="array" ref="H45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</v>
      </c>
      <c r="I45" s="24">
        <f>IF($C$4="All Portfolios",
   COUNTIFS(Positions!$O$2:$O$644, tbl_report_manager[[#This Row],[CLO/ABS Debt]]),
   COUNTIFS(Positions!$M$2:$M$644, $C$4,Positions!$O$2:$O$644, tbl_report_manager[[#This Row],[CLO/ABS Debt]])
)</f>
        <v>0</v>
      </c>
    </row>
    <row r="46" spans="2:9" x14ac:dyDescent="0.2">
      <c r="B46" s="9" t="s">
        <v>73</v>
      </c>
      <c r="C46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0</v>
      </c>
      <c r="D46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0</v>
      </c>
      <c r="E46" s="34">
        <f>IFERROR(tbl_report_manager[[#This Row],[Current Face]]/$C$37,0)</f>
        <v>0</v>
      </c>
      <c r="F46" s="34">
        <f>IFERROR(tbl_report_manager[[#This Row],[Market Value]]/$D$37,0)</f>
        <v>0</v>
      </c>
      <c r="G46" s="24">
        <f t="array" ref="G46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6" s="24">
        <f t="array" ref="H46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1</v>
      </c>
      <c r="I46" s="24">
        <f>IF($C$4="All Portfolios",
   COUNTIFS(Positions!$O$2:$O$644, tbl_report_manager[[#This Row],[CLO/ABS Debt]]),
   COUNTIFS(Positions!$M$2:$M$644, $C$4,Positions!$O$2:$O$644, tbl_report_manager[[#This Row],[CLO/ABS Debt]])
)</f>
        <v>0</v>
      </c>
    </row>
    <row r="47" spans="2:9" x14ac:dyDescent="0.2">
      <c r="B47" s="9" t="s">
        <v>74</v>
      </c>
      <c r="C47" s="11">
        <f>IF($C$4="All Portfolios",
   SUMIFS(Positions!$D$2:$D$644,Positions!$O$2:$O$644, tbl_report_manager[[#This Row],[CLO/ABS Debt]]),
   SUMIFS(Positions!$D$2:$D$644, Positions!$M$2:$M$644, $C$4,Positions!$O$2:$O$644, tbl_report_manager[[#This Row],[CLO/ABS Debt]]))</f>
        <v>11480000</v>
      </c>
      <c r="D47" s="11">
        <f>IF($C$4="All Portfolios",
   SUMIFS(Positions!$E$2:$E$644,Positions!$O$2:$O$644, tbl_report_manager[[#This Row],[CLO/ABS Debt]]),
   SUMIFS(Positions!$E$2:$E$644, Positions!$M$2:$M$644, $C$4,Positions!$O$2:$O$644, tbl_report_manager[[#This Row],[CLO/ABS Debt]]))</f>
        <v>11489209.039999999</v>
      </c>
      <c r="E47" s="34">
        <f>IFERROR(tbl_report_manager[[#This Row],[Current Face]]/$C$37,0)</f>
        <v>6.3213336066851256E-2</v>
      </c>
      <c r="F47" s="34">
        <f>IFERROR(tbl_report_manager[[#This Row],[Market Value]]/$D$37,0)</f>
        <v>6.2905124193520401E-2</v>
      </c>
      <c r="G47" s="24">
        <f t="array" ref="G47">IF($C$4="All Portfolios",
   COUNTA(_xlfn.UNIQUE(_xlfn._xlws.FILTER(Positions!$G$2:$G$644,Positions!$O$2:$O$644= tbl_report_manager[[#This Row],[CLO/ABS Debt]]))),
    COUNTA(_xlfn.UNIQUE(_xlfn._xlws.FILTER(Positions!$G$2:$G$644, (Positions!$O$2:$O$644= tbl_report_manager[[#This Row],[CLO/ABS Debt]])*(Positions!$M$2:$M$644= $C$4))))
)</f>
        <v>1</v>
      </c>
      <c r="H47" s="24">
        <f t="array" ref="H47">IF($C$4="All Portfolios",
   COUNTA(_xlfn.UNIQUE(_xlfn._xlws.FILTER(Positions!$C$2:$C$644,Positions!$O$2:$O$644 = tbl_report_manager[[#This Row],[CLO/ABS Debt]]))),
    COUNTA(_xlfn.UNIQUE(_xlfn._xlws.FILTER(Positions!$C$2:$C$644, (Positions!$O$2:$O$644 = tbl_report_manager[[#This Row],[CLO/ABS Debt]])*(Positions!$M$2:$M$644= $C$4))))
)</f>
        <v>3</v>
      </c>
      <c r="I47" s="24">
        <f>IF($C$4="All Portfolios",
   COUNTIFS(Positions!$O$2:$O$644, tbl_report_manager[[#This Row],[CLO/ABS Debt]]),
   COUNTIFS(Positions!$M$2:$M$644, $C$4,Positions!$O$2:$O$644, tbl_report_manager[[#This Row],[CLO/ABS Debt]])
)</f>
        <v>3</v>
      </c>
    </row>
    <row r="51" spans="2:10" ht="15" x14ac:dyDescent="0.25">
      <c r="B51"/>
    </row>
    <row r="52" spans="2:10" ht="15" x14ac:dyDescent="0.25">
      <c r="B52" t="s">
        <v>212</v>
      </c>
      <c r="C52" t="s">
        <v>81</v>
      </c>
      <c r="D52" t="s">
        <v>82</v>
      </c>
      <c r="E52" t="s">
        <v>83</v>
      </c>
      <c r="F52" t="s">
        <v>84</v>
      </c>
      <c r="G52" t="s">
        <v>16</v>
      </c>
      <c r="H52" t="s">
        <v>7</v>
      </c>
    </row>
    <row r="53" spans="2:10" ht="15" x14ac:dyDescent="0.25">
      <c r="B53" t="s">
        <v>213</v>
      </c>
      <c r="C53" t="s">
        <v>214</v>
      </c>
      <c r="D53" t="s">
        <v>215</v>
      </c>
      <c r="E53" t="s">
        <v>216</v>
      </c>
      <c r="F53" t="s">
        <v>217</v>
      </c>
      <c r="G53">
        <f>IF($C$4="All Portfolios",-SUMIFS(tbl_rawtran[Quantity],tbl_rawtran[Security ID],E53,tbl_rawtran[Type], "Paydown"),-SUMIFS(tbl_rawtran[Quantity],tbl_rawtran[Portfolio_Name],$C$4,tbl_rawtran[Security ID],E53,tbl_rawtran[Type], "Paydown"))</f>
        <v>0</v>
      </c>
      <c r="H53" t="s">
        <v>21</v>
      </c>
    </row>
    <row r="58" spans="2:10" ht="15" x14ac:dyDescent="0.25">
      <c r="B58"/>
    </row>
    <row r="59" spans="2:10" ht="15" x14ac:dyDescent="0.25">
      <c r="B59" t="s">
        <v>81</v>
      </c>
      <c r="C59" t="s">
        <v>82</v>
      </c>
      <c r="D59" t="s">
        <v>83</v>
      </c>
      <c r="E59" t="s">
        <v>91</v>
      </c>
      <c r="F59" t="s">
        <v>84</v>
      </c>
      <c r="G59" t="s">
        <v>16</v>
      </c>
      <c r="H59" t="s">
        <v>92</v>
      </c>
      <c r="I59" t="s">
        <v>93</v>
      </c>
      <c r="J59" t="s">
        <v>7</v>
      </c>
    </row>
    <row r="60" spans="2:10" ht="15" x14ac:dyDescent="0.25">
      <c r="B60" t="s">
        <v>380</v>
      </c>
      <c r="C60" t="s">
        <v>381</v>
      </c>
      <c r="D60" t="s">
        <v>382</v>
      </c>
      <c r="E60" t="s">
        <v>383</v>
      </c>
      <c r="F60" t="s">
        <v>384</v>
      </c>
      <c r="G60">
        <f>IF($C$4="All Portfolios",SUMIFS(tbl_rawtran[Quantity],tbl_rawtran[Security ID],D60,tbl_rawtran[Type], "SELL"),SUMIFS(tbl_rawtran[Quantity],tbl_rawtran[Portfolio_Name],$C$4,tbl_rawtran[Security ID],D60,tbl_rawtran[Type], "SELL"))</f>
        <v>-5000000</v>
      </c>
      <c r="H60">
        <v>100.075</v>
      </c>
      <c r="I60" t="s">
        <v>385</v>
      </c>
      <c r="J60" t="s">
        <v>28</v>
      </c>
    </row>
    <row r="66" spans="2:19" ht="15" x14ac:dyDescent="0.25">
      <c r="B66"/>
    </row>
    <row r="67" spans="2:19" ht="15" x14ac:dyDescent="0.25">
      <c r="B67" t="s">
        <v>81</v>
      </c>
      <c r="C67" t="s">
        <v>82</v>
      </c>
      <c r="D67" t="s">
        <v>83</v>
      </c>
      <c r="E67" t="s">
        <v>91</v>
      </c>
      <c r="F67" t="s">
        <v>84</v>
      </c>
      <c r="G67" t="s">
        <v>16</v>
      </c>
      <c r="H67" t="s">
        <v>98</v>
      </c>
      <c r="I67" t="s">
        <v>93</v>
      </c>
      <c r="J67" t="s">
        <v>7</v>
      </c>
    </row>
    <row r="68" spans="2:19" ht="15" x14ac:dyDescent="0.25">
      <c r="B68" t="s">
        <v>227</v>
      </c>
      <c r="C68" t="s">
        <v>401</v>
      </c>
      <c r="D68" t="s">
        <v>402</v>
      </c>
      <c r="E68" t="s">
        <v>403</v>
      </c>
      <c r="F68" t="s">
        <v>230</v>
      </c>
      <c r="G68">
        <f>IF($C$4="All Portfolios",SUMIFS(tbl_rawtran[Quantity],tbl_rawtran[Security ID],D68,tbl_rawtran[Type], "BUY"),SUMIFS(tbl_rawtran[Quantity],tbl_rawtran[Portfolio_Name],$C$4,tbl_rawtran[Security ID],D68,tbl_rawtran[Type], "BUY"))</f>
        <v>927000</v>
      </c>
      <c r="H68">
        <v>100</v>
      </c>
      <c r="I68" t="s">
        <v>404</v>
      </c>
      <c r="J68" t="s">
        <v>24</v>
      </c>
    </row>
    <row r="74" spans="2:19" ht="15" x14ac:dyDescent="0.25">
      <c r="B74"/>
    </row>
    <row r="75" spans="2:19" ht="15" x14ac:dyDescent="0.25">
      <c r="B75" t="s">
        <v>83</v>
      </c>
      <c r="C75" t="s">
        <v>81</v>
      </c>
      <c r="D75" t="s">
        <v>82</v>
      </c>
      <c r="E75" t="s">
        <v>107</v>
      </c>
      <c r="F75" t="s">
        <v>93</v>
      </c>
      <c r="G75" t="s">
        <v>15</v>
      </c>
      <c r="H75" t="s">
        <v>108</v>
      </c>
      <c r="I75" t="s">
        <v>49</v>
      </c>
      <c r="J75" t="s">
        <v>109</v>
      </c>
      <c r="K75" t="s">
        <v>50</v>
      </c>
      <c r="L75" t="s">
        <v>20</v>
      </c>
      <c r="M75" t="s">
        <v>110</v>
      </c>
      <c r="N75" t="s">
        <v>111</v>
      </c>
      <c r="O75" t="s">
        <v>14</v>
      </c>
      <c r="P75" t="s">
        <v>112</v>
      </c>
      <c r="Q75" t="s">
        <v>113</v>
      </c>
      <c r="R75" t="s">
        <v>114</v>
      </c>
      <c r="S75" t="s">
        <v>115</v>
      </c>
    </row>
    <row r="76" spans="2:19" ht="15" x14ac:dyDescent="0.25">
      <c r="B76"/>
      <c r="C76"/>
      <c r="D76"/>
      <c r="E76"/>
      <c r="F76"/>
      <c r="G76"/>
      <c r="H76"/>
      <c r="I76">
        <f>IF($C$4="All Portfolios",SUMIFS(Positions!$D$2:$D$644,Positions!$C$2:$C$644,B76),SUMIFS(Positions!$D$2:$D$644,Positions!$M$2:$M$644,$C$4,Positions!$C$2:$C$644,B76))</f>
        <v>0</v>
      </c>
      <c r="J76"/>
      <c r="K76"/>
      <c r="L76">
        <f>IF($C$4="All Portfolios",SUMIFS(Positions!$E$2:$E$644,Positions!$C$2:$C$644,B76),SUMIFS(Positions!$E$2:$E$644,Positions!$M$2:$M$644,$C$4,Positions!$C$2:$C$644,B76))</f>
        <v>0</v>
      </c>
      <c r="M76"/>
      <c r="N76"/>
      <c r="O76"/>
      <c r="P76"/>
      <c r="Q76"/>
      <c r="R76"/>
      <c r="S76"/>
    </row>
    <row r="82" spans="2:19" ht="15" x14ac:dyDescent="0.25">
      <c r="B82"/>
    </row>
    <row r="83" spans="2:19" ht="15" x14ac:dyDescent="0.25">
      <c r="B83" t="s">
        <v>83</v>
      </c>
      <c r="C83" t="s">
        <v>81</v>
      </c>
      <c r="D83" t="s">
        <v>82</v>
      </c>
      <c r="E83" t="s">
        <v>107</v>
      </c>
      <c r="F83" t="s">
        <v>93</v>
      </c>
      <c r="G83" t="s">
        <v>15</v>
      </c>
      <c r="H83" t="s">
        <v>108</v>
      </c>
      <c r="I83" t="s">
        <v>49</v>
      </c>
      <c r="J83" t="s">
        <v>109</v>
      </c>
      <c r="K83" t="s">
        <v>50</v>
      </c>
      <c r="L83" t="s">
        <v>20</v>
      </c>
      <c r="M83" t="s">
        <v>110</v>
      </c>
      <c r="N83" t="s">
        <v>111</v>
      </c>
      <c r="O83" t="s">
        <v>14</v>
      </c>
      <c r="P83" t="s">
        <v>112</v>
      </c>
      <c r="Q83" t="s">
        <v>113</v>
      </c>
      <c r="R83" t="s">
        <v>114</v>
      </c>
      <c r="S83" t="s">
        <v>115</v>
      </c>
    </row>
    <row r="84" spans="2:19" ht="15" x14ac:dyDescent="0.25">
      <c r="B84" t="s">
        <v>567</v>
      </c>
      <c r="C84" t="s">
        <v>568</v>
      </c>
      <c r="D84" t="s">
        <v>569</v>
      </c>
      <c r="E84" t="s">
        <v>570</v>
      </c>
      <c r="F84" t="s">
        <v>571</v>
      </c>
      <c r="G84">
        <v>6.8291599999999999</v>
      </c>
      <c r="H84">
        <v>251.161</v>
      </c>
      <c r="I84">
        <f>IF($C$4="All Portfolios",SUMIFS(Positions!$D$2:$D$644,Positions!$C$2:$C$644,B84),SUMIFS(Positions!$D$2:$D$644,Positions!$M$2:$M$644,$C$4,Positions!$C$2:$C$644,B84))</f>
        <v>247037</v>
      </c>
      <c r="J84">
        <v>1</v>
      </c>
      <c r="K84">
        <v>100.2955</v>
      </c>
      <c r="L84">
        <f>IF($C$4="All Portfolios",SUMIFS(Positions!$E$2:$E$644,Positions!$C$2:$C$644,B84),SUMIFS(Positions!$E$2:$E$644,Positions!$M$2:$M$644,$C$4,Positions!$C$2:$C$644,B84))</f>
        <v>247766.99</v>
      </c>
      <c r="M84" t="s">
        <v>572</v>
      </c>
      <c r="N84" t="s">
        <v>573</v>
      </c>
      <c r="O84">
        <v>2.6001600630000001</v>
      </c>
      <c r="P84">
        <v>0.37616781976000002</v>
      </c>
      <c r="Q84">
        <v>238.32200597299999</v>
      </c>
      <c r="R84" t="s">
        <v>574</v>
      </c>
      <c r="S84" t="s">
        <v>575</v>
      </c>
    </row>
    <row r="85" spans="2:19" ht="15" x14ac:dyDescent="0.25">
      <c r="B85" t="s">
        <v>310</v>
      </c>
      <c r="C85" t="s">
        <v>576</v>
      </c>
      <c r="D85" t="s">
        <v>309</v>
      </c>
      <c r="E85" t="s">
        <v>577</v>
      </c>
      <c r="F85" t="s">
        <v>578</v>
      </c>
      <c r="G85">
        <v>6.2840100000000003</v>
      </c>
      <c r="H85">
        <v>196.161</v>
      </c>
      <c r="I85">
        <f>IF($C$4="All Portfolios",SUMIFS(Positions!$D$2:$D$644,Positions!$C$2:$C$644,B85),SUMIFS(Positions!$D$2:$D$644,Positions!$M$2:$M$644,$C$4,Positions!$C$2:$C$644,B85))</f>
        <v>970000</v>
      </c>
      <c r="J85">
        <v>1</v>
      </c>
      <c r="K85">
        <v>100.4838</v>
      </c>
      <c r="L85">
        <f>IF($C$4="All Portfolios",SUMIFS(Positions!$E$2:$E$644,Positions!$C$2:$C$644,B85),SUMIFS(Positions!$E$2:$E$644,Positions!$M$2:$M$644,$C$4,Positions!$C$2:$C$644,B85))</f>
        <v>974692.86</v>
      </c>
      <c r="M85" t="s">
        <v>572</v>
      </c>
      <c r="N85" t="s">
        <v>119</v>
      </c>
      <c r="O85">
        <v>2.337350518</v>
      </c>
      <c r="P85">
        <v>0.38541549266000003</v>
      </c>
      <c r="Q85">
        <v>173.29034757700001</v>
      </c>
      <c r="R85" t="s">
        <v>579</v>
      </c>
      <c r="S85" t="s">
        <v>580</v>
      </c>
    </row>
    <row r="86" spans="2:19" ht="15" x14ac:dyDescent="0.25">
      <c r="B86" t="s">
        <v>581</v>
      </c>
      <c r="C86" t="s">
        <v>582</v>
      </c>
      <c r="D86" t="s">
        <v>583</v>
      </c>
      <c r="E86" t="s">
        <v>584</v>
      </c>
      <c r="F86" t="s">
        <v>585</v>
      </c>
      <c r="G86">
        <v>2.6360000000000001</v>
      </c>
      <c r="H86"/>
      <c r="I86">
        <f>IF($C$4="All Portfolios",SUMIFS(Positions!$D$2:$D$644,Positions!$C$2:$C$644,B86),SUMIFS(Positions!$D$2:$D$644,Positions!$M$2:$M$644,$C$4,Positions!$C$2:$C$644,B86))</f>
        <v>15000000</v>
      </c>
      <c r="J86">
        <v>1</v>
      </c>
      <c r="K86">
        <v>99.640784999999994</v>
      </c>
      <c r="L86">
        <f>IF($C$4="All Portfolios",SUMIFS(Positions!$E$2:$E$644,Positions!$C$2:$C$644,B86),SUMIFS(Positions!$E$2:$E$644,Positions!$M$2:$M$644,$C$4,Positions!$C$2:$C$644,B86))</f>
        <v>14946117.75</v>
      </c>
      <c r="M86" t="s">
        <v>586</v>
      </c>
      <c r="N86" t="s">
        <v>587</v>
      </c>
      <c r="O86">
        <v>0.122987419</v>
      </c>
      <c r="P86">
        <v>0.23715415019764</v>
      </c>
      <c r="Q86">
        <v>657.492270147</v>
      </c>
      <c r="R86" t="s">
        <v>486</v>
      </c>
      <c r="S86"/>
    </row>
    <row r="92" spans="2:19" ht="15" x14ac:dyDescent="0.25">
      <c r="B92"/>
    </row>
    <row r="93" spans="2:19" ht="15" x14ac:dyDescent="0.25">
      <c r="B93" t="s">
        <v>83</v>
      </c>
      <c r="C93" t="s">
        <v>81</v>
      </c>
      <c r="D93" t="s">
        <v>82</v>
      </c>
      <c r="E93" t="s">
        <v>107</v>
      </c>
      <c r="F93" t="s">
        <v>93</v>
      </c>
      <c r="G93" t="s">
        <v>15</v>
      </c>
      <c r="H93" t="s">
        <v>108</v>
      </c>
      <c r="I93" t="s">
        <v>49</v>
      </c>
      <c r="J93" t="s">
        <v>109</v>
      </c>
      <c r="K93" t="s">
        <v>50</v>
      </c>
      <c r="L93" t="s">
        <v>20</v>
      </c>
      <c r="M93" t="s">
        <v>110</v>
      </c>
      <c r="N93" t="s">
        <v>111</v>
      </c>
      <c r="O93" t="s">
        <v>14</v>
      </c>
      <c r="P93" t="s">
        <v>112</v>
      </c>
      <c r="Q93" t="s">
        <v>113</v>
      </c>
      <c r="R93" t="s">
        <v>114</v>
      </c>
      <c r="S93" t="s">
        <v>115</v>
      </c>
    </row>
    <row r="94" spans="2:19" ht="15" x14ac:dyDescent="0.25">
      <c r="B94" t="s">
        <v>402</v>
      </c>
      <c r="C94" t="s">
        <v>588</v>
      </c>
      <c r="D94" t="s">
        <v>401</v>
      </c>
      <c r="E94" t="s">
        <v>589</v>
      </c>
      <c r="F94" t="s">
        <v>404</v>
      </c>
      <c r="G94">
        <v>6.4689899999999998</v>
      </c>
      <c r="H94">
        <v>215</v>
      </c>
      <c r="I94">
        <f>IF($C$4="All Portfolios",SUMIFS(Positions!$D$2:$D$644,Positions!$C$2:$C$644,B94),SUMIFS(Positions!$D$2:$D$644,Positions!$M$2:$M$644,$C$4,Positions!$C$2:$C$644,B94))</f>
        <v>927000</v>
      </c>
      <c r="J94">
        <v>1</v>
      </c>
      <c r="K94">
        <v>100.9195</v>
      </c>
      <c r="L94">
        <f>IF($C$4="All Portfolios",SUMIFS(Positions!$E$2:$E$644,Positions!$C$2:$C$644,B94),SUMIFS(Positions!$E$2:$E$644,Positions!$M$2:$M$644,$C$4,Positions!$C$2:$C$644,B94))</f>
        <v>935523.77</v>
      </c>
      <c r="M94" t="s">
        <v>590</v>
      </c>
      <c r="N94" t="s">
        <v>24</v>
      </c>
      <c r="O94">
        <v>9.1695377439999994</v>
      </c>
      <c r="P94">
        <v>0.17880402498</v>
      </c>
      <c r="Q94">
        <v>202.15609279200001</v>
      </c>
      <c r="R94" t="s">
        <v>591</v>
      </c>
      <c r="S94" t="s">
        <v>592</v>
      </c>
    </row>
    <row r="95" spans="2:19" ht="15" x14ac:dyDescent="0.25">
      <c r="B95" t="s">
        <v>593</v>
      </c>
      <c r="C95" t="s">
        <v>594</v>
      </c>
      <c r="D95" t="s">
        <v>595</v>
      </c>
      <c r="E95" t="s">
        <v>596</v>
      </c>
      <c r="F95" t="s">
        <v>597</v>
      </c>
      <c r="G95">
        <v>6.3819900000000001</v>
      </c>
      <c r="H95">
        <v>205</v>
      </c>
      <c r="I95">
        <f>IF($C$4="All Portfolios",SUMIFS(Positions!$D$2:$D$644,Positions!$C$2:$C$644,B95),SUMIFS(Positions!$D$2:$D$644,Positions!$M$2:$M$644,$C$4,Positions!$C$2:$C$644,B95))</f>
        <v>4050000</v>
      </c>
      <c r="J95">
        <v>1</v>
      </c>
      <c r="K95">
        <v>100.3793</v>
      </c>
      <c r="L95">
        <f>IF($C$4="All Portfolios",SUMIFS(Positions!$E$2:$E$644,Positions!$C$2:$C$644,B95),SUMIFS(Positions!$E$2:$E$644,Positions!$M$2:$M$644,$C$4,Positions!$C$2:$C$644,B95))</f>
        <v>4065361.65</v>
      </c>
      <c r="M95" t="s">
        <v>598</v>
      </c>
      <c r="N95" t="s">
        <v>24</v>
      </c>
      <c r="O95">
        <v>8.2745265989999996</v>
      </c>
      <c r="P95">
        <v>0.18026611926</v>
      </c>
      <c r="Q95">
        <v>199.21466742600001</v>
      </c>
      <c r="R95" t="s">
        <v>599</v>
      </c>
      <c r="S95" t="s">
        <v>600</v>
      </c>
    </row>
    <row r="101" spans="2:19" ht="15" x14ac:dyDescent="0.25">
      <c r="B101"/>
    </row>
    <row r="102" spans="2:19" ht="15" x14ac:dyDescent="0.25">
      <c r="B102" t="s">
        <v>83</v>
      </c>
      <c r="C102" t="s">
        <v>81</v>
      </c>
      <c r="D102" t="s">
        <v>82</v>
      </c>
      <c r="E102" t="s">
        <v>107</v>
      </c>
      <c r="F102" t="s">
        <v>93</v>
      </c>
      <c r="G102" t="s">
        <v>15</v>
      </c>
      <c r="H102" t="s">
        <v>108</v>
      </c>
      <c r="I102" t="s">
        <v>49</v>
      </c>
      <c r="J102" t="s">
        <v>109</v>
      </c>
      <c r="K102" t="s">
        <v>50</v>
      </c>
      <c r="L102" t="s">
        <v>20</v>
      </c>
      <c r="M102" t="s">
        <v>110</v>
      </c>
      <c r="N102" t="s">
        <v>111</v>
      </c>
      <c r="O102" t="s">
        <v>14</v>
      </c>
      <c r="P102" t="s">
        <v>112</v>
      </c>
      <c r="Q102" t="s">
        <v>113</v>
      </c>
      <c r="R102" t="s">
        <v>114</v>
      </c>
      <c r="S102" t="s">
        <v>115</v>
      </c>
    </row>
    <row r="103" spans="2:19" ht="15" x14ac:dyDescent="0.25">
      <c r="B103" t="s">
        <v>412</v>
      </c>
      <c r="C103" t="s">
        <v>588</v>
      </c>
      <c r="D103" t="s">
        <v>411</v>
      </c>
      <c r="E103" t="s">
        <v>736</v>
      </c>
      <c r="F103" t="s">
        <v>409</v>
      </c>
      <c r="G103">
        <v>7.3704599999999996</v>
      </c>
      <c r="H103">
        <v>305</v>
      </c>
      <c r="I103">
        <f>IF($C$4="All Portfolios",SUMIFS(Positions!$D$2:$D$644,Positions!$C$2:$C$644,B103),SUMIFS(Positions!$D$2:$D$644,Positions!$M$2:$M$644,$C$4,Positions!$C$2:$C$644,B103))</f>
        <v>3500000</v>
      </c>
      <c r="J103">
        <v>1</v>
      </c>
      <c r="K103">
        <v>100.4057</v>
      </c>
      <c r="L103">
        <f>IF($C$4="All Portfolios",SUMIFS(Positions!$E$2:$E$644,Positions!$C$2:$C$644,B103),SUMIFS(Positions!$E$2:$E$644,Positions!$M$2:$M$644,$C$4,Positions!$C$2:$C$644,B103))</f>
        <v>3514199.5</v>
      </c>
      <c r="M103" t="s">
        <v>590</v>
      </c>
      <c r="N103" t="s">
        <v>777</v>
      </c>
      <c r="O103">
        <v>9.2339745929999992</v>
      </c>
      <c r="P103">
        <v>0.11770896171</v>
      </c>
      <c r="Q103">
        <v>299.109232002</v>
      </c>
      <c r="R103" t="s">
        <v>726</v>
      </c>
      <c r="S103" t="s">
        <v>778</v>
      </c>
    </row>
    <row r="109" spans="2:19" ht="15" x14ac:dyDescent="0.25">
      <c r="B109"/>
    </row>
    <row r="110" spans="2:19" ht="15" x14ac:dyDescent="0.25">
      <c r="B110" t="s">
        <v>83</v>
      </c>
      <c r="C110" t="s">
        <v>81</v>
      </c>
      <c r="D110" t="s">
        <v>82</v>
      </c>
      <c r="E110" t="s">
        <v>107</v>
      </c>
      <c r="F110" t="s">
        <v>93</v>
      </c>
      <c r="G110" t="s">
        <v>15</v>
      </c>
      <c r="H110" t="s">
        <v>108</v>
      </c>
      <c r="I110" t="s">
        <v>49</v>
      </c>
      <c r="J110" t="s">
        <v>109</v>
      </c>
      <c r="K110" t="s">
        <v>50</v>
      </c>
      <c r="L110" t="s">
        <v>20</v>
      </c>
      <c r="M110" t="s">
        <v>110</v>
      </c>
      <c r="N110" t="s">
        <v>111</v>
      </c>
      <c r="O110" t="s">
        <v>14</v>
      </c>
      <c r="P110" t="s">
        <v>112</v>
      </c>
      <c r="Q110" t="s">
        <v>113</v>
      </c>
      <c r="R110" t="s">
        <v>114</v>
      </c>
      <c r="S110" t="s">
        <v>115</v>
      </c>
    </row>
    <row r="111" spans="2:19" ht="15" x14ac:dyDescent="0.25">
      <c r="B111" t="s">
        <v>101</v>
      </c>
      <c r="C111" t="s">
        <v>588</v>
      </c>
      <c r="D111" t="s">
        <v>100</v>
      </c>
      <c r="E111" t="s">
        <v>1362</v>
      </c>
      <c r="F111" t="s">
        <v>102</v>
      </c>
      <c r="G111">
        <v>10.93549</v>
      </c>
      <c r="H111">
        <v>661</v>
      </c>
      <c r="I111">
        <f>IF($C$4="All Portfolios",SUMIFS(Positions!$D$2:$D$644,Positions!$C$2:$C$644,B111),SUMIFS(Positions!$D$2:$D$644,Positions!$M$2:$M$644,$C$4,Positions!$C$2:$C$644,B111))</f>
        <v>4500000</v>
      </c>
      <c r="J111">
        <v>1</v>
      </c>
      <c r="K111">
        <v>100.8477</v>
      </c>
      <c r="L111">
        <f>IF($C$4="All Portfolios",SUMIFS(Positions!$E$2:$E$644,Positions!$C$2:$C$644,B111),SUMIFS(Positions!$E$2:$E$644,Positions!$M$2:$M$644,$C$4,Positions!$C$2:$C$644,B111))</f>
        <v>4538146.5</v>
      </c>
      <c r="M111" t="s">
        <v>590</v>
      </c>
      <c r="N111" t="s">
        <v>1363</v>
      </c>
      <c r="O111">
        <v>10.114242512000001</v>
      </c>
      <c r="P111">
        <v>7.5380415159999992E-2</v>
      </c>
      <c r="Q111">
        <v>647.40376874000003</v>
      </c>
      <c r="R111" t="s">
        <v>611</v>
      </c>
      <c r="S111" t="s">
        <v>637</v>
      </c>
    </row>
    <row r="117" spans="2:19" ht="15" x14ac:dyDescent="0.25">
      <c r="B117"/>
    </row>
    <row r="118" spans="2:19" ht="15" x14ac:dyDescent="0.25">
      <c r="B118" t="s">
        <v>83</v>
      </c>
      <c r="C118" t="s">
        <v>81</v>
      </c>
      <c r="D118" t="s">
        <v>82</v>
      </c>
      <c r="E118" t="s">
        <v>107</v>
      </c>
      <c r="F118" t="s">
        <v>93</v>
      </c>
      <c r="G118" t="s">
        <v>15</v>
      </c>
      <c r="H118" t="s">
        <v>108</v>
      </c>
      <c r="I118" t="s">
        <v>49</v>
      </c>
      <c r="J118" t="s">
        <v>109</v>
      </c>
      <c r="K118" t="s">
        <v>50</v>
      </c>
      <c r="L118" t="s">
        <v>20</v>
      </c>
      <c r="M118" t="s">
        <v>110</v>
      </c>
      <c r="N118" t="s">
        <v>111</v>
      </c>
      <c r="O118" t="s">
        <v>14</v>
      </c>
      <c r="P118" t="s">
        <v>112</v>
      </c>
      <c r="Q118" t="s">
        <v>113</v>
      </c>
      <c r="R118" t="s">
        <v>114</v>
      </c>
      <c r="S118" t="s">
        <v>115</v>
      </c>
    </row>
    <row r="119" spans="2:19" ht="15" x14ac:dyDescent="0.25">
      <c r="B119" t="s">
        <v>372</v>
      </c>
      <c r="C119" t="s">
        <v>1380</v>
      </c>
      <c r="D119" t="s">
        <v>371</v>
      </c>
      <c r="E119" t="s">
        <v>1060</v>
      </c>
      <c r="F119" t="s">
        <v>1061</v>
      </c>
      <c r="G119">
        <v>12.57916</v>
      </c>
      <c r="H119">
        <v>826.16099999999994</v>
      </c>
      <c r="I119">
        <f>IF($C$4="All Portfolios",SUMIFS(Positions!$D$2:$D$644,Positions!$C$2:$C$644,B119),SUMIFS(Positions!$D$2:$D$644,Positions!$M$2:$M$644,$C$4,Positions!$C$2:$C$644,B119))</f>
        <v>5577177.1165439999</v>
      </c>
      <c r="J119">
        <v>1.1402570000000001</v>
      </c>
      <c r="K119">
        <v>96.257000000000005</v>
      </c>
      <c r="L119">
        <f>IF($C$4="All Portfolios",SUMIFS(Positions!$E$2:$E$644,Positions!$C$2:$C$644,B119),SUMIFS(Positions!$E$2:$E$644,Positions!$M$2:$M$644,$C$4,Positions!$C$2:$C$644,B119))</f>
        <v>5368423.3800000008</v>
      </c>
      <c r="M119" t="s">
        <v>598</v>
      </c>
      <c r="N119" t="s">
        <v>1470</v>
      </c>
      <c r="O119">
        <v>5.3475149870000003</v>
      </c>
      <c r="P119">
        <v>4.5584747510000002E-2</v>
      </c>
      <c r="Q119">
        <v>917.90243091599996</v>
      </c>
      <c r="R119" t="s">
        <v>574</v>
      </c>
      <c r="S119" t="s">
        <v>1353</v>
      </c>
    </row>
    <row r="120" spans="2:19" ht="15" x14ac:dyDescent="0.25">
      <c r="B120" t="s">
        <v>1471</v>
      </c>
      <c r="C120" t="s">
        <v>117</v>
      </c>
      <c r="D120" t="s">
        <v>1472</v>
      </c>
      <c r="E120" t="s">
        <v>929</v>
      </c>
      <c r="F120" t="s">
        <v>930</v>
      </c>
      <c r="G120">
        <v>10.0871</v>
      </c>
      <c r="H120">
        <v>576.16099999999994</v>
      </c>
      <c r="I120">
        <f>IF($C$4="All Portfolios",SUMIFS(Positions!$D$2:$D$644,Positions!$C$2:$C$644,B120),SUMIFS(Positions!$D$2:$D$644,Positions!$M$2:$M$644,$C$4,Positions!$C$2:$C$644,B120))</f>
        <v>33750000</v>
      </c>
      <c r="J120">
        <v>1</v>
      </c>
      <c r="K120">
        <v>99.427199999999999</v>
      </c>
      <c r="L120">
        <f>IF($C$4="All Portfolios",SUMIFS(Positions!$E$2:$E$644,Positions!$C$2:$C$644,B120),SUMIFS(Positions!$E$2:$E$644,Positions!$M$2:$M$644,$C$4,Positions!$C$2:$C$644,B120))</f>
        <v>33556680</v>
      </c>
      <c r="M120" t="s">
        <v>572</v>
      </c>
      <c r="N120" t="s">
        <v>1473</v>
      </c>
      <c r="O120">
        <v>3.7449948989999999</v>
      </c>
      <c r="P120">
        <v>8.3278186850000005E-2</v>
      </c>
      <c r="Q120">
        <v>594.17199313399999</v>
      </c>
      <c r="R120" t="s">
        <v>611</v>
      </c>
      <c r="S120" t="s">
        <v>932</v>
      </c>
    </row>
    <row r="121" spans="2:19" ht="15" x14ac:dyDescent="0.25">
      <c r="B121" t="s">
        <v>1474</v>
      </c>
      <c r="C121" t="s">
        <v>698</v>
      </c>
      <c r="D121" t="s">
        <v>1475</v>
      </c>
      <c r="E121" t="s">
        <v>751</v>
      </c>
      <c r="F121" t="s">
        <v>752</v>
      </c>
      <c r="G121">
        <v>13.549160000000001</v>
      </c>
      <c r="H121">
        <v>923.16099999999994</v>
      </c>
      <c r="I121">
        <f>IF($C$4="All Portfolios",SUMIFS(Positions!$D$2:$D$644,Positions!$C$2:$C$644,B121),SUMIFS(Positions!$D$2:$D$644,Positions!$M$2:$M$644,$C$4,Positions!$C$2:$C$644,B121))</f>
        <v>1305000</v>
      </c>
      <c r="J121">
        <v>1</v>
      </c>
      <c r="K121">
        <v>102.1258</v>
      </c>
      <c r="L121">
        <f>IF($C$4="All Portfolios",SUMIFS(Positions!$E$2:$E$644,Positions!$C$2:$C$644,B121),SUMIFS(Positions!$E$2:$E$644,Positions!$M$2:$M$644,$C$4,Positions!$C$2:$C$644,B121))</f>
        <v>1332741.69</v>
      </c>
      <c r="M121" t="s">
        <v>572</v>
      </c>
      <c r="N121" t="s">
        <v>1473</v>
      </c>
      <c r="O121">
        <v>4.218523362</v>
      </c>
      <c r="P121">
        <v>0.10123630138</v>
      </c>
      <c r="Q121">
        <v>949.88684991100001</v>
      </c>
      <c r="R121" t="s">
        <v>574</v>
      </c>
      <c r="S121" t="s">
        <v>711</v>
      </c>
    </row>
    <row r="127" spans="2:19" ht="15" x14ac:dyDescent="0.25">
      <c r="B127"/>
    </row>
    <row r="128" spans="2:19" ht="15" x14ac:dyDescent="0.25">
      <c r="B128" t="s">
        <v>83</v>
      </c>
      <c r="C128" t="s">
        <v>81</v>
      </c>
      <c r="D128" t="s">
        <v>82</v>
      </c>
      <c r="E128" t="s">
        <v>107</v>
      </c>
      <c r="F128" t="s">
        <v>93</v>
      </c>
      <c r="G128" t="s">
        <v>15</v>
      </c>
      <c r="H128" t="s">
        <v>108</v>
      </c>
      <c r="I128" t="s">
        <v>49</v>
      </c>
      <c r="J128" t="s">
        <v>109</v>
      </c>
      <c r="K128" t="s">
        <v>50</v>
      </c>
      <c r="L128" t="s">
        <v>20</v>
      </c>
      <c r="M128" t="s">
        <v>110</v>
      </c>
      <c r="N128" t="s">
        <v>111</v>
      </c>
      <c r="O128" t="s">
        <v>14</v>
      </c>
      <c r="P128" t="s">
        <v>112</v>
      </c>
      <c r="Q128" t="s">
        <v>113</v>
      </c>
      <c r="R128" t="s">
        <v>114</v>
      </c>
      <c r="S128" t="s">
        <v>115</v>
      </c>
    </row>
    <row r="129" spans="2:19" ht="15" x14ac:dyDescent="0.25">
      <c r="B129" t="s">
        <v>1476</v>
      </c>
      <c r="C129" t="s">
        <v>762</v>
      </c>
      <c r="D129" t="s">
        <v>1477</v>
      </c>
      <c r="E129" t="s">
        <v>764</v>
      </c>
      <c r="F129" t="s">
        <v>765</v>
      </c>
      <c r="G129">
        <v>13.0871</v>
      </c>
      <c r="H129">
        <v>876.16099999999994</v>
      </c>
      <c r="I129">
        <f>IF($C$4="All Portfolios",SUMIFS(Positions!$D$2:$D$644,Positions!$C$2:$C$644,B129),SUMIFS(Positions!$D$2:$D$644,Positions!$M$2:$M$644,$C$4,Positions!$C$2:$C$644,B129))</f>
        <v>10827000</v>
      </c>
      <c r="J129">
        <v>1</v>
      </c>
      <c r="K129">
        <v>66.677199999999999</v>
      </c>
      <c r="L129">
        <f>IF($C$4="All Portfolios",SUMIFS(Positions!$E$2:$E$644,Positions!$C$2:$C$644,B129),SUMIFS(Positions!$E$2:$E$644,Positions!$M$2:$M$644,$C$4,Positions!$C$2:$C$644,B129))</f>
        <v>7219140.4500000002</v>
      </c>
      <c r="M129" t="s">
        <v>572</v>
      </c>
      <c r="N129" t="s">
        <v>1478</v>
      </c>
      <c r="O129">
        <v>5.022739734</v>
      </c>
      <c r="P129">
        <v>3.6431031429999997E-2</v>
      </c>
      <c r="Q129">
        <v>1506.946677116</v>
      </c>
      <c r="R129" t="s">
        <v>611</v>
      </c>
      <c r="S129" t="s">
        <v>766</v>
      </c>
    </row>
    <row r="135" spans="2:19" ht="15" x14ac:dyDescent="0.25">
      <c r="B135"/>
    </row>
    <row r="136" spans="2:19" ht="15" x14ac:dyDescent="0.25">
      <c r="B136" t="s">
        <v>83</v>
      </c>
      <c r="C136" t="s">
        <v>81</v>
      </c>
      <c r="D136" t="s">
        <v>82</v>
      </c>
      <c r="E136" t="s">
        <v>107</v>
      </c>
      <c r="F136" t="s">
        <v>93</v>
      </c>
      <c r="G136" t="s">
        <v>15</v>
      </c>
      <c r="H136" t="s">
        <v>108</v>
      </c>
      <c r="I136" t="s">
        <v>49</v>
      </c>
      <c r="J136" t="s">
        <v>109</v>
      </c>
      <c r="K136" t="s">
        <v>50</v>
      </c>
      <c r="L136" t="s">
        <v>20</v>
      </c>
      <c r="M136" t="s">
        <v>110</v>
      </c>
      <c r="N136" t="s">
        <v>111</v>
      </c>
      <c r="O136" t="s">
        <v>14</v>
      </c>
      <c r="P136" t="s">
        <v>112</v>
      </c>
      <c r="Q136" t="s">
        <v>113</v>
      </c>
      <c r="R136" t="s">
        <v>114</v>
      </c>
      <c r="S136" t="s">
        <v>115</v>
      </c>
    </row>
    <row r="137" spans="2:19" ht="15" x14ac:dyDescent="0.25">
      <c r="B137" t="s">
        <v>1479</v>
      </c>
      <c r="C137" t="s">
        <v>277</v>
      </c>
      <c r="D137" t="s">
        <v>1480</v>
      </c>
      <c r="E137" t="s">
        <v>1481</v>
      </c>
      <c r="F137" t="s">
        <v>882</v>
      </c>
      <c r="G137">
        <v>7.4254899999999999</v>
      </c>
      <c r="H137">
        <v>310</v>
      </c>
      <c r="I137">
        <f>IF($C$4="All Portfolios",SUMIFS(Positions!$D$2:$D$644,Positions!$C$2:$C$644,B137),SUMIFS(Positions!$D$2:$D$644,Positions!$M$2:$M$644,$C$4,Positions!$C$2:$C$644,B137))</f>
        <v>8790000</v>
      </c>
      <c r="J137">
        <v>1</v>
      </c>
      <c r="K137">
        <v>100.16670000000001</v>
      </c>
      <c r="L137">
        <f>IF($C$4="All Portfolios",SUMIFS(Positions!$E$2:$E$644,Positions!$C$2:$C$644,B137),SUMIFS(Positions!$E$2:$E$644,Positions!$M$2:$M$644,$C$4,Positions!$C$2:$C$644,B137))</f>
        <v>8804652.9299999997</v>
      </c>
      <c r="M137" t="s">
        <v>572</v>
      </c>
      <c r="N137" t="s">
        <v>1482</v>
      </c>
      <c r="O137">
        <v>8.7084858969999992</v>
      </c>
      <c r="P137">
        <v>0.11350431480000001</v>
      </c>
      <c r="Q137">
        <v>307.36381817400002</v>
      </c>
      <c r="R137" t="s">
        <v>603</v>
      </c>
      <c r="S137" t="s">
        <v>1483</v>
      </c>
    </row>
  </sheetData>
  <pageMargins left="0.7" right="0.7" top="0.75" bottom="0.75" header="0.3" footer="0.3"/>
  <pageSetup scale="24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9"/>
  <sheetViews>
    <sheetView workbookViewId="0">
      <selection activeCell="A27" sqref="A27:A28"/>
    </sheetView>
  </sheetViews>
  <sheetFormatPr defaultRowHeight="15" x14ac:dyDescent="0.25"/>
  <cols>
    <col min="1" max="1" width="22.140625" bestFit="1" customWidth="1"/>
  </cols>
  <sheetData>
    <row r="1" spans="1:1" x14ac:dyDescent="0.25">
      <c r="A1" t="s">
        <v>4</v>
      </c>
    </row>
    <row r="2" spans="1:1" x14ac:dyDescent="0.25">
      <c r="A2" t="s">
        <v>1484</v>
      </c>
    </row>
    <row r="3" spans="1:1" x14ac:dyDescent="0.25">
      <c r="A3" t="s">
        <v>1485</v>
      </c>
    </row>
    <row r="4" spans="1:1" x14ac:dyDescent="0.25">
      <c r="A4" t="s">
        <v>1486</v>
      </c>
    </row>
    <row r="5" spans="1:1" x14ac:dyDescent="0.25">
      <c r="A5" t="s">
        <v>1487</v>
      </c>
    </row>
    <row r="6" spans="1:1" x14ac:dyDescent="0.25">
      <c r="A6" t="s">
        <v>1488</v>
      </c>
    </row>
    <row r="7" spans="1:1" x14ac:dyDescent="0.25">
      <c r="A7" t="s">
        <v>1489</v>
      </c>
    </row>
    <row r="8" spans="1:1" x14ac:dyDescent="0.25">
      <c r="A8" t="s">
        <v>1490</v>
      </c>
    </row>
    <row r="9" spans="1:1" x14ac:dyDescent="0.25">
      <c r="A9" t="s">
        <v>1491</v>
      </c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30"/>
  <sheetViews>
    <sheetView workbookViewId="0">
      <selection activeCell="B14" sqref="B14"/>
    </sheetView>
  </sheetViews>
  <sheetFormatPr defaultRowHeight="15" x14ac:dyDescent="0.25"/>
  <cols>
    <col min="1" max="1" width="12" bestFit="1" customWidth="1"/>
    <col min="2" max="2" width="12.5703125" customWidth="1"/>
    <col min="3" max="3" width="32.140625" bestFit="1" customWidth="1"/>
    <col min="4" max="6" width="18.28515625" bestFit="1" customWidth="1"/>
    <col min="7" max="7" width="12.7109375" bestFit="1" customWidth="1"/>
    <col min="8" max="8" width="9" bestFit="1" customWidth="1"/>
    <col min="9" max="9" width="15.5703125" customWidth="1"/>
    <col min="10" max="10" width="14.42578125" customWidth="1"/>
    <col min="11" max="11" width="22.140625" bestFit="1" customWidth="1"/>
    <col min="12" max="12" width="11.7109375" customWidth="1"/>
  </cols>
  <sheetData>
    <row r="1" spans="1:12" x14ac:dyDescent="0.25">
      <c r="A1" t="s">
        <v>1492</v>
      </c>
      <c r="B1" t="s">
        <v>1493</v>
      </c>
      <c r="C1" t="s">
        <v>82</v>
      </c>
      <c r="D1" t="s">
        <v>91</v>
      </c>
      <c r="E1" t="s">
        <v>84</v>
      </c>
      <c r="F1" t="s">
        <v>93</v>
      </c>
      <c r="G1" t="s">
        <v>1494</v>
      </c>
      <c r="H1" t="s">
        <v>1495</v>
      </c>
      <c r="I1" t="s">
        <v>1496</v>
      </c>
      <c r="J1" t="s">
        <v>1497</v>
      </c>
      <c r="K1" t="s">
        <v>1498</v>
      </c>
      <c r="L1" t="s">
        <v>212</v>
      </c>
    </row>
    <row r="2" spans="1:12" x14ac:dyDescent="0.25">
      <c r="A2" t="s">
        <v>1499</v>
      </c>
      <c r="B2" t="s">
        <v>229</v>
      </c>
      <c r="C2" t="s">
        <v>228</v>
      </c>
      <c r="D2" t="s">
        <v>230</v>
      </c>
      <c r="E2" t="s">
        <v>230</v>
      </c>
      <c r="F2" t="s">
        <v>680</v>
      </c>
      <c r="G2">
        <v>-927000</v>
      </c>
      <c r="H2">
        <v>100</v>
      </c>
      <c r="I2">
        <v>-927000</v>
      </c>
      <c r="J2">
        <v>7.7817699999999999</v>
      </c>
      <c r="K2" t="s">
        <v>1484</v>
      </c>
      <c r="L2" t="s">
        <v>226</v>
      </c>
    </row>
    <row r="3" spans="1:12" x14ac:dyDescent="0.25">
      <c r="A3" t="s">
        <v>1499</v>
      </c>
      <c r="B3" t="s">
        <v>232</v>
      </c>
      <c r="C3" t="s">
        <v>231</v>
      </c>
      <c r="D3" t="s">
        <v>230</v>
      </c>
      <c r="E3" t="s">
        <v>230</v>
      </c>
      <c r="F3" t="s">
        <v>680</v>
      </c>
      <c r="G3">
        <v>-1043000</v>
      </c>
      <c r="H3">
        <v>100</v>
      </c>
      <c r="I3">
        <v>-1043000</v>
      </c>
      <c r="J3">
        <v>9.7817699999999999</v>
      </c>
      <c r="K3" t="s">
        <v>1484</v>
      </c>
      <c r="L3" t="s">
        <v>226</v>
      </c>
    </row>
    <row r="4" spans="1:12" x14ac:dyDescent="0.25">
      <c r="A4" t="s">
        <v>1499</v>
      </c>
      <c r="B4" t="s">
        <v>402</v>
      </c>
      <c r="C4" t="s">
        <v>401</v>
      </c>
      <c r="D4" t="s">
        <v>403</v>
      </c>
      <c r="E4" t="s">
        <v>230</v>
      </c>
      <c r="F4" t="s">
        <v>404</v>
      </c>
      <c r="G4">
        <v>927000</v>
      </c>
      <c r="H4">
        <v>100</v>
      </c>
      <c r="I4">
        <v>927000</v>
      </c>
      <c r="J4">
        <v>6.4689899999999998</v>
      </c>
      <c r="K4" t="s">
        <v>1484</v>
      </c>
      <c r="L4" t="s">
        <v>1500</v>
      </c>
    </row>
    <row r="5" spans="1:12" x14ac:dyDescent="0.25">
      <c r="A5" t="s">
        <v>1499</v>
      </c>
      <c r="B5" t="s">
        <v>406</v>
      </c>
      <c r="C5" t="s">
        <v>405</v>
      </c>
      <c r="D5" t="s">
        <v>403</v>
      </c>
      <c r="E5" t="s">
        <v>230</v>
      </c>
      <c r="F5" t="s">
        <v>404</v>
      </c>
      <c r="G5">
        <v>1043000</v>
      </c>
      <c r="H5">
        <v>100</v>
      </c>
      <c r="I5">
        <v>1043000</v>
      </c>
      <c r="J5">
        <v>7.6189900000000002</v>
      </c>
      <c r="K5" t="s">
        <v>1484</v>
      </c>
      <c r="L5" t="s">
        <v>1500</v>
      </c>
    </row>
    <row r="6" spans="1:12" x14ac:dyDescent="0.25">
      <c r="A6" t="s">
        <v>1499</v>
      </c>
      <c r="B6" t="s">
        <v>234</v>
      </c>
      <c r="C6" t="s">
        <v>233</v>
      </c>
      <c r="D6" t="s">
        <v>235</v>
      </c>
      <c r="E6" t="s">
        <v>235</v>
      </c>
      <c r="F6" t="s">
        <v>1501</v>
      </c>
      <c r="G6">
        <v>-5951733</v>
      </c>
      <c r="H6">
        <v>100</v>
      </c>
      <c r="I6">
        <v>-5951733</v>
      </c>
      <c r="J6">
        <v>9.5723800000000008</v>
      </c>
      <c r="K6" t="s">
        <v>1484</v>
      </c>
      <c r="L6" t="s">
        <v>226</v>
      </c>
    </row>
    <row r="7" spans="1:12" x14ac:dyDescent="0.25">
      <c r="A7" t="s">
        <v>1499</v>
      </c>
      <c r="B7" t="s">
        <v>408</v>
      </c>
      <c r="C7" t="s">
        <v>407</v>
      </c>
      <c r="D7" t="s">
        <v>320</v>
      </c>
      <c r="E7" t="s">
        <v>235</v>
      </c>
      <c r="F7" t="s">
        <v>409</v>
      </c>
      <c r="G7">
        <v>5951733</v>
      </c>
      <c r="H7">
        <v>100</v>
      </c>
      <c r="I7">
        <v>5951733</v>
      </c>
      <c r="J7">
        <v>7.2232200000000004</v>
      </c>
      <c r="K7" t="s">
        <v>1484</v>
      </c>
      <c r="L7" t="s">
        <v>1500</v>
      </c>
    </row>
    <row r="8" spans="1:12" x14ac:dyDescent="0.25">
      <c r="A8" t="s">
        <v>1499</v>
      </c>
      <c r="B8" t="s">
        <v>412</v>
      </c>
      <c r="C8" t="s">
        <v>411</v>
      </c>
      <c r="D8" t="s">
        <v>259</v>
      </c>
      <c r="E8" t="s">
        <v>364</v>
      </c>
      <c r="F8" t="s">
        <v>409</v>
      </c>
      <c r="G8">
        <v>3500000</v>
      </c>
      <c r="H8">
        <v>100</v>
      </c>
      <c r="I8">
        <v>3500000</v>
      </c>
      <c r="J8">
        <v>7.3704599999999996</v>
      </c>
      <c r="K8" t="s">
        <v>1484</v>
      </c>
      <c r="L8" t="s">
        <v>1500</v>
      </c>
    </row>
    <row r="9" spans="1:12" x14ac:dyDescent="0.25">
      <c r="A9" t="s">
        <v>1499</v>
      </c>
      <c r="B9" t="s">
        <v>238</v>
      </c>
      <c r="C9" t="s">
        <v>237</v>
      </c>
      <c r="D9" t="s">
        <v>239</v>
      </c>
      <c r="E9" t="s">
        <v>239</v>
      </c>
      <c r="F9" t="s">
        <v>947</v>
      </c>
      <c r="G9">
        <v>-3500000</v>
      </c>
      <c r="H9">
        <v>100</v>
      </c>
      <c r="I9">
        <v>-3500000</v>
      </c>
      <c r="J9">
        <v>7.7310800000000004</v>
      </c>
      <c r="K9" t="s">
        <v>1484</v>
      </c>
      <c r="L9" t="s">
        <v>226</v>
      </c>
    </row>
    <row r="10" spans="1:12" x14ac:dyDescent="0.25">
      <c r="A10" t="s">
        <v>1499</v>
      </c>
      <c r="B10" t="s">
        <v>415</v>
      </c>
      <c r="C10" t="s">
        <v>414</v>
      </c>
      <c r="D10" t="s">
        <v>416</v>
      </c>
      <c r="E10" t="s">
        <v>417</v>
      </c>
      <c r="F10" t="s">
        <v>418</v>
      </c>
      <c r="G10">
        <v>7160000</v>
      </c>
      <c r="H10">
        <v>100</v>
      </c>
      <c r="I10">
        <v>7160000</v>
      </c>
      <c r="J10">
        <v>7.3203899999999997</v>
      </c>
      <c r="K10" t="s">
        <v>1484</v>
      </c>
      <c r="L10" t="s">
        <v>1500</v>
      </c>
    </row>
    <row r="11" spans="1:12" x14ac:dyDescent="0.25">
      <c r="A11" t="s">
        <v>1502</v>
      </c>
      <c r="B11" t="s">
        <v>242</v>
      </c>
      <c r="C11" t="s">
        <v>241</v>
      </c>
      <c r="D11" t="s">
        <v>225</v>
      </c>
      <c r="E11" t="s">
        <v>225</v>
      </c>
      <c r="F11" t="s">
        <v>1294</v>
      </c>
      <c r="G11">
        <v>-2700000</v>
      </c>
      <c r="H11">
        <v>100</v>
      </c>
      <c r="I11">
        <v>-2700000</v>
      </c>
      <c r="J11">
        <v>36.095309999999998</v>
      </c>
      <c r="K11" t="s">
        <v>1487</v>
      </c>
      <c r="L11" t="s">
        <v>226</v>
      </c>
    </row>
    <row r="12" spans="1:12" x14ac:dyDescent="0.25">
      <c r="A12" t="s">
        <v>1502</v>
      </c>
      <c r="B12" t="s">
        <v>420</v>
      </c>
      <c r="C12" t="s">
        <v>419</v>
      </c>
      <c r="D12" t="s">
        <v>421</v>
      </c>
      <c r="E12" t="s">
        <v>225</v>
      </c>
      <c r="F12" t="s">
        <v>422</v>
      </c>
      <c r="G12">
        <v>2700000</v>
      </c>
      <c r="H12">
        <v>100</v>
      </c>
      <c r="I12">
        <v>2700000</v>
      </c>
      <c r="J12">
        <v>9.6644699999999997</v>
      </c>
      <c r="K12" t="s">
        <v>1487</v>
      </c>
      <c r="L12" t="s">
        <v>1500</v>
      </c>
    </row>
    <row r="13" spans="1:12" x14ac:dyDescent="0.25">
      <c r="A13" t="s">
        <v>1499</v>
      </c>
      <c r="B13" t="s">
        <v>244</v>
      </c>
      <c r="C13" t="s">
        <v>243</v>
      </c>
      <c r="D13" t="s">
        <v>245</v>
      </c>
      <c r="E13" t="s">
        <v>245</v>
      </c>
      <c r="F13" t="s">
        <v>1503</v>
      </c>
      <c r="G13">
        <v>-2343000</v>
      </c>
      <c r="H13">
        <v>100</v>
      </c>
      <c r="I13">
        <v>-2343000</v>
      </c>
      <c r="J13">
        <v>9.4826200000000007</v>
      </c>
      <c r="K13" t="s">
        <v>1484</v>
      </c>
      <c r="L13" t="s">
        <v>226</v>
      </c>
    </row>
    <row r="14" spans="1:12" x14ac:dyDescent="0.25">
      <c r="A14" t="s">
        <v>1499</v>
      </c>
      <c r="B14" t="s">
        <v>424</v>
      </c>
      <c r="C14" t="s">
        <v>423</v>
      </c>
      <c r="D14" t="s">
        <v>425</v>
      </c>
      <c r="E14" t="s">
        <v>245</v>
      </c>
      <c r="F14" t="s">
        <v>426</v>
      </c>
      <c r="G14">
        <v>1910000</v>
      </c>
      <c r="H14">
        <v>100</v>
      </c>
      <c r="I14">
        <v>1910000</v>
      </c>
      <c r="J14">
        <v>7.1027300000000002</v>
      </c>
      <c r="K14" t="s">
        <v>1484</v>
      </c>
      <c r="L14" t="s">
        <v>1500</v>
      </c>
    </row>
    <row r="15" spans="1:12" x14ac:dyDescent="0.25">
      <c r="A15" t="s">
        <v>1499</v>
      </c>
      <c r="B15" t="s">
        <v>429</v>
      </c>
      <c r="C15" t="s">
        <v>428</v>
      </c>
      <c r="D15" t="s">
        <v>239</v>
      </c>
      <c r="E15" t="s">
        <v>430</v>
      </c>
      <c r="F15" t="s">
        <v>431</v>
      </c>
      <c r="G15">
        <v>2600000</v>
      </c>
      <c r="H15">
        <v>100</v>
      </c>
      <c r="I15">
        <v>2600000</v>
      </c>
      <c r="J15">
        <v>7.2830700000000004</v>
      </c>
      <c r="K15" t="s">
        <v>1484</v>
      </c>
      <c r="L15" t="s">
        <v>1500</v>
      </c>
    </row>
    <row r="16" spans="1:12" x14ac:dyDescent="0.25">
      <c r="A16" t="s">
        <v>1499</v>
      </c>
      <c r="B16" t="s">
        <v>434</v>
      </c>
      <c r="C16" t="s">
        <v>433</v>
      </c>
      <c r="D16" t="s">
        <v>435</v>
      </c>
      <c r="E16" t="s">
        <v>436</v>
      </c>
      <c r="F16" t="s">
        <v>404</v>
      </c>
      <c r="G16">
        <v>3900000</v>
      </c>
      <c r="H16">
        <v>100</v>
      </c>
      <c r="I16">
        <v>3900000</v>
      </c>
      <c r="J16">
        <v>7.5370600000000003</v>
      </c>
      <c r="K16" t="s">
        <v>1484</v>
      </c>
      <c r="L16" t="s">
        <v>1500</v>
      </c>
    </row>
    <row r="17" spans="1:12" x14ac:dyDescent="0.25">
      <c r="A17" t="s">
        <v>1499</v>
      </c>
      <c r="B17" t="s">
        <v>382</v>
      </c>
      <c r="C17" t="s">
        <v>381</v>
      </c>
      <c r="D17" t="s">
        <v>383</v>
      </c>
      <c r="E17" t="s">
        <v>384</v>
      </c>
      <c r="F17" t="s">
        <v>385</v>
      </c>
      <c r="G17">
        <v>-5000000</v>
      </c>
      <c r="H17">
        <v>100.075</v>
      </c>
      <c r="I17">
        <v>-5003750</v>
      </c>
      <c r="J17">
        <v>8.4310799999999997</v>
      </c>
      <c r="K17" t="s">
        <v>1484</v>
      </c>
      <c r="L17" t="s">
        <v>1504</v>
      </c>
    </row>
    <row r="18" spans="1:12" x14ac:dyDescent="0.25">
      <c r="A18" t="s">
        <v>1499</v>
      </c>
      <c r="B18" t="s">
        <v>248</v>
      </c>
      <c r="C18" t="s">
        <v>247</v>
      </c>
      <c r="D18" t="s">
        <v>249</v>
      </c>
      <c r="E18" t="s">
        <v>249</v>
      </c>
      <c r="F18" t="s">
        <v>947</v>
      </c>
      <c r="G18">
        <v>-4039655</v>
      </c>
      <c r="H18">
        <v>100</v>
      </c>
      <c r="I18">
        <v>-4039655</v>
      </c>
      <c r="J18">
        <v>13.362159999999999</v>
      </c>
      <c r="K18" t="s">
        <v>1484</v>
      </c>
      <c r="L18" t="s">
        <v>226</v>
      </c>
    </row>
    <row r="19" spans="1:12" x14ac:dyDescent="0.25">
      <c r="A19" t="s">
        <v>1499</v>
      </c>
      <c r="B19" t="s">
        <v>251</v>
      </c>
      <c r="C19" t="s">
        <v>250</v>
      </c>
      <c r="D19" t="s">
        <v>249</v>
      </c>
      <c r="E19" t="s">
        <v>249</v>
      </c>
      <c r="F19" t="s">
        <v>947</v>
      </c>
      <c r="G19">
        <v>-4250550</v>
      </c>
      <c r="H19">
        <v>100</v>
      </c>
      <c r="I19">
        <v>-4250550</v>
      </c>
      <c r="J19">
        <v>23.643239999999999</v>
      </c>
      <c r="K19" t="s">
        <v>1484</v>
      </c>
      <c r="L19" t="s">
        <v>226</v>
      </c>
    </row>
    <row r="20" spans="1:12" x14ac:dyDescent="0.25">
      <c r="A20" t="s">
        <v>1499</v>
      </c>
      <c r="B20" t="s">
        <v>254</v>
      </c>
      <c r="C20" t="s">
        <v>253</v>
      </c>
      <c r="D20" t="s">
        <v>255</v>
      </c>
      <c r="E20" t="s">
        <v>255</v>
      </c>
      <c r="F20" t="s">
        <v>876</v>
      </c>
      <c r="G20">
        <v>-10000000</v>
      </c>
      <c r="H20">
        <v>100</v>
      </c>
      <c r="I20">
        <v>-10000000</v>
      </c>
      <c r="J20">
        <v>9.8290000000000006</v>
      </c>
      <c r="K20" t="s">
        <v>1484</v>
      </c>
      <c r="L20" t="s">
        <v>226</v>
      </c>
    </row>
    <row r="21" spans="1:12" x14ac:dyDescent="0.25">
      <c r="A21" t="s">
        <v>1499</v>
      </c>
      <c r="B21" t="s">
        <v>438</v>
      </c>
      <c r="C21" t="s">
        <v>437</v>
      </c>
      <c r="D21" t="s">
        <v>286</v>
      </c>
      <c r="E21" t="s">
        <v>364</v>
      </c>
      <c r="F21" t="s">
        <v>439</v>
      </c>
      <c r="G21">
        <v>4100000</v>
      </c>
      <c r="H21">
        <v>100</v>
      </c>
      <c r="I21">
        <v>4100000</v>
      </c>
      <c r="J21">
        <v>7.2781099999999999</v>
      </c>
      <c r="K21" t="s">
        <v>1484</v>
      </c>
      <c r="L21" t="s">
        <v>1500</v>
      </c>
    </row>
    <row r="22" spans="1:12" x14ac:dyDescent="0.25">
      <c r="A22" t="s">
        <v>1499</v>
      </c>
      <c r="B22" t="s">
        <v>441</v>
      </c>
      <c r="C22" t="s">
        <v>440</v>
      </c>
      <c r="D22" t="s">
        <v>399</v>
      </c>
      <c r="E22" t="s">
        <v>311</v>
      </c>
      <c r="F22" t="s">
        <v>422</v>
      </c>
      <c r="G22">
        <v>6450000</v>
      </c>
      <c r="H22">
        <v>100</v>
      </c>
      <c r="I22">
        <v>6450000</v>
      </c>
      <c r="J22">
        <v>7.2120600000000001</v>
      </c>
      <c r="K22" t="s">
        <v>1484</v>
      </c>
      <c r="L22" t="s">
        <v>1500</v>
      </c>
    </row>
    <row r="23" spans="1:12" x14ac:dyDescent="0.25">
      <c r="A23" t="s">
        <v>1499</v>
      </c>
      <c r="B23" t="s">
        <v>443</v>
      </c>
      <c r="C23" t="s">
        <v>442</v>
      </c>
      <c r="D23" t="s">
        <v>444</v>
      </c>
      <c r="E23" t="s">
        <v>445</v>
      </c>
      <c r="F23" t="s">
        <v>446</v>
      </c>
      <c r="G23">
        <v>2800000</v>
      </c>
      <c r="H23">
        <v>100</v>
      </c>
      <c r="I23">
        <v>2800000</v>
      </c>
      <c r="J23">
        <v>0</v>
      </c>
      <c r="K23" t="s">
        <v>1484</v>
      </c>
      <c r="L23" t="s">
        <v>1500</v>
      </c>
    </row>
    <row r="24" spans="1:12" x14ac:dyDescent="0.25">
      <c r="A24" t="s">
        <v>1499</v>
      </c>
      <c r="B24" t="s">
        <v>449</v>
      </c>
      <c r="C24" t="s">
        <v>448</v>
      </c>
      <c r="D24" t="s">
        <v>400</v>
      </c>
      <c r="E24" t="s">
        <v>450</v>
      </c>
      <c r="F24" t="s">
        <v>451</v>
      </c>
      <c r="G24">
        <v>4070000</v>
      </c>
      <c r="H24">
        <v>100</v>
      </c>
      <c r="I24">
        <v>4070000</v>
      </c>
      <c r="J24">
        <v>7.5208700000000004</v>
      </c>
      <c r="K24" t="s">
        <v>1484</v>
      </c>
      <c r="L24" t="s">
        <v>1500</v>
      </c>
    </row>
    <row r="25" spans="1:12" x14ac:dyDescent="0.25">
      <c r="A25" t="s">
        <v>1502</v>
      </c>
      <c r="B25" t="s">
        <v>258</v>
      </c>
      <c r="C25" t="s">
        <v>257</v>
      </c>
      <c r="D25" t="s">
        <v>259</v>
      </c>
      <c r="E25" t="s">
        <v>259</v>
      </c>
      <c r="F25" t="s">
        <v>118</v>
      </c>
      <c r="G25">
        <v>-38475000</v>
      </c>
      <c r="H25">
        <v>100</v>
      </c>
      <c r="I25">
        <v>-38475000</v>
      </c>
      <c r="J25">
        <v>30.953130000000002</v>
      </c>
      <c r="K25" t="s">
        <v>1487</v>
      </c>
      <c r="L25" t="s">
        <v>226</v>
      </c>
    </row>
    <row r="26" spans="1:12" x14ac:dyDescent="0.25">
      <c r="A26" t="s">
        <v>1499</v>
      </c>
      <c r="B26" t="s">
        <v>453</v>
      </c>
      <c r="C26" t="s">
        <v>452</v>
      </c>
      <c r="D26" t="s">
        <v>399</v>
      </c>
      <c r="E26" t="s">
        <v>259</v>
      </c>
      <c r="F26" t="s">
        <v>404</v>
      </c>
      <c r="G26">
        <v>10000000</v>
      </c>
      <c r="H26">
        <v>100</v>
      </c>
      <c r="I26">
        <v>10000000</v>
      </c>
      <c r="J26">
        <v>7.2810899999999998</v>
      </c>
      <c r="K26" t="s">
        <v>1484</v>
      </c>
      <c r="L26" t="s">
        <v>1500</v>
      </c>
    </row>
    <row r="27" spans="1:12" x14ac:dyDescent="0.25">
      <c r="A27" t="s">
        <v>1499</v>
      </c>
      <c r="B27" t="s">
        <v>455</v>
      </c>
      <c r="C27" t="s">
        <v>454</v>
      </c>
      <c r="D27" t="s">
        <v>399</v>
      </c>
      <c r="E27" t="s">
        <v>259</v>
      </c>
      <c r="F27" t="s">
        <v>404</v>
      </c>
      <c r="G27">
        <v>10000000</v>
      </c>
      <c r="H27">
        <v>100</v>
      </c>
      <c r="I27">
        <v>10000000</v>
      </c>
      <c r="J27">
        <v>8.7810900000000007</v>
      </c>
      <c r="K27" t="s">
        <v>1484</v>
      </c>
      <c r="L27" t="s">
        <v>1500</v>
      </c>
    </row>
    <row r="28" spans="1:12" x14ac:dyDescent="0.25">
      <c r="A28" t="s">
        <v>1502</v>
      </c>
      <c r="B28" t="s">
        <v>457</v>
      </c>
      <c r="C28" t="s">
        <v>456</v>
      </c>
      <c r="D28" t="s">
        <v>399</v>
      </c>
      <c r="E28" t="s">
        <v>259</v>
      </c>
      <c r="F28" t="s">
        <v>404</v>
      </c>
      <c r="G28">
        <v>13500000</v>
      </c>
      <c r="H28">
        <v>100</v>
      </c>
      <c r="I28">
        <v>13500000</v>
      </c>
      <c r="J28">
        <v>10.281090000000001</v>
      </c>
      <c r="K28" t="s">
        <v>1487</v>
      </c>
      <c r="L28" t="s">
        <v>1500</v>
      </c>
    </row>
    <row r="29" spans="1:12" x14ac:dyDescent="0.25">
      <c r="A29" t="s">
        <v>1499</v>
      </c>
      <c r="B29" t="s">
        <v>262</v>
      </c>
      <c r="C29" t="s">
        <v>261</v>
      </c>
      <c r="D29" t="s">
        <v>263</v>
      </c>
      <c r="E29" t="s">
        <v>263</v>
      </c>
      <c r="F29" t="s">
        <v>1505</v>
      </c>
      <c r="G29">
        <v>-3285000</v>
      </c>
      <c r="H29">
        <v>100</v>
      </c>
      <c r="I29">
        <v>-3285000</v>
      </c>
      <c r="J29">
        <v>51.223970000000001</v>
      </c>
      <c r="K29" t="s">
        <v>1484</v>
      </c>
      <c r="L29" t="s">
        <v>226</v>
      </c>
    </row>
    <row r="30" spans="1:12" x14ac:dyDescent="0.25">
      <c r="A30" t="s">
        <v>1499</v>
      </c>
      <c r="B30" t="s">
        <v>266</v>
      </c>
      <c r="C30" t="s">
        <v>265</v>
      </c>
      <c r="D30" t="s">
        <v>267</v>
      </c>
      <c r="E30" t="s">
        <v>267</v>
      </c>
      <c r="F30" t="s">
        <v>118</v>
      </c>
      <c r="G30">
        <v>-720000</v>
      </c>
      <c r="H30">
        <v>100</v>
      </c>
      <c r="I30">
        <v>-720000</v>
      </c>
      <c r="J30">
        <v>6.2177100000000003</v>
      </c>
      <c r="K30" t="s">
        <v>1484</v>
      </c>
      <c r="L30" t="s">
        <v>226</v>
      </c>
    </row>
    <row r="31" spans="1:12" x14ac:dyDescent="0.25">
      <c r="A31" t="s">
        <v>1499</v>
      </c>
      <c r="B31" t="s">
        <v>459</v>
      </c>
      <c r="C31" t="s">
        <v>458</v>
      </c>
      <c r="D31" t="s">
        <v>367</v>
      </c>
      <c r="E31" t="s">
        <v>460</v>
      </c>
      <c r="F31" t="s">
        <v>461</v>
      </c>
      <c r="G31">
        <v>4500000</v>
      </c>
      <c r="H31">
        <v>100</v>
      </c>
      <c r="I31">
        <v>4500000</v>
      </c>
      <c r="J31">
        <v>7.3667499999999997</v>
      </c>
      <c r="K31" t="s">
        <v>1484</v>
      </c>
      <c r="L31" t="s">
        <v>1500</v>
      </c>
    </row>
    <row r="32" spans="1:12" x14ac:dyDescent="0.25">
      <c r="A32" t="s">
        <v>1499</v>
      </c>
      <c r="B32" t="s">
        <v>269</v>
      </c>
      <c r="C32" t="s">
        <v>268</v>
      </c>
      <c r="D32" t="s">
        <v>270</v>
      </c>
      <c r="E32" t="s">
        <v>270</v>
      </c>
      <c r="F32" t="s">
        <v>1506</v>
      </c>
      <c r="G32">
        <v>-2020000</v>
      </c>
      <c r="H32">
        <v>100</v>
      </c>
      <c r="I32">
        <v>-2020000</v>
      </c>
      <c r="J32">
        <v>9.4694699999999994</v>
      </c>
      <c r="K32" t="s">
        <v>1484</v>
      </c>
      <c r="L32" t="s">
        <v>226</v>
      </c>
    </row>
    <row r="33" spans="1:12" x14ac:dyDescent="0.25">
      <c r="A33" t="s">
        <v>1499</v>
      </c>
      <c r="B33" t="s">
        <v>463</v>
      </c>
      <c r="C33" t="s">
        <v>462</v>
      </c>
      <c r="D33" t="s">
        <v>403</v>
      </c>
      <c r="E33" t="s">
        <v>270</v>
      </c>
      <c r="F33" t="s">
        <v>464</v>
      </c>
      <c r="G33">
        <v>8300000</v>
      </c>
      <c r="H33">
        <v>100</v>
      </c>
      <c r="I33">
        <v>8300000</v>
      </c>
      <c r="J33">
        <v>8.1270100000000003</v>
      </c>
      <c r="K33" t="s">
        <v>1484</v>
      </c>
      <c r="L33" t="s">
        <v>1500</v>
      </c>
    </row>
    <row r="34" spans="1:12" x14ac:dyDescent="0.25">
      <c r="A34" t="s">
        <v>1499</v>
      </c>
      <c r="B34" t="s">
        <v>388</v>
      </c>
      <c r="C34" t="s">
        <v>387</v>
      </c>
      <c r="D34" t="s">
        <v>235</v>
      </c>
      <c r="E34" t="s">
        <v>389</v>
      </c>
      <c r="F34" t="s">
        <v>390</v>
      </c>
      <c r="G34">
        <v>-2500000</v>
      </c>
      <c r="H34">
        <v>100.1</v>
      </c>
      <c r="I34">
        <v>-2502500</v>
      </c>
      <c r="J34">
        <v>7.3694699999999997</v>
      </c>
      <c r="K34" t="s">
        <v>1484</v>
      </c>
      <c r="L34" t="s">
        <v>1504</v>
      </c>
    </row>
    <row r="35" spans="1:12" x14ac:dyDescent="0.25">
      <c r="A35" t="s">
        <v>1499</v>
      </c>
      <c r="B35" t="s">
        <v>388</v>
      </c>
      <c r="C35" t="s">
        <v>387</v>
      </c>
      <c r="D35" t="s">
        <v>259</v>
      </c>
      <c r="E35" t="s">
        <v>350</v>
      </c>
      <c r="F35" t="s">
        <v>390</v>
      </c>
      <c r="G35">
        <v>-2500000</v>
      </c>
      <c r="H35">
        <v>100.1</v>
      </c>
      <c r="I35">
        <v>-2502500</v>
      </c>
      <c r="J35">
        <v>7.3694699999999997</v>
      </c>
      <c r="K35" t="s">
        <v>1484</v>
      </c>
      <c r="L35" t="s">
        <v>1504</v>
      </c>
    </row>
    <row r="36" spans="1:12" x14ac:dyDescent="0.25">
      <c r="A36" t="s">
        <v>1502</v>
      </c>
      <c r="B36" t="s">
        <v>273</v>
      </c>
      <c r="C36" t="s">
        <v>272</v>
      </c>
      <c r="D36" t="s">
        <v>274</v>
      </c>
      <c r="E36" t="s">
        <v>274</v>
      </c>
      <c r="F36" t="s">
        <v>1507</v>
      </c>
      <c r="G36">
        <v>-2000000</v>
      </c>
      <c r="H36">
        <v>100</v>
      </c>
      <c r="I36">
        <v>-2000000</v>
      </c>
      <c r="J36">
        <v>34.567140000000002</v>
      </c>
      <c r="K36" t="s">
        <v>1487</v>
      </c>
      <c r="L36" t="s">
        <v>226</v>
      </c>
    </row>
    <row r="37" spans="1:12" x14ac:dyDescent="0.25">
      <c r="A37" t="s">
        <v>1499</v>
      </c>
      <c r="B37" t="s">
        <v>467</v>
      </c>
      <c r="C37" t="s">
        <v>466</v>
      </c>
      <c r="D37" t="s">
        <v>425</v>
      </c>
      <c r="E37" t="s">
        <v>311</v>
      </c>
      <c r="F37" t="s">
        <v>451</v>
      </c>
      <c r="G37">
        <v>4700000</v>
      </c>
      <c r="H37">
        <v>100</v>
      </c>
      <c r="I37">
        <v>4700000</v>
      </c>
      <c r="J37">
        <v>7.1185200000000002</v>
      </c>
      <c r="K37" t="s">
        <v>1484</v>
      </c>
      <c r="L37" t="s">
        <v>1500</v>
      </c>
    </row>
    <row r="38" spans="1:12" x14ac:dyDescent="0.25">
      <c r="A38" t="s">
        <v>1508</v>
      </c>
      <c r="B38" t="s">
        <v>276</v>
      </c>
      <c r="C38" t="s">
        <v>275</v>
      </c>
      <c r="D38" t="s">
        <v>120</v>
      </c>
      <c r="E38" t="s">
        <v>120</v>
      </c>
      <c r="F38" t="s">
        <v>674</v>
      </c>
      <c r="G38">
        <v>-3897.8644509999999</v>
      </c>
      <c r="H38">
        <v>100</v>
      </c>
      <c r="I38">
        <v>-3897.86</v>
      </c>
      <c r="J38">
        <v>4.5810000000000004</v>
      </c>
      <c r="K38" t="s">
        <v>1485</v>
      </c>
      <c r="L38" t="s">
        <v>226</v>
      </c>
    </row>
    <row r="39" spans="1:12" x14ac:dyDescent="0.25">
      <c r="A39" t="s">
        <v>1508</v>
      </c>
      <c r="B39" t="s">
        <v>276</v>
      </c>
      <c r="C39" t="s">
        <v>275</v>
      </c>
      <c r="D39" t="s">
        <v>1509</v>
      </c>
      <c r="E39" t="s">
        <v>1509</v>
      </c>
      <c r="F39" t="s">
        <v>674</v>
      </c>
      <c r="G39">
        <v>-9261.8949520000006</v>
      </c>
      <c r="H39">
        <v>100</v>
      </c>
      <c r="I39">
        <v>-9261.89</v>
      </c>
      <c r="J39">
        <v>4.5810000000000004</v>
      </c>
      <c r="K39" t="s">
        <v>1485</v>
      </c>
      <c r="L39" t="s">
        <v>226</v>
      </c>
    </row>
    <row r="40" spans="1:12" x14ac:dyDescent="0.25">
      <c r="A40" t="s">
        <v>1508</v>
      </c>
      <c r="B40" t="s">
        <v>276</v>
      </c>
      <c r="C40" t="s">
        <v>275</v>
      </c>
      <c r="D40" t="s">
        <v>394</v>
      </c>
      <c r="E40" t="s">
        <v>394</v>
      </c>
      <c r="F40" t="s">
        <v>674</v>
      </c>
      <c r="G40">
        <v>-2431.6985500000001</v>
      </c>
      <c r="H40">
        <v>100</v>
      </c>
      <c r="I40">
        <v>-2431.6999999999998</v>
      </c>
      <c r="J40">
        <v>4.5810000000000004</v>
      </c>
      <c r="K40" t="s">
        <v>1485</v>
      </c>
      <c r="L40" t="s">
        <v>226</v>
      </c>
    </row>
    <row r="41" spans="1:12" x14ac:dyDescent="0.25">
      <c r="A41" t="s">
        <v>1499</v>
      </c>
      <c r="B41" t="s">
        <v>279</v>
      </c>
      <c r="C41" t="s">
        <v>278</v>
      </c>
      <c r="D41" t="s">
        <v>280</v>
      </c>
      <c r="E41" t="s">
        <v>280</v>
      </c>
      <c r="F41" t="s">
        <v>470</v>
      </c>
      <c r="G41">
        <v>-449000</v>
      </c>
      <c r="H41">
        <v>100</v>
      </c>
      <c r="I41">
        <v>-449000</v>
      </c>
      <c r="J41">
        <v>7.6297899999999998</v>
      </c>
      <c r="K41" t="s">
        <v>1484</v>
      </c>
      <c r="L41" t="s">
        <v>226</v>
      </c>
    </row>
    <row r="42" spans="1:12" x14ac:dyDescent="0.25">
      <c r="A42" t="s">
        <v>1499</v>
      </c>
      <c r="B42" t="s">
        <v>282</v>
      </c>
      <c r="C42" t="s">
        <v>281</v>
      </c>
      <c r="D42" t="s">
        <v>280</v>
      </c>
      <c r="E42" t="s">
        <v>280</v>
      </c>
      <c r="F42" t="s">
        <v>470</v>
      </c>
      <c r="G42">
        <v>-673000</v>
      </c>
      <c r="H42">
        <v>100</v>
      </c>
      <c r="I42">
        <v>-673000</v>
      </c>
      <c r="J42">
        <v>9.5297900000000002</v>
      </c>
      <c r="K42" t="s">
        <v>1484</v>
      </c>
      <c r="L42" t="s">
        <v>226</v>
      </c>
    </row>
    <row r="43" spans="1:12" x14ac:dyDescent="0.25">
      <c r="A43" t="s">
        <v>1499</v>
      </c>
      <c r="B43" t="s">
        <v>469</v>
      </c>
      <c r="C43" t="s">
        <v>468</v>
      </c>
      <c r="D43" t="s">
        <v>249</v>
      </c>
      <c r="E43" t="s">
        <v>280</v>
      </c>
      <c r="F43" t="s">
        <v>470</v>
      </c>
      <c r="G43">
        <v>449000</v>
      </c>
      <c r="H43">
        <v>100</v>
      </c>
      <c r="I43">
        <v>449000</v>
      </c>
      <c r="J43">
        <v>6.1223999999999998</v>
      </c>
      <c r="K43" t="s">
        <v>1484</v>
      </c>
      <c r="L43" t="s">
        <v>1500</v>
      </c>
    </row>
    <row r="44" spans="1:12" x14ac:dyDescent="0.25">
      <c r="A44" t="s">
        <v>1499</v>
      </c>
      <c r="B44" t="s">
        <v>473</v>
      </c>
      <c r="C44" t="s">
        <v>472</v>
      </c>
      <c r="D44" t="s">
        <v>270</v>
      </c>
      <c r="E44" t="s">
        <v>474</v>
      </c>
      <c r="F44" t="s">
        <v>475</v>
      </c>
      <c r="G44">
        <v>2800000</v>
      </c>
      <c r="H44">
        <v>100</v>
      </c>
      <c r="I44">
        <v>2800000</v>
      </c>
      <c r="J44">
        <v>6.5201599999999997</v>
      </c>
      <c r="K44" t="s">
        <v>1484</v>
      </c>
      <c r="L44" t="s">
        <v>1500</v>
      </c>
    </row>
    <row r="45" spans="1:12" x14ac:dyDescent="0.25">
      <c r="A45" t="s">
        <v>1499</v>
      </c>
      <c r="B45" t="s">
        <v>285</v>
      </c>
      <c r="C45" t="s">
        <v>284</v>
      </c>
      <c r="D45" t="s">
        <v>286</v>
      </c>
      <c r="E45" t="s">
        <v>286</v>
      </c>
      <c r="F45" t="s">
        <v>532</v>
      </c>
      <c r="G45">
        <v>-5736968</v>
      </c>
      <c r="H45">
        <v>100</v>
      </c>
      <c r="I45">
        <v>-5736968</v>
      </c>
      <c r="J45">
        <v>7.2223800000000002</v>
      </c>
      <c r="K45" t="s">
        <v>1484</v>
      </c>
      <c r="L45" t="s">
        <v>226</v>
      </c>
    </row>
    <row r="46" spans="1:12" x14ac:dyDescent="0.25">
      <c r="A46" t="s">
        <v>1499</v>
      </c>
      <c r="B46" t="s">
        <v>288</v>
      </c>
      <c r="C46" t="s">
        <v>287</v>
      </c>
      <c r="D46" t="s">
        <v>286</v>
      </c>
      <c r="E46" t="s">
        <v>286</v>
      </c>
      <c r="F46" t="s">
        <v>532</v>
      </c>
      <c r="G46">
        <v>-5210104</v>
      </c>
      <c r="H46">
        <v>100</v>
      </c>
      <c r="I46">
        <v>-5210104</v>
      </c>
      <c r="J46">
        <v>9.2723800000000001</v>
      </c>
      <c r="K46" t="s">
        <v>1484</v>
      </c>
      <c r="L46" t="s">
        <v>226</v>
      </c>
    </row>
    <row r="47" spans="1:12" x14ac:dyDescent="0.25">
      <c r="A47" t="s">
        <v>1499</v>
      </c>
      <c r="B47" t="s">
        <v>477</v>
      </c>
      <c r="C47" t="s">
        <v>476</v>
      </c>
      <c r="D47" t="s">
        <v>478</v>
      </c>
      <c r="E47" t="s">
        <v>286</v>
      </c>
      <c r="F47" t="s">
        <v>479</v>
      </c>
      <c r="G47">
        <v>5210104</v>
      </c>
      <c r="H47">
        <v>100</v>
      </c>
      <c r="I47">
        <v>5210104</v>
      </c>
      <c r="J47">
        <v>7.1254900000000001</v>
      </c>
      <c r="K47" t="s">
        <v>1484</v>
      </c>
      <c r="L47" t="s">
        <v>1500</v>
      </c>
    </row>
    <row r="48" spans="1:12" x14ac:dyDescent="0.25">
      <c r="A48" t="s">
        <v>1499</v>
      </c>
      <c r="B48" t="s">
        <v>481</v>
      </c>
      <c r="C48" t="s">
        <v>480</v>
      </c>
      <c r="D48" t="s">
        <v>482</v>
      </c>
      <c r="E48" t="s">
        <v>430</v>
      </c>
      <c r="F48" t="s">
        <v>451</v>
      </c>
      <c r="G48">
        <v>5100000</v>
      </c>
      <c r="H48">
        <v>100</v>
      </c>
      <c r="I48">
        <v>5100000</v>
      </c>
      <c r="J48">
        <v>7.0241100000000003</v>
      </c>
      <c r="K48" t="s">
        <v>1484</v>
      </c>
      <c r="L48" t="s">
        <v>1500</v>
      </c>
    </row>
    <row r="49" spans="1:12" x14ac:dyDescent="0.25">
      <c r="A49" t="s">
        <v>1499</v>
      </c>
      <c r="B49" t="s">
        <v>216</v>
      </c>
      <c r="C49" t="s">
        <v>215</v>
      </c>
      <c r="D49" t="s">
        <v>217</v>
      </c>
      <c r="E49" t="s">
        <v>217</v>
      </c>
      <c r="F49" t="s">
        <v>1510</v>
      </c>
      <c r="G49">
        <v>-8000000</v>
      </c>
      <c r="H49">
        <v>100</v>
      </c>
      <c r="I49">
        <v>-8000000</v>
      </c>
      <c r="J49">
        <v>7.1213300000000004</v>
      </c>
      <c r="K49" t="s">
        <v>1484</v>
      </c>
      <c r="L49" t="s">
        <v>213</v>
      </c>
    </row>
    <row r="50" spans="1:12" x14ac:dyDescent="0.25">
      <c r="A50" t="s">
        <v>1499</v>
      </c>
      <c r="B50" t="s">
        <v>219</v>
      </c>
      <c r="C50" t="s">
        <v>218</v>
      </c>
      <c r="D50" t="s">
        <v>217</v>
      </c>
      <c r="E50" t="s">
        <v>217</v>
      </c>
      <c r="F50" t="s">
        <v>1510</v>
      </c>
      <c r="G50">
        <v>-5000000</v>
      </c>
      <c r="H50">
        <v>100</v>
      </c>
      <c r="I50">
        <v>-5000000</v>
      </c>
      <c r="J50">
        <v>8.4213299999999993</v>
      </c>
      <c r="K50" t="s">
        <v>1484</v>
      </c>
      <c r="L50" t="s">
        <v>213</v>
      </c>
    </row>
    <row r="51" spans="1:12" x14ac:dyDescent="0.25">
      <c r="A51" t="s">
        <v>1499</v>
      </c>
      <c r="B51" t="s">
        <v>485</v>
      </c>
      <c r="C51" t="s">
        <v>484</v>
      </c>
      <c r="D51" t="s">
        <v>367</v>
      </c>
      <c r="E51" t="s">
        <v>486</v>
      </c>
      <c r="F51" t="s">
        <v>422</v>
      </c>
      <c r="G51">
        <v>4885242</v>
      </c>
      <c r="H51">
        <v>100</v>
      </c>
      <c r="I51">
        <v>4885242</v>
      </c>
      <c r="J51">
        <v>6.2167700000000004</v>
      </c>
      <c r="K51" t="s">
        <v>1484</v>
      </c>
      <c r="L51" t="s">
        <v>1500</v>
      </c>
    </row>
    <row r="52" spans="1:12" x14ac:dyDescent="0.25">
      <c r="A52" t="s">
        <v>1511</v>
      </c>
      <c r="B52" t="s">
        <v>291</v>
      </c>
      <c r="C52" t="s">
        <v>290</v>
      </c>
      <c r="D52" t="s">
        <v>120</v>
      </c>
      <c r="E52" t="s">
        <v>120</v>
      </c>
      <c r="F52" t="s">
        <v>1061</v>
      </c>
      <c r="G52">
        <v>-1039382.3484</v>
      </c>
      <c r="H52">
        <v>100</v>
      </c>
      <c r="I52">
        <v>-1039382.35</v>
      </c>
      <c r="J52">
        <v>4.1500000000000004</v>
      </c>
      <c r="K52" t="s">
        <v>1486</v>
      </c>
      <c r="L52" t="s">
        <v>226</v>
      </c>
    </row>
    <row r="53" spans="1:12" x14ac:dyDescent="0.25">
      <c r="A53" t="s">
        <v>1499</v>
      </c>
      <c r="B53" t="s">
        <v>489</v>
      </c>
      <c r="C53" t="s">
        <v>488</v>
      </c>
      <c r="D53" t="s">
        <v>490</v>
      </c>
      <c r="E53" t="s">
        <v>491</v>
      </c>
      <c r="F53" t="s">
        <v>492</v>
      </c>
      <c r="G53">
        <v>2300000</v>
      </c>
      <c r="H53">
        <v>100</v>
      </c>
      <c r="I53">
        <v>2300000</v>
      </c>
      <c r="J53">
        <v>7.6620499999999998</v>
      </c>
      <c r="K53" t="s">
        <v>1484</v>
      </c>
      <c r="L53" t="s">
        <v>1500</v>
      </c>
    </row>
    <row r="54" spans="1:12" x14ac:dyDescent="0.25">
      <c r="A54" t="s">
        <v>1499</v>
      </c>
      <c r="B54" t="s">
        <v>495</v>
      </c>
      <c r="C54" t="s">
        <v>494</v>
      </c>
      <c r="D54" t="s">
        <v>274</v>
      </c>
      <c r="E54" t="s">
        <v>496</v>
      </c>
      <c r="F54" t="s">
        <v>497</v>
      </c>
      <c r="G54">
        <v>5100000</v>
      </c>
      <c r="H54">
        <v>100</v>
      </c>
      <c r="I54">
        <v>5100000</v>
      </c>
      <c r="J54">
        <v>7.0236599999999996</v>
      </c>
      <c r="K54" t="s">
        <v>1484</v>
      </c>
      <c r="L54" t="s">
        <v>1500</v>
      </c>
    </row>
    <row r="55" spans="1:12" x14ac:dyDescent="0.25">
      <c r="A55" t="s">
        <v>1499</v>
      </c>
      <c r="B55" t="s">
        <v>294</v>
      </c>
      <c r="C55" t="s">
        <v>293</v>
      </c>
      <c r="D55" t="s">
        <v>239</v>
      </c>
      <c r="E55" t="s">
        <v>239</v>
      </c>
      <c r="F55" t="s">
        <v>532</v>
      </c>
      <c r="G55">
        <v>-3135088</v>
      </c>
      <c r="H55">
        <v>100</v>
      </c>
      <c r="I55">
        <v>-3135088</v>
      </c>
      <c r="J55">
        <v>7.9754899999999997</v>
      </c>
      <c r="K55" t="s">
        <v>1484</v>
      </c>
      <c r="L55" t="s">
        <v>226</v>
      </c>
    </row>
    <row r="56" spans="1:12" x14ac:dyDescent="0.25">
      <c r="A56" t="s">
        <v>1499</v>
      </c>
      <c r="B56" t="s">
        <v>296</v>
      </c>
      <c r="C56" t="s">
        <v>295</v>
      </c>
      <c r="D56" t="s">
        <v>239</v>
      </c>
      <c r="E56" t="s">
        <v>239</v>
      </c>
      <c r="F56" t="s">
        <v>532</v>
      </c>
      <c r="G56">
        <v>-2600000</v>
      </c>
      <c r="H56">
        <v>100</v>
      </c>
      <c r="I56">
        <v>-2600000</v>
      </c>
      <c r="J56">
        <v>10.07549</v>
      </c>
      <c r="K56" t="s">
        <v>1484</v>
      </c>
      <c r="L56" t="s">
        <v>226</v>
      </c>
    </row>
    <row r="57" spans="1:12" x14ac:dyDescent="0.25">
      <c r="A57" t="s">
        <v>1499</v>
      </c>
      <c r="B57" t="s">
        <v>499</v>
      </c>
      <c r="C57" t="s">
        <v>498</v>
      </c>
      <c r="D57" t="s">
        <v>500</v>
      </c>
      <c r="E57" t="s">
        <v>239</v>
      </c>
      <c r="F57" t="s">
        <v>501</v>
      </c>
      <c r="G57">
        <v>3135088</v>
      </c>
      <c r="H57">
        <v>100</v>
      </c>
      <c r="I57">
        <v>3135088</v>
      </c>
      <c r="J57">
        <v>6.3254900000000003</v>
      </c>
      <c r="K57" t="s">
        <v>1484</v>
      </c>
      <c r="L57" t="s">
        <v>1500</v>
      </c>
    </row>
    <row r="58" spans="1:12" x14ac:dyDescent="0.25">
      <c r="A58" t="s">
        <v>1499</v>
      </c>
      <c r="B58" t="s">
        <v>503</v>
      </c>
      <c r="C58" t="s">
        <v>502</v>
      </c>
      <c r="D58" t="s">
        <v>500</v>
      </c>
      <c r="E58" t="s">
        <v>239</v>
      </c>
      <c r="F58" t="s">
        <v>501</v>
      </c>
      <c r="G58">
        <v>3300000</v>
      </c>
      <c r="H58">
        <v>100</v>
      </c>
      <c r="I58">
        <v>3300000</v>
      </c>
      <c r="J58">
        <v>7.3754900000000001</v>
      </c>
      <c r="K58" t="s">
        <v>1484</v>
      </c>
      <c r="L58" t="s">
        <v>1500</v>
      </c>
    </row>
    <row r="59" spans="1:12" x14ac:dyDescent="0.25">
      <c r="A59" t="s">
        <v>1502</v>
      </c>
      <c r="B59" t="s">
        <v>505</v>
      </c>
      <c r="C59" t="s">
        <v>504</v>
      </c>
      <c r="D59" t="s">
        <v>500</v>
      </c>
      <c r="E59" t="s">
        <v>239</v>
      </c>
      <c r="F59" t="s">
        <v>501</v>
      </c>
      <c r="G59">
        <v>2700000</v>
      </c>
      <c r="H59">
        <v>100</v>
      </c>
      <c r="I59">
        <v>2700000</v>
      </c>
      <c r="J59">
        <v>10.32549</v>
      </c>
      <c r="K59" t="s">
        <v>1487</v>
      </c>
      <c r="L59" t="s">
        <v>1500</v>
      </c>
    </row>
    <row r="60" spans="1:12" x14ac:dyDescent="0.25">
      <c r="A60" t="s">
        <v>1499</v>
      </c>
      <c r="B60" t="s">
        <v>299</v>
      </c>
      <c r="C60" t="s">
        <v>298</v>
      </c>
      <c r="D60" t="s">
        <v>255</v>
      </c>
      <c r="E60" t="s">
        <v>255</v>
      </c>
      <c r="F60" t="s">
        <v>876</v>
      </c>
      <c r="G60">
        <v>-1000000</v>
      </c>
      <c r="H60">
        <v>100</v>
      </c>
      <c r="I60">
        <v>-1000000</v>
      </c>
      <c r="J60">
        <v>10.159000000000001</v>
      </c>
      <c r="K60" t="s">
        <v>1484</v>
      </c>
      <c r="L60" t="s">
        <v>226</v>
      </c>
    </row>
    <row r="61" spans="1:12" x14ac:dyDescent="0.25">
      <c r="A61" t="s">
        <v>1502</v>
      </c>
      <c r="B61" t="s">
        <v>1075</v>
      </c>
      <c r="C61" t="s">
        <v>1076</v>
      </c>
      <c r="D61" t="s">
        <v>259</v>
      </c>
      <c r="E61" t="s">
        <v>259</v>
      </c>
      <c r="F61" t="s">
        <v>1077</v>
      </c>
      <c r="G61">
        <v>7500000</v>
      </c>
      <c r="H61">
        <v>100</v>
      </c>
      <c r="I61">
        <v>7500000</v>
      </c>
      <c r="J61">
        <v>8.1919799999999992</v>
      </c>
      <c r="K61" t="s">
        <v>1487</v>
      </c>
      <c r="L61" t="s">
        <v>1512</v>
      </c>
    </row>
    <row r="62" spans="1:12" x14ac:dyDescent="0.25">
      <c r="A62" t="s">
        <v>1499</v>
      </c>
      <c r="B62" t="s">
        <v>1075</v>
      </c>
      <c r="C62" t="s">
        <v>1076</v>
      </c>
      <c r="D62" t="s">
        <v>259</v>
      </c>
      <c r="E62" t="s">
        <v>259</v>
      </c>
      <c r="F62" t="s">
        <v>1077</v>
      </c>
      <c r="G62">
        <v>-7500000</v>
      </c>
      <c r="H62">
        <v>100</v>
      </c>
      <c r="I62">
        <v>-7500000</v>
      </c>
      <c r="J62">
        <v>8.1919799999999992</v>
      </c>
      <c r="K62" t="s">
        <v>1484</v>
      </c>
      <c r="L62" t="s">
        <v>1512</v>
      </c>
    </row>
    <row r="63" spans="1:12" x14ac:dyDescent="0.25">
      <c r="A63" t="s">
        <v>1499</v>
      </c>
      <c r="B63" t="s">
        <v>302</v>
      </c>
      <c r="C63" t="s">
        <v>301</v>
      </c>
      <c r="D63" t="s">
        <v>120</v>
      </c>
      <c r="E63" t="s">
        <v>120</v>
      </c>
      <c r="F63" t="s">
        <v>985</v>
      </c>
      <c r="G63">
        <v>-2500000</v>
      </c>
      <c r="H63">
        <v>100</v>
      </c>
      <c r="I63">
        <v>-2500000</v>
      </c>
      <c r="J63">
        <v>7.4061000000000003</v>
      </c>
      <c r="K63" t="s">
        <v>1484</v>
      </c>
      <c r="L63" t="s">
        <v>226</v>
      </c>
    </row>
    <row r="64" spans="1:12" x14ac:dyDescent="0.25">
      <c r="A64" t="s">
        <v>1499</v>
      </c>
      <c r="B64" t="s">
        <v>304</v>
      </c>
      <c r="C64" t="s">
        <v>303</v>
      </c>
      <c r="D64" t="s">
        <v>120</v>
      </c>
      <c r="E64" t="s">
        <v>120</v>
      </c>
      <c r="F64" t="s">
        <v>985</v>
      </c>
      <c r="G64">
        <v>-2500000</v>
      </c>
      <c r="H64">
        <v>100</v>
      </c>
      <c r="I64">
        <v>-2500000</v>
      </c>
      <c r="J64">
        <v>9.6561000000000003</v>
      </c>
      <c r="K64" t="s">
        <v>1484</v>
      </c>
      <c r="L64" t="s">
        <v>226</v>
      </c>
    </row>
    <row r="65" spans="1:12" x14ac:dyDescent="0.25">
      <c r="A65" t="s">
        <v>1499</v>
      </c>
      <c r="B65" t="s">
        <v>306</v>
      </c>
      <c r="C65" t="s">
        <v>305</v>
      </c>
      <c r="D65" t="s">
        <v>307</v>
      </c>
      <c r="E65" t="s">
        <v>307</v>
      </c>
      <c r="F65" t="s">
        <v>1513</v>
      </c>
      <c r="G65">
        <v>-2969850</v>
      </c>
      <c r="H65">
        <v>100</v>
      </c>
      <c r="I65">
        <v>-2969850</v>
      </c>
      <c r="J65">
        <v>9.2223799999999994</v>
      </c>
      <c r="K65" t="s">
        <v>1484</v>
      </c>
      <c r="L65" t="s">
        <v>226</v>
      </c>
    </row>
    <row r="66" spans="1:12" x14ac:dyDescent="0.25">
      <c r="A66" t="s">
        <v>1499</v>
      </c>
      <c r="B66" t="s">
        <v>508</v>
      </c>
      <c r="C66" t="s">
        <v>507</v>
      </c>
      <c r="D66" t="s">
        <v>230</v>
      </c>
      <c r="E66" t="s">
        <v>474</v>
      </c>
      <c r="F66" t="s">
        <v>439</v>
      </c>
      <c r="G66">
        <v>11000000</v>
      </c>
      <c r="H66">
        <v>100</v>
      </c>
      <c r="I66">
        <v>11000000</v>
      </c>
      <c r="J66">
        <v>7.7284499999999996</v>
      </c>
      <c r="K66" t="s">
        <v>1484</v>
      </c>
      <c r="L66" t="s">
        <v>1500</v>
      </c>
    </row>
    <row r="67" spans="1:12" x14ac:dyDescent="0.25">
      <c r="A67" t="s">
        <v>1499</v>
      </c>
      <c r="B67" t="s">
        <v>510</v>
      </c>
      <c r="C67" t="s">
        <v>509</v>
      </c>
      <c r="D67" t="s">
        <v>478</v>
      </c>
      <c r="E67" t="s">
        <v>450</v>
      </c>
      <c r="F67" t="s">
        <v>511</v>
      </c>
      <c r="G67">
        <v>2400000</v>
      </c>
      <c r="H67">
        <v>100</v>
      </c>
      <c r="I67">
        <v>2400000</v>
      </c>
      <c r="J67">
        <v>7.4857899999999997</v>
      </c>
      <c r="K67" t="s">
        <v>1484</v>
      </c>
      <c r="L67" t="s">
        <v>1500</v>
      </c>
    </row>
    <row r="68" spans="1:12" x14ac:dyDescent="0.25">
      <c r="A68" t="s">
        <v>1499</v>
      </c>
      <c r="B68" t="s">
        <v>513</v>
      </c>
      <c r="C68" t="s">
        <v>512</v>
      </c>
      <c r="D68" t="s">
        <v>217</v>
      </c>
      <c r="E68" t="s">
        <v>514</v>
      </c>
      <c r="F68" t="s">
        <v>515</v>
      </c>
      <c r="G68">
        <v>6300000</v>
      </c>
      <c r="H68">
        <v>100</v>
      </c>
      <c r="I68">
        <v>6300000</v>
      </c>
      <c r="J68">
        <v>8.1449099999999994</v>
      </c>
      <c r="K68" t="s">
        <v>1484</v>
      </c>
      <c r="L68" t="s">
        <v>1500</v>
      </c>
    </row>
    <row r="69" spans="1:12" x14ac:dyDescent="0.25">
      <c r="A69" t="s">
        <v>1499</v>
      </c>
      <c r="B69" t="s">
        <v>310</v>
      </c>
      <c r="C69" t="s">
        <v>309</v>
      </c>
      <c r="D69" t="s">
        <v>311</v>
      </c>
      <c r="E69" t="s">
        <v>311</v>
      </c>
      <c r="F69" t="s">
        <v>578</v>
      </c>
      <c r="G69">
        <v>-970000</v>
      </c>
      <c r="H69">
        <v>100</v>
      </c>
      <c r="I69">
        <v>-970000</v>
      </c>
      <c r="J69">
        <v>6.2840100000000003</v>
      </c>
      <c r="K69" t="s">
        <v>1484</v>
      </c>
      <c r="L69" t="s">
        <v>226</v>
      </c>
    </row>
    <row r="70" spans="1:12" x14ac:dyDescent="0.25">
      <c r="A70" t="s">
        <v>1499</v>
      </c>
      <c r="B70" t="s">
        <v>517</v>
      </c>
      <c r="C70" t="s">
        <v>516</v>
      </c>
      <c r="D70" t="s">
        <v>270</v>
      </c>
      <c r="E70" t="s">
        <v>425</v>
      </c>
      <c r="F70" t="s">
        <v>409</v>
      </c>
      <c r="G70">
        <v>5200000</v>
      </c>
      <c r="H70">
        <v>100</v>
      </c>
      <c r="I70">
        <v>5200000</v>
      </c>
      <c r="J70">
        <v>7.4754899999999997</v>
      </c>
      <c r="K70" t="s">
        <v>1484</v>
      </c>
      <c r="L70" t="s">
        <v>1500</v>
      </c>
    </row>
    <row r="71" spans="1:12" x14ac:dyDescent="0.25">
      <c r="A71" t="s">
        <v>1499</v>
      </c>
      <c r="B71" t="s">
        <v>314</v>
      </c>
      <c r="C71" t="s">
        <v>313</v>
      </c>
      <c r="D71" t="s">
        <v>311</v>
      </c>
      <c r="E71" t="s">
        <v>311</v>
      </c>
      <c r="F71" t="s">
        <v>1514</v>
      </c>
      <c r="G71">
        <v>-1000000</v>
      </c>
      <c r="H71">
        <v>100</v>
      </c>
      <c r="I71">
        <v>-1000000</v>
      </c>
      <c r="J71">
        <v>10.12979</v>
      </c>
      <c r="K71" t="s">
        <v>1484</v>
      </c>
      <c r="L71" t="s">
        <v>226</v>
      </c>
    </row>
    <row r="72" spans="1:12" x14ac:dyDescent="0.25">
      <c r="A72" t="s">
        <v>1502</v>
      </c>
      <c r="B72" t="s">
        <v>316</v>
      </c>
      <c r="C72" t="s">
        <v>315</v>
      </c>
      <c r="D72" t="s">
        <v>311</v>
      </c>
      <c r="E72" t="s">
        <v>311</v>
      </c>
      <c r="F72" t="s">
        <v>924</v>
      </c>
      <c r="G72">
        <v>-642857.14304999996</v>
      </c>
      <c r="H72">
        <v>100</v>
      </c>
      <c r="I72">
        <v>-642857.15</v>
      </c>
      <c r="J72">
        <v>31.752030000000001</v>
      </c>
      <c r="K72" t="s">
        <v>1487</v>
      </c>
      <c r="L72" t="s">
        <v>226</v>
      </c>
    </row>
    <row r="73" spans="1:12" x14ac:dyDescent="0.25">
      <c r="A73" t="s">
        <v>1499</v>
      </c>
      <c r="B73" t="s">
        <v>319</v>
      </c>
      <c r="C73" t="s">
        <v>318</v>
      </c>
      <c r="D73" t="s">
        <v>320</v>
      </c>
      <c r="E73" t="s">
        <v>320</v>
      </c>
      <c r="F73" t="s">
        <v>1515</v>
      </c>
      <c r="G73">
        <v>-3730422</v>
      </c>
      <c r="H73">
        <v>100</v>
      </c>
      <c r="I73">
        <v>-3730422</v>
      </c>
      <c r="J73">
        <v>9.1723800000000004</v>
      </c>
      <c r="K73" t="s">
        <v>1484</v>
      </c>
      <c r="L73" t="s">
        <v>226</v>
      </c>
    </row>
    <row r="74" spans="1:12" x14ac:dyDescent="0.25">
      <c r="A74" t="s">
        <v>1511</v>
      </c>
      <c r="B74" t="s">
        <v>323</v>
      </c>
      <c r="C74" t="s">
        <v>322</v>
      </c>
      <c r="D74" t="s">
        <v>120</v>
      </c>
      <c r="E74" t="s">
        <v>120</v>
      </c>
      <c r="F74" t="s">
        <v>1061</v>
      </c>
      <c r="G74">
        <v>-1386347.7517309999</v>
      </c>
      <c r="H74">
        <v>100</v>
      </c>
      <c r="I74">
        <v>-1386347.75</v>
      </c>
      <c r="J74">
        <v>4.5</v>
      </c>
      <c r="K74" t="s">
        <v>1486</v>
      </c>
      <c r="L74" t="s">
        <v>226</v>
      </c>
    </row>
    <row r="75" spans="1:12" x14ac:dyDescent="0.25">
      <c r="A75" t="s">
        <v>1511</v>
      </c>
      <c r="B75" t="s">
        <v>325</v>
      </c>
      <c r="C75" t="s">
        <v>324</v>
      </c>
      <c r="D75" t="s">
        <v>120</v>
      </c>
      <c r="E75" t="s">
        <v>120</v>
      </c>
      <c r="F75" t="s">
        <v>714</v>
      </c>
      <c r="G75">
        <v>-2092349.5536110001</v>
      </c>
      <c r="H75">
        <v>100</v>
      </c>
      <c r="I75">
        <v>-2092349.55</v>
      </c>
      <c r="J75">
        <v>4.5</v>
      </c>
      <c r="K75" t="s">
        <v>1486</v>
      </c>
      <c r="L75" t="s">
        <v>226</v>
      </c>
    </row>
    <row r="76" spans="1:12" x14ac:dyDescent="0.25">
      <c r="A76" t="s">
        <v>1511</v>
      </c>
      <c r="B76" t="s">
        <v>327</v>
      </c>
      <c r="C76" t="s">
        <v>326</v>
      </c>
      <c r="D76" t="s">
        <v>120</v>
      </c>
      <c r="E76" t="s">
        <v>120</v>
      </c>
      <c r="F76" t="s">
        <v>710</v>
      </c>
      <c r="G76">
        <v>-351542.19913999998</v>
      </c>
      <c r="H76">
        <v>100</v>
      </c>
      <c r="I76">
        <v>-351542.2</v>
      </c>
      <c r="J76">
        <v>4.5</v>
      </c>
      <c r="K76" t="s">
        <v>1486</v>
      </c>
      <c r="L76" t="s">
        <v>226</v>
      </c>
    </row>
    <row r="77" spans="1:12" x14ac:dyDescent="0.25">
      <c r="A77" t="s">
        <v>1499</v>
      </c>
      <c r="B77" t="s">
        <v>330</v>
      </c>
      <c r="C77" t="s">
        <v>329</v>
      </c>
      <c r="D77" t="s">
        <v>255</v>
      </c>
      <c r="E77" t="s">
        <v>255</v>
      </c>
      <c r="F77" t="s">
        <v>1506</v>
      </c>
      <c r="G77">
        <v>-1500000</v>
      </c>
      <c r="H77">
        <v>100</v>
      </c>
      <c r="I77">
        <v>-1500000</v>
      </c>
      <c r="J77">
        <v>8.0223800000000001</v>
      </c>
      <c r="K77" t="s">
        <v>1484</v>
      </c>
      <c r="L77" t="s">
        <v>226</v>
      </c>
    </row>
    <row r="78" spans="1:12" x14ac:dyDescent="0.25">
      <c r="A78" t="s">
        <v>1502</v>
      </c>
      <c r="B78" t="s">
        <v>333</v>
      </c>
      <c r="C78" t="s">
        <v>332</v>
      </c>
      <c r="D78" t="s">
        <v>239</v>
      </c>
      <c r="E78" t="s">
        <v>239</v>
      </c>
      <c r="F78" t="s">
        <v>1436</v>
      </c>
      <c r="G78">
        <v>-1750000</v>
      </c>
      <c r="H78">
        <v>100</v>
      </c>
      <c r="I78">
        <v>-1750000</v>
      </c>
      <c r="J78">
        <v>34.876469999999998</v>
      </c>
      <c r="K78" t="s">
        <v>1487</v>
      </c>
      <c r="L78" t="s">
        <v>226</v>
      </c>
    </row>
    <row r="79" spans="1:12" x14ac:dyDescent="0.25">
      <c r="A79" t="s">
        <v>1499</v>
      </c>
      <c r="B79" t="s">
        <v>336</v>
      </c>
      <c r="C79" t="s">
        <v>335</v>
      </c>
      <c r="D79" t="s">
        <v>225</v>
      </c>
      <c r="E79" t="s">
        <v>225</v>
      </c>
      <c r="F79" t="s">
        <v>858</v>
      </c>
      <c r="G79">
        <v>-763000</v>
      </c>
      <c r="H79">
        <v>100</v>
      </c>
      <c r="I79">
        <v>-763000</v>
      </c>
      <c r="J79">
        <v>9.2694700000000001</v>
      </c>
      <c r="K79" t="s">
        <v>1484</v>
      </c>
      <c r="L79" t="s">
        <v>226</v>
      </c>
    </row>
    <row r="80" spans="1:12" x14ac:dyDescent="0.25">
      <c r="A80" t="s">
        <v>1508</v>
      </c>
      <c r="B80" t="s">
        <v>338</v>
      </c>
      <c r="C80" t="s">
        <v>337</v>
      </c>
      <c r="D80" t="s">
        <v>346</v>
      </c>
      <c r="E80" t="s">
        <v>346</v>
      </c>
      <c r="F80" t="s">
        <v>1201</v>
      </c>
      <c r="G80">
        <v>-3125.0002500000001</v>
      </c>
      <c r="H80">
        <v>100</v>
      </c>
      <c r="I80">
        <v>-3125</v>
      </c>
      <c r="J80">
        <v>3.39</v>
      </c>
      <c r="K80" t="s">
        <v>1485</v>
      </c>
      <c r="L80" t="s">
        <v>226</v>
      </c>
    </row>
    <row r="81" spans="1:12" x14ac:dyDescent="0.25">
      <c r="A81" t="s">
        <v>1508</v>
      </c>
      <c r="B81" t="s">
        <v>338</v>
      </c>
      <c r="C81" t="s">
        <v>337</v>
      </c>
      <c r="D81" t="s">
        <v>490</v>
      </c>
      <c r="E81" t="s">
        <v>490</v>
      </c>
      <c r="F81" t="s">
        <v>1201</v>
      </c>
      <c r="G81">
        <v>-3125.0002500000001</v>
      </c>
      <c r="H81">
        <v>100</v>
      </c>
      <c r="I81">
        <v>-3125</v>
      </c>
      <c r="J81">
        <v>3.39</v>
      </c>
      <c r="K81" t="s">
        <v>1485</v>
      </c>
      <c r="L81" t="s">
        <v>226</v>
      </c>
    </row>
    <row r="82" spans="1:12" x14ac:dyDescent="0.25">
      <c r="A82" t="s">
        <v>1508</v>
      </c>
      <c r="B82" t="s">
        <v>338</v>
      </c>
      <c r="C82" t="s">
        <v>337</v>
      </c>
      <c r="D82" t="s">
        <v>631</v>
      </c>
      <c r="E82" t="s">
        <v>631</v>
      </c>
      <c r="F82" t="s">
        <v>1201</v>
      </c>
      <c r="G82">
        <v>-3124.9994999999999</v>
      </c>
      <c r="H82">
        <v>100</v>
      </c>
      <c r="I82">
        <v>-3125</v>
      </c>
      <c r="J82">
        <v>3.39</v>
      </c>
      <c r="K82" t="s">
        <v>1485</v>
      </c>
      <c r="L82" t="s">
        <v>226</v>
      </c>
    </row>
    <row r="83" spans="1:12" x14ac:dyDescent="0.25">
      <c r="A83" t="s">
        <v>1508</v>
      </c>
      <c r="B83" t="s">
        <v>340</v>
      </c>
      <c r="C83" t="s">
        <v>339</v>
      </c>
      <c r="D83" t="s">
        <v>346</v>
      </c>
      <c r="E83" t="s">
        <v>346</v>
      </c>
      <c r="F83" t="s">
        <v>1206</v>
      </c>
      <c r="G83">
        <v>-937.49332500000003</v>
      </c>
      <c r="H83">
        <v>100</v>
      </c>
      <c r="I83">
        <v>-937.49</v>
      </c>
      <c r="J83">
        <v>2.8</v>
      </c>
      <c r="K83" t="s">
        <v>1485</v>
      </c>
      <c r="L83" t="s">
        <v>226</v>
      </c>
    </row>
    <row r="84" spans="1:12" x14ac:dyDescent="0.25">
      <c r="A84" t="s">
        <v>1508</v>
      </c>
      <c r="B84" t="s">
        <v>340</v>
      </c>
      <c r="C84" t="s">
        <v>339</v>
      </c>
      <c r="D84" t="s">
        <v>631</v>
      </c>
      <c r="E84" t="s">
        <v>631</v>
      </c>
      <c r="F84" t="s">
        <v>1206</v>
      </c>
      <c r="G84">
        <v>-937.49332500000003</v>
      </c>
      <c r="H84">
        <v>100</v>
      </c>
      <c r="I84">
        <v>-937.49</v>
      </c>
      <c r="J84">
        <v>2.8</v>
      </c>
      <c r="K84" t="s">
        <v>1485</v>
      </c>
      <c r="L84" t="s">
        <v>226</v>
      </c>
    </row>
    <row r="85" spans="1:12" x14ac:dyDescent="0.25">
      <c r="A85" t="s">
        <v>1508</v>
      </c>
      <c r="B85" t="s">
        <v>340</v>
      </c>
      <c r="C85" t="s">
        <v>339</v>
      </c>
      <c r="D85" t="s">
        <v>490</v>
      </c>
      <c r="E85" t="s">
        <v>490</v>
      </c>
      <c r="F85" t="s">
        <v>1206</v>
      </c>
      <c r="G85">
        <v>-937.51334999999995</v>
      </c>
      <c r="H85">
        <v>100</v>
      </c>
      <c r="I85">
        <v>-937.51</v>
      </c>
      <c r="J85">
        <v>2.8</v>
      </c>
      <c r="K85" t="s">
        <v>1485</v>
      </c>
      <c r="L85" t="s">
        <v>226</v>
      </c>
    </row>
    <row r="86" spans="1:12" x14ac:dyDescent="0.25">
      <c r="A86" t="s">
        <v>1508</v>
      </c>
      <c r="B86" t="s">
        <v>342</v>
      </c>
      <c r="C86" t="s">
        <v>341</v>
      </c>
      <c r="D86" t="s">
        <v>490</v>
      </c>
      <c r="E86" t="s">
        <v>490</v>
      </c>
      <c r="F86" t="s">
        <v>1206</v>
      </c>
      <c r="G86">
        <v>-1041.6505</v>
      </c>
      <c r="H86">
        <v>100</v>
      </c>
      <c r="I86">
        <v>-1041.6500000000001</v>
      </c>
      <c r="J86">
        <v>3.26</v>
      </c>
      <c r="K86" t="s">
        <v>1485</v>
      </c>
      <c r="L86" t="s">
        <v>226</v>
      </c>
    </row>
    <row r="87" spans="1:12" x14ac:dyDescent="0.25">
      <c r="A87" t="s">
        <v>1508</v>
      </c>
      <c r="B87" t="s">
        <v>342</v>
      </c>
      <c r="C87" t="s">
        <v>341</v>
      </c>
      <c r="D87" t="s">
        <v>346</v>
      </c>
      <c r="E87" t="s">
        <v>346</v>
      </c>
      <c r="F87" t="s">
        <v>1206</v>
      </c>
      <c r="G87">
        <v>-1041.6747499999999</v>
      </c>
      <c r="H87">
        <v>100</v>
      </c>
      <c r="I87">
        <v>-1041.67</v>
      </c>
      <c r="J87">
        <v>3.26</v>
      </c>
      <c r="K87" t="s">
        <v>1485</v>
      </c>
      <c r="L87" t="s">
        <v>226</v>
      </c>
    </row>
    <row r="88" spans="1:12" x14ac:dyDescent="0.25">
      <c r="A88" t="s">
        <v>1508</v>
      </c>
      <c r="B88" t="s">
        <v>342</v>
      </c>
      <c r="C88" t="s">
        <v>341</v>
      </c>
      <c r="D88" t="s">
        <v>631</v>
      </c>
      <c r="E88" t="s">
        <v>631</v>
      </c>
      <c r="F88" t="s">
        <v>1206</v>
      </c>
      <c r="G88">
        <v>-1041.6747499999999</v>
      </c>
      <c r="H88">
        <v>100</v>
      </c>
      <c r="I88">
        <v>-1041.67</v>
      </c>
      <c r="J88">
        <v>3.26</v>
      </c>
      <c r="K88" t="s">
        <v>1485</v>
      </c>
      <c r="L88" t="s">
        <v>226</v>
      </c>
    </row>
    <row r="89" spans="1:12" x14ac:dyDescent="0.25">
      <c r="A89" t="s">
        <v>1499</v>
      </c>
      <c r="B89" t="s">
        <v>519</v>
      </c>
      <c r="C89" t="s">
        <v>518</v>
      </c>
      <c r="D89" t="s">
        <v>403</v>
      </c>
      <c r="E89" t="s">
        <v>346</v>
      </c>
      <c r="F89" t="s">
        <v>422</v>
      </c>
      <c r="G89">
        <v>10600000</v>
      </c>
      <c r="H89">
        <v>100</v>
      </c>
      <c r="I89">
        <v>10600000</v>
      </c>
      <c r="J89">
        <v>8.2184600000000003</v>
      </c>
      <c r="K89" t="s">
        <v>1484</v>
      </c>
      <c r="L89" t="s">
        <v>1500</v>
      </c>
    </row>
    <row r="90" spans="1:12" x14ac:dyDescent="0.25">
      <c r="A90" t="s">
        <v>1502</v>
      </c>
      <c r="B90" t="s">
        <v>345</v>
      </c>
      <c r="C90" t="s">
        <v>344</v>
      </c>
      <c r="D90" t="s">
        <v>346</v>
      </c>
      <c r="E90" t="s">
        <v>346</v>
      </c>
      <c r="F90" t="s">
        <v>1516</v>
      </c>
      <c r="G90">
        <v>-4500000</v>
      </c>
      <c r="H90">
        <v>100</v>
      </c>
      <c r="I90">
        <v>-4500000</v>
      </c>
      <c r="J90">
        <v>36.845309999999998</v>
      </c>
      <c r="K90" t="s">
        <v>1487</v>
      </c>
      <c r="L90" t="s">
        <v>226</v>
      </c>
    </row>
    <row r="91" spans="1:12" x14ac:dyDescent="0.25">
      <c r="A91" t="s">
        <v>1499</v>
      </c>
      <c r="B91" t="s">
        <v>349</v>
      </c>
      <c r="C91" t="s">
        <v>348</v>
      </c>
      <c r="D91" t="s">
        <v>350</v>
      </c>
      <c r="E91" t="s">
        <v>350</v>
      </c>
      <c r="F91" t="s">
        <v>1517</v>
      </c>
      <c r="G91">
        <v>-1175000</v>
      </c>
      <c r="H91">
        <v>100</v>
      </c>
      <c r="I91">
        <v>-1175000</v>
      </c>
      <c r="J91">
        <v>47.586480000000002</v>
      </c>
      <c r="K91" t="s">
        <v>1484</v>
      </c>
      <c r="L91" t="s">
        <v>226</v>
      </c>
    </row>
    <row r="92" spans="1:12" x14ac:dyDescent="0.25">
      <c r="A92" t="s">
        <v>1499</v>
      </c>
      <c r="B92" t="s">
        <v>352</v>
      </c>
      <c r="C92" t="s">
        <v>351</v>
      </c>
      <c r="D92" t="s">
        <v>255</v>
      </c>
      <c r="E92" t="s">
        <v>255</v>
      </c>
      <c r="F92" t="s">
        <v>1191</v>
      </c>
      <c r="G92">
        <v>-3118000</v>
      </c>
      <c r="H92">
        <v>100</v>
      </c>
      <c r="I92">
        <v>-3118000</v>
      </c>
      <c r="J92">
        <v>54.543660000000003</v>
      </c>
      <c r="K92" t="s">
        <v>1484</v>
      </c>
      <c r="L92" t="s">
        <v>226</v>
      </c>
    </row>
    <row r="93" spans="1:12" x14ac:dyDescent="0.25">
      <c r="A93" t="s">
        <v>1499</v>
      </c>
      <c r="B93" t="s">
        <v>521</v>
      </c>
      <c r="C93" t="s">
        <v>520</v>
      </c>
      <c r="D93" t="s">
        <v>222</v>
      </c>
      <c r="E93" t="s">
        <v>522</v>
      </c>
      <c r="F93" t="s">
        <v>431</v>
      </c>
      <c r="G93">
        <v>2150000</v>
      </c>
      <c r="H93">
        <v>100</v>
      </c>
      <c r="I93">
        <v>2150000</v>
      </c>
      <c r="J93">
        <v>7.0993300000000001</v>
      </c>
      <c r="K93" t="s">
        <v>1484</v>
      </c>
      <c r="L93" t="s">
        <v>1500</v>
      </c>
    </row>
    <row r="94" spans="1:12" x14ac:dyDescent="0.25">
      <c r="A94" t="s">
        <v>1499</v>
      </c>
      <c r="B94" t="s">
        <v>355</v>
      </c>
      <c r="C94" t="s">
        <v>354</v>
      </c>
      <c r="D94" t="s">
        <v>270</v>
      </c>
      <c r="E94" t="s">
        <v>270</v>
      </c>
      <c r="F94" t="s">
        <v>1518</v>
      </c>
      <c r="G94">
        <v>-4818000</v>
      </c>
      <c r="H94">
        <v>100</v>
      </c>
      <c r="I94">
        <v>-4818000</v>
      </c>
      <c r="J94">
        <v>7.2723800000000001</v>
      </c>
      <c r="K94" t="s">
        <v>1484</v>
      </c>
      <c r="L94" t="s">
        <v>226</v>
      </c>
    </row>
    <row r="95" spans="1:12" x14ac:dyDescent="0.25">
      <c r="A95" t="s">
        <v>1499</v>
      </c>
      <c r="B95" t="s">
        <v>357</v>
      </c>
      <c r="C95" t="s">
        <v>356</v>
      </c>
      <c r="D95" t="s">
        <v>270</v>
      </c>
      <c r="E95" t="s">
        <v>270</v>
      </c>
      <c r="F95" t="s">
        <v>1518</v>
      </c>
      <c r="G95">
        <v>-2753000</v>
      </c>
      <c r="H95">
        <v>100</v>
      </c>
      <c r="I95">
        <v>-2753000</v>
      </c>
      <c r="J95">
        <v>9.2723800000000001</v>
      </c>
      <c r="K95" t="s">
        <v>1484</v>
      </c>
      <c r="L95" t="s">
        <v>226</v>
      </c>
    </row>
    <row r="96" spans="1:12" x14ac:dyDescent="0.25">
      <c r="A96" t="s">
        <v>1499</v>
      </c>
      <c r="B96" t="s">
        <v>524</v>
      </c>
      <c r="C96" t="s">
        <v>523</v>
      </c>
      <c r="D96" t="s">
        <v>525</v>
      </c>
      <c r="E96" t="s">
        <v>270</v>
      </c>
      <c r="F96" t="s">
        <v>451</v>
      </c>
      <c r="G96">
        <v>2753000</v>
      </c>
      <c r="H96">
        <v>100</v>
      </c>
      <c r="I96">
        <v>2753000</v>
      </c>
      <c r="J96">
        <v>7.7254899999999997</v>
      </c>
      <c r="K96" t="s">
        <v>1484</v>
      </c>
      <c r="L96" t="s">
        <v>1500</v>
      </c>
    </row>
    <row r="97" spans="1:12" x14ac:dyDescent="0.25">
      <c r="A97" t="s">
        <v>1499</v>
      </c>
      <c r="B97" t="s">
        <v>527</v>
      </c>
      <c r="C97" t="s">
        <v>526</v>
      </c>
      <c r="D97" t="s">
        <v>482</v>
      </c>
      <c r="E97" t="s">
        <v>436</v>
      </c>
      <c r="F97" t="s">
        <v>451</v>
      </c>
      <c r="G97">
        <v>5100000</v>
      </c>
      <c r="H97">
        <v>100</v>
      </c>
      <c r="I97">
        <v>5100000</v>
      </c>
      <c r="J97">
        <v>7.0754599999999996</v>
      </c>
      <c r="K97" t="s">
        <v>1484</v>
      </c>
      <c r="L97" t="s">
        <v>1500</v>
      </c>
    </row>
    <row r="98" spans="1:12" x14ac:dyDescent="0.25">
      <c r="A98" t="s">
        <v>1499</v>
      </c>
      <c r="B98" t="s">
        <v>530</v>
      </c>
      <c r="C98" t="s">
        <v>529</v>
      </c>
      <c r="D98" t="s">
        <v>531</v>
      </c>
      <c r="E98" t="s">
        <v>350</v>
      </c>
      <c r="F98" t="s">
        <v>532</v>
      </c>
      <c r="G98">
        <v>8700000</v>
      </c>
      <c r="H98">
        <v>100</v>
      </c>
      <c r="I98">
        <v>8700000</v>
      </c>
      <c r="J98">
        <v>7.9254899999999999</v>
      </c>
      <c r="K98" t="s">
        <v>1484</v>
      </c>
      <c r="L98" t="s">
        <v>1500</v>
      </c>
    </row>
    <row r="99" spans="1:12" x14ac:dyDescent="0.25">
      <c r="A99" t="s">
        <v>1499</v>
      </c>
      <c r="B99" t="s">
        <v>534</v>
      </c>
      <c r="C99" t="s">
        <v>533</v>
      </c>
      <c r="D99" t="s">
        <v>444</v>
      </c>
      <c r="E99" t="s">
        <v>445</v>
      </c>
      <c r="F99" t="s">
        <v>535</v>
      </c>
      <c r="G99">
        <v>3700000</v>
      </c>
      <c r="H99">
        <v>100</v>
      </c>
      <c r="I99">
        <v>3700000</v>
      </c>
      <c r="J99">
        <v>0</v>
      </c>
      <c r="K99" t="s">
        <v>1484</v>
      </c>
      <c r="L99" t="s">
        <v>1500</v>
      </c>
    </row>
    <row r="100" spans="1:12" x14ac:dyDescent="0.25">
      <c r="A100" t="s">
        <v>1499</v>
      </c>
      <c r="B100" t="s">
        <v>360</v>
      </c>
      <c r="C100" t="s">
        <v>359</v>
      </c>
      <c r="D100" t="s">
        <v>346</v>
      </c>
      <c r="E100" t="s">
        <v>346</v>
      </c>
      <c r="F100" t="s">
        <v>858</v>
      </c>
      <c r="G100">
        <v>-2823000</v>
      </c>
      <c r="H100">
        <v>100</v>
      </c>
      <c r="I100">
        <v>-2823000</v>
      </c>
      <c r="J100">
        <v>10.02238</v>
      </c>
      <c r="K100" t="s">
        <v>1484</v>
      </c>
      <c r="L100" t="s">
        <v>226</v>
      </c>
    </row>
    <row r="101" spans="1:12" x14ac:dyDescent="0.25">
      <c r="A101" t="s">
        <v>1502</v>
      </c>
      <c r="B101" t="s">
        <v>538</v>
      </c>
      <c r="C101" t="s">
        <v>537</v>
      </c>
      <c r="D101" t="s">
        <v>320</v>
      </c>
      <c r="E101" t="s">
        <v>235</v>
      </c>
      <c r="F101" t="s">
        <v>422</v>
      </c>
      <c r="G101">
        <v>6075000</v>
      </c>
      <c r="H101">
        <v>100</v>
      </c>
      <c r="I101">
        <v>6075000</v>
      </c>
      <c r="J101">
        <v>10.037660000000001</v>
      </c>
      <c r="K101" t="s">
        <v>1487</v>
      </c>
      <c r="L101" t="s">
        <v>1500</v>
      </c>
    </row>
    <row r="102" spans="1:12" x14ac:dyDescent="0.25">
      <c r="A102" t="s">
        <v>1499</v>
      </c>
      <c r="B102" t="s">
        <v>363</v>
      </c>
      <c r="C102" t="s">
        <v>362</v>
      </c>
      <c r="D102" t="s">
        <v>364</v>
      </c>
      <c r="E102" t="s">
        <v>364</v>
      </c>
      <c r="F102" t="s">
        <v>985</v>
      </c>
      <c r="G102">
        <v>-2332954</v>
      </c>
      <c r="H102">
        <v>100</v>
      </c>
      <c r="I102">
        <v>-2332954</v>
      </c>
      <c r="J102">
        <v>7.3060999999999998</v>
      </c>
      <c r="K102" t="s">
        <v>1484</v>
      </c>
      <c r="L102" t="s">
        <v>226</v>
      </c>
    </row>
    <row r="103" spans="1:12" x14ac:dyDescent="0.25">
      <c r="A103" t="s">
        <v>1499</v>
      </c>
      <c r="B103" t="s">
        <v>366</v>
      </c>
      <c r="C103" t="s">
        <v>365</v>
      </c>
      <c r="D103" t="s">
        <v>364</v>
      </c>
      <c r="E103" t="s">
        <v>364</v>
      </c>
      <c r="F103" t="s">
        <v>985</v>
      </c>
      <c r="G103">
        <v>-4245976</v>
      </c>
      <c r="H103">
        <v>100</v>
      </c>
      <c r="I103">
        <v>-4245976</v>
      </c>
      <c r="J103">
        <v>9.4560999999999993</v>
      </c>
      <c r="K103" t="s">
        <v>1484</v>
      </c>
      <c r="L103" t="s">
        <v>226</v>
      </c>
    </row>
    <row r="104" spans="1:12" x14ac:dyDescent="0.25">
      <c r="A104" t="s">
        <v>1499</v>
      </c>
      <c r="B104" t="s">
        <v>540</v>
      </c>
      <c r="C104" t="s">
        <v>539</v>
      </c>
      <c r="D104" t="s">
        <v>259</v>
      </c>
      <c r="E104" t="s">
        <v>364</v>
      </c>
      <c r="F104" t="s">
        <v>439</v>
      </c>
      <c r="G104">
        <v>2332954</v>
      </c>
      <c r="H104">
        <v>100</v>
      </c>
      <c r="I104">
        <v>2332954</v>
      </c>
      <c r="J104">
        <v>6.2781380000000002</v>
      </c>
      <c r="K104" t="s">
        <v>1484</v>
      </c>
      <c r="L104" t="s">
        <v>1500</v>
      </c>
    </row>
    <row r="105" spans="1:12" x14ac:dyDescent="0.25">
      <c r="A105" t="s">
        <v>1499</v>
      </c>
      <c r="B105" t="s">
        <v>542</v>
      </c>
      <c r="C105" t="s">
        <v>541</v>
      </c>
      <c r="D105" t="s">
        <v>259</v>
      </c>
      <c r="E105" t="s">
        <v>364</v>
      </c>
      <c r="F105" t="s">
        <v>439</v>
      </c>
      <c r="G105">
        <v>4245976</v>
      </c>
      <c r="H105">
        <v>100</v>
      </c>
      <c r="I105">
        <v>4245976</v>
      </c>
      <c r="J105">
        <v>7.2781380000000002</v>
      </c>
      <c r="K105" t="s">
        <v>1484</v>
      </c>
      <c r="L105" t="s">
        <v>1500</v>
      </c>
    </row>
    <row r="106" spans="1:12" x14ac:dyDescent="0.25">
      <c r="A106" t="s">
        <v>1508</v>
      </c>
      <c r="B106" t="s">
        <v>221</v>
      </c>
      <c r="C106" t="s">
        <v>220</v>
      </c>
      <c r="D106" t="s">
        <v>222</v>
      </c>
      <c r="E106" t="s">
        <v>222</v>
      </c>
      <c r="F106" t="s">
        <v>1277</v>
      </c>
      <c r="G106">
        <v>-14100000</v>
      </c>
      <c r="H106">
        <v>100</v>
      </c>
      <c r="I106">
        <v>-14100000</v>
      </c>
      <c r="J106">
        <v>5.2160000000000002</v>
      </c>
      <c r="K106" t="s">
        <v>1485</v>
      </c>
      <c r="L106" t="s">
        <v>213</v>
      </c>
    </row>
    <row r="107" spans="1:12" x14ac:dyDescent="0.25">
      <c r="A107" t="s">
        <v>1508</v>
      </c>
      <c r="B107" t="s">
        <v>221</v>
      </c>
      <c r="C107" t="s">
        <v>220</v>
      </c>
      <c r="D107" t="s">
        <v>367</v>
      </c>
      <c r="E107" t="s">
        <v>367</v>
      </c>
      <c r="F107" t="s">
        <v>1277</v>
      </c>
      <c r="G107">
        <v>-37500</v>
      </c>
      <c r="H107">
        <v>100</v>
      </c>
      <c r="I107">
        <v>-37500</v>
      </c>
      <c r="J107">
        <v>5.2160000000000002</v>
      </c>
      <c r="K107" t="s">
        <v>1485</v>
      </c>
      <c r="L107" t="s">
        <v>226</v>
      </c>
    </row>
    <row r="108" spans="1:12" x14ac:dyDescent="0.25">
      <c r="A108" t="s">
        <v>1508</v>
      </c>
      <c r="B108" t="s">
        <v>224</v>
      </c>
      <c r="C108" t="s">
        <v>223</v>
      </c>
      <c r="D108" t="s">
        <v>346</v>
      </c>
      <c r="E108" t="s">
        <v>346</v>
      </c>
      <c r="F108" t="s">
        <v>475</v>
      </c>
      <c r="G108">
        <v>-16060.704344</v>
      </c>
      <c r="H108">
        <v>100</v>
      </c>
      <c r="I108">
        <v>-16060.7</v>
      </c>
      <c r="J108">
        <v>3.51</v>
      </c>
      <c r="K108" t="s">
        <v>1485</v>
      </c>
      <c r="L108" t="s">
        <v>226</v>
      </c>
    </row>
    <row r="109" spans="1:12" x14ac:dyDescent="0.25">
      <c r="A109" t="s">
        <v>1508</v>
      </c>
      <c r="B109" t="s">
        <v>224</v>
      </c>
      <c r="C109" t="s">
        <v>223</v>
      </c>
      <c r="D109" t="s">
        <v>225</v>
      </c>
      <c r="E109" t="s">
        <v>225</v>
      </c>
      <c r="F109" t="s">
        <v>475</v>
      </c>
      <c r="G109">
        <v>-459287.25</v>
      </c>
      <c r="H109">
        <v>100</v>
      </c>
      <c r="I109">
        <v>-459287.25</v>
      </c>
      <c r="J109">
        <v>3.51</v>
      </c>
      <c r="K109" t="s">
        <v>1485</v>
      </c>
      <c r="L109" t="s">
        <v>213</v>
      </c>
    </row>
    <row r="110" spans="1:12" x14ac:dyDescent="0.25">
      <c r="A110" t="s">
        <v>1499</v>
      </c>
      <c r="B110" t="s">
        <v>545</v>
      </c>
      <c r="C110" t="s">
        <v>544</v>
      </c>
      <c r="D110" t="s">
        <v>346</v>
      </c>
      <c r="E110" t="s">
        <v>500</v>
      </c>
      <c r="F110" t="s">
        <v>439</v>
      </c>
      <c r="G110">
        <v>14000000</v>
      </c>
      <c r="H110">
        <v>100</v>
      </c>
      <c r="I110">
        <v>14000000</v>
      </c>
      <c r="J110">
        <v>7.3680399999999997</v>
      </c>
      <c r="K110" t="s">
        <v>1484</v>
      </c>
      <c r="L110" t="s">
        <v>1500</v>
      </c>
    </row>
    <row r="111" spans="1:12" x14ac:dyDescent="0.25">
      <c r="A111" t="s">
        <v>1499</v>
      </c>
      <c r="B111" t="s">
        <v>547</v>
      </c>
      <c r="C111" t="s">
        <v>546</v>
      </c>
      <c r="D111" t="s">
        <v>525</v>
      </c>
      <c r="E111" t="s">
        <v>399</v>
      </c>
      <c r="F111" t="s">
        <v>404</v>
      </c>
      <c r="G111">
        <v>1000000</v>
      </c>
      <c r="H111">
        <v>100</v>
      </c>
      <c r="I111">
        <v>1000000</v>
      </c>
      <c r="J111">
        <v>7.8877899999999999</v>
      </c>
      <c r="K111" t="s">
        <v>1484</v>
      </c>
      <c r="L111" t="s">
        <v>1500</v>
      </c>
    </row>
    <row r="112" spans="1:12" x14ac:dyDescent="0.25">
      <c r="A112" t="s">
        <v>1499</v>
      </c>
      <c r="B112" t="s">
        <v>550</v>
      </c>
      <c r="C112" t="s">
        <v>549</v>
      </c>
      <c r="D112" t="s">
        <v>245</v>
      </c>
      <c r="E112" t="s">
        <v>551</v>
      </c>
      <c r="F112" t="s">
        <v>492</v>
      </c>
      <c r="G112">
        <v>3200000</v>
      </c>
      <c r="H112">
        <v>100</v>
      </c>
      <c r="I112">
        <v>3200000</v>
      </c>
      <c r="J112">
        <v>7.1894900000000002</v>
      </c>
      <c r="K112" t="s">
        <v>1484</v>
      </c>
      <c r="L112" t="s">
        <v>1500</v>
      </c>
    </row>
    <row r="113" spans="1:12" x14ac:dyDescent="0.25">
      <c r="A113" t="s">
        <v>1499</v>
      </c>
      <c r="B113" t="s">
        <v>393</v>
      </c>
      <c r="C113" t="s">
        <v>392</v>
      </c>
      <c r="D113" t="s">
        <v>394</v>
      </c>
      <c r="E113" t="s">
        <v>395</v>
      </c>
      <c r="F113" t="s">
        <v>396</v>
      </c>
      <c r="G113">
        <v>-1206522</v>
      </c>
      <c r="H113">
        <v>99.5</v>
      </c>
      <c r="I113">
        <v>-1200489.3899999999</v>
      </c>
      <c r="J113">
        <v>8.5413999999999994</v>
      </c>
      <c r="K113" t="s">
        <v>1484</v>
      </c>
      <c r="L113" t="s">
        <v>1504</v>
      </c>
    </row>
    <row r="114" spans="1:12" x14ac:dyDescent="0.25">
      <c r="A114" t="s">
        <v>1499</v>
      </c>
      <c r="B114" t="s">
        <v>393</v>
      </c>
      <c r="C114" t="s">
        <v>392</v>
      </c>
      <c r="D114" t="s">
        <v>399</v>
      </c>
      <c r="E114" t="s">
        <v>400</v>
      </c>
      <c r="F114" t="s">
        <v>396</v>
      </c>
      <c r="G114">
        <v>-2413043</v>
      </c>
      <c r="H114">
        <v>99.974999999999994</v>
      </c>
      <c r="I114">
        <v>-2412439.7400000002</v>
      </c>
      <c r="J114">
        <v>8.5413999999999994</v>
      </c>
      <c r="K114" t="s">
        <v>1484</v>
      </c>
      <c r="L114" t="s">
        <v>1504</v>
      </c>
    </row>
    <row r="115" spans="1:12" x14ac:dyDescent="0.25">
      <c r="A115" t="s">
        <v>1499</v>
      </c>
      <c r="B115" t="s">
        <v>393</v>
      </c>
      <c r="C115" t="s">
        <v>392</v>
      </c>
      <c r="D115" t="s">
        <v>397</v>
      </c>
      <c r="E115" t="s">
        <v>398</v>
      </c>
      <c r="F115" t="s">
        <v>396</v>
      </c>
      <c r="G115">
        <v>-723913</v>
      </c>
      <c r="H115">
        <v>100</v>
      </c>
      <c r="I115">
        <v>-723913</v>
      </c>
      <c r="J115">
        <v>8.5413999999999994</v>
      </c>
      <c r="K115" t="s">
        <v>1484</v>
      </c>
      <c r="L115" t="s">
        <v>1504</v>
      </c>
    </row>
    <row r="116" spans="1:12" x14ac:dyDescent="0.25">
      <c r="A116" t="s">
        <v>1499</v>
      </c>
      <c r="B116" t="s">
        <v>553</v>
      </c>
      <c r="C116" t="s">
        <v>552</v>
      </c>
      <c r="D116" t="s">
        <v>311</v>
      </c>
      <c r="E116" t="s">
        <v>430</v>
      </c>
      <c r="F116" t="s">
        <v>554</v>
      </c>
      <c r="G116">
        <v>5000000</v>
      </c>
      <c r="H116">
        <v>100</v>
      </c>
      <c r="I116">
        <v>5000000</v>
      </c>
      <c r="J116">
        <v>7.2687400000000002</v>
      </c>
      <c r="K116" t="s">
        <v>1484</v>
      </c>
      <c r="L116" t="s">
        <v>1500</v>
      </c>
    </row>
    <row r="117" spans="1:12" x14ac:dyDescent="0.25">
      <c r="A117" t="s">
        <v>1499</v>
      </c>
      <c r="B117" t="s">
        <v>556</v>
      </c>
      <c r="C117" t="s">
        <v>555</v>
      </c>
      <c r="D117" t="s">
        <v>120</v>
      </c>
      <c r="E117" t="s">
        <v>557</v>
      </c>
      <c r="F117" t="s">
        <v>439</v>
      </c>
      <c r="G117">
        <v>1800000</v>
      </c>
      <c r="H117">
        <v>99.934899999999999</v>
      </c>
      <c r="I117">
        <v>1798828.2</v>
      </c>
      <c r="J117">
        <v>7.4977099999999997</v>
      </c>
      <c r="K117" t="s">
        <v>1484</v>
      </c>
      <c r="L117" t="s">
        <v>1500</v>
      </c>
    </row>
    <row r="118" spans="1:12" x14ac:dyDescent="0.25">
      <c r="A118" t="s">
        <v>1499</v>
      </c>
      <c r="B118" t="s">
        <v>370</v>
      </c>
      <c r="C118" t="s">
        <v>369</v>
      </c>
      <c r="D118" t="s">
        <v>311</v>
      </c>
      <c r="E118" t="s">
        <v>311</v>
      </c>
      <c r="F118" t="s">
        <v>1109</v>
      </c>
      <c r="G118">
        <v>-6585000</v>
      </c>
      <c r="H118">
        <v>100</v>
      </c>
      <c r="I118">
        <v>-6585000</v>
      </c>
      <c r="J118">
        <v>53.417560000000002</v>
      </c>
      <c r="K118" t="s">
        <v>1484</v>
      </c>
      <c r="L118" t="s">
        <v>226</v>
      </c>
    </row>
    <row r="119" spans="1:12" x14ac:dyDescent="0.25">
      <c r="A119" t="s">
        <v>1499</v>
      </c>
      <c r="B119" t="s">
        <v>559</v>
      </c>
      <c r="C119" t="s">
        <v>558</v>
      </c>
      <c r="D119" t="s">
        <v>389</v>
      </c>
      <c r="E119" t="s">
        <v>311</v>
      </c>
      <c r="F119" t="s">
        <v>451</v>
      </c>
      <c r="G119">
        <v>6585000</v>
      </c>
      <c r="H119">
        <v>100</v>
      </c>
      <c r="I119">
        <v>6585000</v>
      </c>
      <c r="J119">
        <v>7.2254899999999997</v>
      </c>
      <c r="K119" t="s">
        <v>1484</v>
      </c>
      <c r="L119" t="s">
        <v>1500</v>
      </c>
    </row>
    <row r="120" spans="1:12" x14ac:dyDescent="0.25">
      <c r="A120" t="s">
        <v>1499</v>
      </c>
      <c r="B120" t="s">
        <v>562</v>
      </c>
      <c r="C120" t="s">
        <v>561</v>
      </c>
      <c r="D120" t="s">
        <v>230</v>
      </c>
      <c r="E120" t="s">
        <v>320</v>
      </c>
      <c r="F120" t="s">
        <v>563</v>
      </c>
      <c r="G120">
        <v>3000000</v>
      </c>
      <c r="H120">
        <v>100</v>
      </c>
      <c r="I120">
        <v>3000000</v>
      </c>
      <c r="J120">
        <v>7.2966699999999998</v>
      </c>
      <c r="K120" t="s">
        <v>1484</v>
      </c>
      <c r="L120" t="s">
        <v>1500</v>
      </c>
    </row>
    <row r="121" spans="1:12" x14ac:dyDescent="0.25">
      <c r="A121" t="s">
        <v>1502</v>
      </c>
      <c r="B121" t="s">
        <v>372</v>
      </c>
      <c r="C121" t="s">
        <v>371</v>
      </c>
      <c r="D121" t="s">
        <v>120</v>
      </c>
      <c r="E121" t="s">
        <v>120</v>
      </c>
      <c r="F121" t="s">
        <v>1061</v>
      </c>
      <c r="G121">
        <v>140392.97102</v>
      </c>
      <c r="H121">
        <v>0</v>
      </c>
      <c r="I121">
        <v>140392.97</v>
      </c>
      <c r="J121">
        <v>12.57916</v>
      </c>
      <c r="K121" t="s">
        <v>1487</v>
      </c>
      <c r="L121" t="s">
        <v>226</v>
      </c>
    </row>
    <row r="122" spans="1:12" x14ac:dyDescent="0.25">
      <c r="A122" t="s">
        <v>1519</v>
      </c>
      <c r="B122" t="s">
        <v>372</v>
      </c>
      <c r="C122" t="s">
        <v>371</v>
      </c>
      <c r="D122" t="s">
        <v>120</v>
      </c>
      <c r="E122" t="s">
        <v>120</v>
      </c>
      <c r="F122" t="s">
        <v>1061</v>
      </c>
      <c r="G122">
        <v>36080.006800000003</v>
      </c>
      <c r="H122">
        <v>0</v>
      </c>
      <c r="I122">
        <v>36080.01</v>
      </c>
      <c r="J122">
        <v>12.57916</v>
      </c>
      <c r="K122" t="s">
        <v>1491</v>
      </c>
      <c r="L122" t="s">
        <v>226</v>
      </c>
    </row>
    <row r="123" spans="1:12" x14ac:dyDescent="0.25">
      <c r="A123" t="s">
        <v>1499</v>
      </c>
      <c r="B123" t="s">
        <v>566</v>
      </c>
      <c r="C123" t="s">
        <v>565</v>
      </c>
      <c r="D123" t="s">
        <v>270</v>
      </c>
      <c r="E123" t="s">
        <v>259</v>
      </c>
      <c r="F123" t="s">
        <v>451</v>
      </c>
      <c r="G123">
        <v>1450000</v>
      </c>
      <c r="H123">
        <v>100</v>
      </c>
      <c r="I123">
        <v>1450000</v>
      </c>
      <c r="J123">
        <v>7.32456</v>
      </c>
      <c r="K123" t="s">
        <v>1484</v>
      </c>
      <c r="L123" t="s">
        <v>1500</v>
      </c>
    </row>
    <row r="124" spans="1:12" x14ac:dyDescent="0.25">
      <c r="A124" t="s">
        <v>1499</v>
      </c>
      <c r="B124" t="s">
        <v>375</v>
      </c>
      <c r="C124" t="s">
        <v>374</v>
      </c>
      <c r="D124" t="s">
        <v>120</v>
      </c>
      <c r="E124" t="s">
        <v>120</v>
      </c>
      <c r="F124" t="s">
        <v>1243</v>
      </c>
      <c r="G124">
        <v>-6545000</v>
      </c>
      <c r="H124">
        <v>100</v>
      </c>
      <c r="I124">
        <v>-6545000</v>
      </c>
      <c r="J124">
        <v>56.554119999999998</v>
      </c>
      <c r="K124" t="s">
        <v>1484</v>
      </c>
      <c r="L124" t="s">
        <v>226</v>
      </c>
    </row>
    <row r="125" spans="1:12" x14ac:dyDescent="0.25">
      <c r="A125" t="s">
        <v>1508</v>
      </c>
      <c r="B125" t="s">
        <v>377</v>
      </c>
      <c r="C125" t="s">
        <v>376</v>
      </c>
      <c r="D125" t="s">
        <v>120</v>
      </c>
      <c r="E125" t="s">
        <v>120</v>
      </c>
      <c r="F125" t="s">
        <v>760</v>
      </c>
      <c r="G125">
        <v>-42806.2212</v>
      </c>
      <c r="H125">
        <v>100</v>
      </c>
      <c r="I125">
        <v>-42806.22</v>
      </c>
      <c r="J125">
        <v>3.2280000000000002</v>
      </c>
      <c r="K125" t="s">
        <v>1485</v>
      </c>
      <c r="L125" t="s">
        <v>226</v>
      </c>
    </row>
    <row r="126" spans="1:12" x14ac:dyDescent="0.25">
      <c r="A126" t="s">
        <v>1508</v>
      </c>
      <c r="B126" t="s">
        <v>377</v>
      </c>
      <c r="C126" t="s">
        <v>376</v>
      </c>
      <c r="D126" t="s">
        <v>1509</v>
      </c>
      <c r="E126" t="s">
        <v>1509</v>
      </c>
      <c r="F126" t="s">
        <v>760</v>
      </c>
      <c r="G126">
        <v>-42806.2212</v>
      </c>
      <c r="H126">
        <v>100</v>
      </c>
      <c r="I126">
        <v>-42806.22</v>
      </c>
      <c r="J126">
        <v>3.2280000000000002</v>
      </c>
      <c r="K126" t="s">
        <v>1485</v>
      </c>
      <c r="L126" t="s">
        <v>226</v>
      </c>
    </row>
    <row r="127" spans="1:12" x14ac:dyDescent="0.25">
      <c r="A127" t="s">
        <v>1508</v>
      </c>
      <c r="B127" t="s">
        <v>377</v>
      </c>
      <c r="C127" t="s">
        <v>376</v>
      </c>
      <c r="D127" t="s">
        <v>394</v>
      </c>
      <c r="E127" t="s">
        <v>394</v>
      </c>
      <c r="F127" t="s">
        <v>760</v>
      </c>
      <c r="G127">
        <v>-42806.22</v>
      </c>
      <c r="H127">
        <v>100</v>
      </c>
      <c r="I127">
        <v>-42806.22</v>
      </c>
      <c r="J127">
        <v>3.2280000000000002</v>
      </c>
      <c r="K127" t="s">
        <v>1485</v>
      </c>
      <c r="L127" t="s">
        <v>226</v>
      </c>
    </row>
    <row r="128" spans="1:12" x14ac:dyDescent="0.25">
      <c r="A128" t="s">
        <v>1508</v>
      </c>
      <c r="B128" t="s">
        <v>379</v>
      </c>
      <c r="C128" t="s">
        <v>378</v>
      </c>
      <c r="D128" t="s">
        <v>120</v>
      </c>
      <c r="E128" t="s">
        <v>120</v>
      </c>
      <c r="F128" t="s">
        <v>760</v>
      </c>
      <c r="G128">
        <v>-5350.7248499999996</v>
      </c>
      <c r="H128">
        <v>100</v>
      </c>
      <c r="I128">
        <v>-5350.72</v>
      </c>
      <c r="J128">
        <v>4.2119999999999997</v>
      </c>
      <c r="K128" t="s">
        <v>1485</v>
      </c>
      <c r="L128" t="s">
        <v>226</v>
      </c>
    </row>
    <row r="129" spans="1:12" x14ac:dyDescent="0.25">
      <c r="A129" t="s">
        <v>1508</v>
      </c>
      <c r="B129" t="s">
        <v>379</v>
      </c>
      <c r="C129" t="s">
        <v>378</v>
      </c>
      <c r="D129" t="s">
        <v>394</v>
      </c>
      <c r="E129" t="s">
        <v>394</v>
      </c>
      <c r="F129" t="s">
        <v>760</v>
      </c>
      <c r="G129">
        <v>-5350.7248499999996</v>
      </c>
      <c r="H129">
        <v>100</v>
      </c>
      <c r="I129">
        <v>-5350.72</v>
      </c>
      <c r="J129">
        <v>4.2119999999999997</v>
      </c>
      <c r="K129" t="s">
        <v>1485</v>
      </c>
      <c r="L129" t="s">
        <v>226</v>
      </c>
    </row>
    <row r="130" spans="1:12" x14ac:dyDescent="0.25">
      <c r="A130" t="s">
        <v>1508</v>
      </c>
      <c r="B130" t="s">
        <v>379</v>
      </c>
      <c r="C130" t="s">
        <v>378</v>
      </c>
      <c r="D130" t="s">
        <v>1509</v>
      </c>
      <c r="E130" t="s">
        <v>1509</v>
      </c>
      <c r="F130" t="s">
        <v>760</v>
      </c>
      <c r="G130">
        <v>-5350.7251500000002</v>
      </c>
      <c r="H130">
        <v>100</v>
      </c>
      <c r="I130">
        <v>-5350.73</v>
      </c>
      <c r="J130">
        <v>4.2119999999999997</v>
      </c>
      <c r="K130" t="s">
        <v>1485</v>
      </c>
      <c r="L130" t="s">
        <v>226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44"/>
  <sheetViews>
    <sheetView workbookViewId="0">
      <selection activeCell="C18" sqref="C18"/>
    </sheetView>
  </sheetViews>
  <sheetFormatPr defaultRowHeight="15" x14ac:dyDescent="0.25"/>
  <cols>
    <col min="1" max="1" width="15.140625" customWidth="1"/>
    <col min="2" max="2" width="17.140625" customWidth="1"/>
    <col min="4" max="4" width="13.5703125" customWidth="1"/>
    <col min="5" max="5" width="18.5703125" customWidth="1"/>
    <col min="6" max="6" width="17.85546875" customWidth="1"/>
    <col min="7" max="7" width="13.42578125" customWidth="1"/>
    <col min="8" max="8" width="13.5703125" customWidth="1"/>
    <col min="9" max="9" width="19.85546875" customWidth="1"/>
    <col min="10" max="10" width="16.7109375" bestFit="1" customWidth="1"/>
    <col min="13" max="13" width="16.42578125" customWidth="1"/>
    <col min="14" max="14" width="12.28515625" customWidth="1"/>
    <col min="15" max="15" width="10.42578125" customWidth="1"/>
    <col min="17" max="17" width="15.28515625" customWidth="1"/>
    <col min="18" max="18" width="13" customWidth="1"/>
    <col min="19" max="19" width="15.28515625" customWidth="1"/>
  </cols>
  <sheetData>
    <row r="1" spans="1:19" x14ac:dyDescent="0.25">
      <c r="A1" s="45" t="s">
        <v>1520</v>
      </c>
      <c r="B1" s="45" t="s">
        <v>1521</v>
      </c>
      <c r="C1" s="45" t="s">
        <v>1522</v>
      </c>
      <c r="D1" s="45" t="s">
        <v>49</v>
      </c>
      <c r="E1" s="45" t="s">
        <v>1523</v>
      </c>
      <c r="F1" s="45" t="s">
        <v>1524</v>
      </c>
      <c r="G1" s="45" t="s">
        <v>1525</v>
      </c>
      <c r="H1" s="45" t="s">
        <v>1497</v>
      </c>
      <c r="I1" s="45" t="s">
        <v>82</v>
      </c>
      <c r="J1" s="45" t="s">
        <v>93</v>
      </c>
      <c r="K1" s="45" t="s">
        <v>108</v>
      </c>
      <c r="L1" s="45" t="s">
        <v>109</v>
      </c>
      <c r="M1" s="45" t="s">
        <v>1498</v>
      </c>
      <c r="N1" s="45" t="s">
        <v>1526</v>
      </c>
      <c r="O1" s="45" t="s">
        <v>1527</v>
      </c>
      <c r="P1" s="45" t="s">
        <v>14</v>
      </c>
      <c r="Q1" s="45" t="s">
        <v>7</v>
      </c>
      <c r="R1" s="45" t="s">
        <v>1528</v>
      </c>
      <c r="S1" s="45" t="s">
        <v>1529</v>
      </c>
    </row>
    <row r="2" spans="1:19" x14ac:dyDescent="0.25">
      <c r="A2" s="41" t="s">
        <v>1502</v>
      </c>
      <c r="B2" s="41"/>
      <c r="C2" s="41" t="s">
        <v>1447</v>
      </c>
      <c r="D2" s="41">
        <v>2200000</v>
      </c>
      <c r="E2" s="41">
        <v>2207075.2000000002</v>
      </c>
      <c r="F2" s="41">
        <v>2200000</v>
      </c>
      <c r="G2" s="41" t="s">
        <v>735</v>
      </c>
      <c r="H2" s="41">
        <v>11.3371</v>
      </c>
      <c r="I2" s="41" t="s">
        <v>1448</v>
      </c>
      <c r="J2" s="42">
        <v>49054</v>
      </c>
      <c r="K2" s="41">
        <v>701.16099999999994</v>
      </c>
      <c r="L2" s="41">
        <v>1</v>
      </c>
      <c r="M2" s="41" t="s">
        <v>1487</v>
      </c>
      <c r="N2" s="41" t="s">
        <v>1447</v>
      </c>
      <c r="O2" s="41" t="s">
        <v>150</v>
      </c>
      <c r="P2" s="41">
        <v>6.127331216</v>
      </c>
      <c r="Q2" s="41" t="s">
        <v>32</v>
      </c>
      <c r="R2" s="41" t="s">
        <v>29</v>
      </c>
      <c r="S2" s="41" t="s">
        <v>38</v>
      </c>
    </row>
    <row r="3" spans="1:19" x14ac:dyDescent="0.25">
      <c r="A3" s="39" t="s">
        <v>1502</v>
      </c>
      <c r="B3" s="39"/>
      <c r="C3" s="39" t="s">
        <v>1447</v>
      </c>
      <c r="D3" s="39">
        <v>5000000</v>
      </c>
      <c r="E3" s="39">
        <v>5016080</v>
      </c>
      <c r="F3" s="39">
        <v>5019285</v>
      </c>
      <c r="G3" s="39" t="s">
        <v>735</v>
      </c>
      <c r="H3" s="39">
        <v>11.3371</v>
      </c>
      <c r="I3" s="39" t="s">
        <v>1448</v>
      </c>
      <c r="J3" s="43">
        <v>49054</v>
      </c>
      <c r="K3" s="39">
        <v>701.16099999999994</v>
      </c>
      <c r="L3" s="39">
        <v>1</v>
      </c>
      <c r="M3" s="39" t="s">
        <v>1487</v>
      </c>
      <c r="N3" s="39" t="s">
        <v>1447</v>
      </c>
      <c r="O3" s="39" t="s">
        <v>150</v>
      </c>
      <c r="P3" s="39">
        <v>6.127331216</v>
      </c>
      <c r="Q3" s="39" t="s">
        <v>32</v>
      </c>
      <c r="R3" s="39" t="s">
        <v>29</v>
      </c>
      <c r="S3" s="39" t="s">
        <v>38</v>
      </c>
    </row>
    <row r="4" spans="1:19" x14ac:dyDescent="0.25">
      <c r="A4" s="40" t="s">
        <v>1502</v>
      </c>
      <c r="B4" s="40"/>
      <c r="C4" s="40" t="s">
        <v>1443</v>
      </c>
      <c r="D4" s="40">
        <v>900000</v>
      </c>
      <c r="E4" s="40">
        <v>909132.3</v>
      </c>
      <c r="F4" s="40">
        <v>911065.5</v>
      </c>
      <c r="G4" s="40" t="s">
        <v>735</v>
      </c>
      <c r="H4" s="40">
        <v>11.205489999999999</v>
      </c>
      <c r="I4" s="40" t="s">
        <v>1444</v>
      </c>
      <c r="J4" s="44">
        <v>49419</v>
      </c>
      <c r="K4" s="40">
        <v>688</v>
      </c>
      <c r="L4" s="40">
        <v>1</v>
      </c>
      <c r="M4" s="40" t="s">
        <v>1487</v>
      </c>
      <c r="N4" s="40" t="s">
        <v>1443</v>
      </c>
      <c r="O4" s="40" t="s">
        <v>151</v>
      </c>
      <c r="P4" s="40">
        <v>6.8997015230000001</v>
      </c>
      <c r="Q4" s="40" t="s">
        <v>32</v>
      </c>
      <c r="R4" s="40" t="s">
        <v>29</v>
      </c>
      <c r="S4" s="40" t="s">
        <v>38</v>
      </c>
    </row>
    <row r="5" spans="1:19" x14ac:dyDescent="0.25">
      <c r="A5" s="39" t="s">
        <v>1502</v>
      </c>
      <c r="B5" s="39"/>
      <c r="C5" s="39" t="s">
        <v>1443</v>
      </c>
      <c r="D5" s="39">
        <v>1100000</v>
      </c>
      <c r="E5" s="39">
        <v>1111161.7</v>
      </c>
      <c r="F5" s="39">
        <v>1113295.7</v>
      </c>
      <c r="G5" s="39" t="s">
        <v>735</v>
      </c>
      <c r="H5" s="39">
        <v>11.205489999999999</v>
      </c>
      <c r="I5" s="39" t="s">
        <v>1444</v>
      </c>
      <c r="J5" s="43">
        <v>49419</v>
      </c>
      <c r="K5" s="39">
        <v>688</v>
      </c>
      <c r="L5" s="39">
        <v>1</v>
      </c>
      <c r="M5" s="39" t="s">
        <v>1487</v>
      </c>
      <c r="N5" s="39" t="s">
        <v>1443</v>
      </c>
      <c r="O5" s="39" t="s">
        <v>151</v>
      </c>
      <c r="P5" s="39">
        <v>6.8997015230000001</v>
      </c>
      <c r="Q5" s="39" t="s">
        <v>32</v>
      </c>
      <c r="R5" s="39" t="s">
        <v>29</v>
      </c>
      <c r="S5" s="39" t="s">
        <v>38</v>
      </c>
    </row>
    <row r="6" spans="1:19" x14ac:dyDescent="0.25">
      <c r="A6" s="40" t="s">
        <v>1502</v>
      </c>
      <c r="B6" s="40"/>
      <c r="C6" s="40" t="s">
        <v>1443</v>
      </c>
      <c r="D6" s="40">
        <v>2500000</v>
      </c>
      <c r="E6" s="40">
        <v>2525367.5</v>
      </c>
      <c r="F6" s="40">
        <v>2263250</v>
      </c>
      <c r="G6" s="40" t="s">
        <v>735</v>
      </c>
      <c r="H6" s="40">
        <v>11.205489999999999</v>
      </c>
      <c r="I6" s="40" t="s">
        <v>1444</v>
      </c>
      <c r="J6" s="44">
        <v>49419</v>
      </c>
      <c r="K6" s="40">
        <v>688</v>
      </c>
      <c r="L6" s="40">
        <v>1</v>
      </c>
      <c r="M6" s="40" t="s">
        <v>1487</v>
      </c>
      <c r="N6" s="40" t="s">
        <v>1443</v>
      </c>
      <c r="O6" s="40" t="s">
        <v>151</v>
      </c>
      <c r="P6" s="40">
        <v>6.8997015230000001</v>
      </c>
      <c r="Q6" s="40" t="s">
        <v>32</v>
      </c>
      <c r="R6" s="40" t="s">
        <v>29</v>
      </c>
      <c r="S6" s="40" t="s">
        <v>38</v>
      </c>
    </row>
    <row r="7" spans="1:19" x14ac:dyDescent="0.25">
      <c r="A7" s="39" t="s">
        <v>1502</v>
      </c>
      <c r="B7" s="39"/>
      <c r="C7" s="39" t="s">
        <v>1449</v>
      </c>
      <c r="D7" s="39">
        <v>198000</v>
      </c>
      <c r="E7" s="39">
        <v>194085.94</v>
      </c>
      <c r="F7" s="39">
        <v>195782.39999999999</v>
      </c>
      <c r="G7" s="39" t="s">
        <v>1270</v>
      </c>
      <c r="H7" s="39">
        <v>10.947100000000001</v>
      </c>
      <c r="I7" s="39" t="s">
        <v>1450</v>
      </c>
      <c r="J7" s="43">
        <v>49145</v>
      </c>
      <c r="K7" s="39">
        <v>662.16099999999994</v>
      </c>
      <c r="L7" s="39">
        <v>1</v>
      </c>
      <c r="M7" s="39" t="s">
        <v>1487</v>
      </c>
      <c r="N7" s="39" t="s">
        <v>1449</v>
      </c>
      <c r="O7" s="39" t="s">
        <v>152</v>
      </c>
      <c r="P7" s="39">
        <v>6.390432916</v>
      </c>
      <c r="Q7" s="39" t="s">
        <v>32</v>
      </c>
      <c r="R7" s="39" t="s">
        <v>29</v>
      </c>
      <c r="S7" s="39" t="s">
        <v>38</v>
      </c>
    </row>
    <row r="8" spans="1:19" x14ac:dyDescent="0.25">
      <c r="A8" s="40" t="s">
        <v>1502</v>
      </c>
      <c r="B8" s="40" t="s">
        <v>1530</v>
      </c>
      <c r="C8" s="40" t="s">
        <v>1449</v>
      </c>
      <c r="D8" s="40">
        <v>450000</v>
      </c>
      <c r="E8" s="40">
        <v>441104.4</v>
      </c>
      <c r="F8" s="40">
        <v>452782.35</v>
      </c>
      <c r="G8" s="40" t="s">
        <v>1270</v>
      </c>
      <c r="H8" s="40">
        <v>10.947100000000001</v>
      </c>
      <c r="I8" s="40" t="s">
        <v>1450</v>
      </c>
      <c r="J8" s="44">
        <v>49145</v>
      </c>
      <c r="K8" s="40">
        <v>662.16099999999994</v>
      </c>
      <c r="L8" s="40">
        <v>1</v>
      </c>
      <c r="M8" s="40" t="s">
        <v>1487</v>
      </c>
      <c r="N8" s="40" t="s">
        <v>1449</v>
      </c>
      <c r="O8" s="40" t="s">
        <v>152</v>
      </c>
      <c r="P8" s="40">
        <v>6.390432916</v>
      </c>
      <c r="Q8" s="40" t="s">
        <v>32</v>
      </c>
      <c r="R8" s="40" t="s">
        <v>29</v>
      </c>
      <c r="S8" s="40" t="s">
        <v>38</v>
      </c>
    </row>
    <row r="9" spans="1:19" x14ac:dyDescent="0.25">
      <c r="A9" s="39" t="s">
        <v>1502</v>
      </c>
      <c r="B9" s="39"/>
      <c r="C9" s="39" t="s">
        <v>1454</v>
      </c>
      <c r="D9" s="39">
        <v>1080000</v>
      </c>
      <c r="E9" s="39">
        <v>1000350</v>
      </c>
      <c r="F9" s="39">
        <v>1017637.56</v>
      </c>
      <c r="G9" s="39" t="s">
        <v>1288</v>
      </c>
      <c r="H9" s="39">
        <v>11.018459999999999</v>
      </c>
      <c r="I9" s="39" t="s">
        <v>1455</v>
      </c>
      <c r="J9" s="43">
        <v>49424</v>
      </c>
      <c r="K9" s="39">
        <v>670</v>
      </c>
      <c r="L9" s="39">
        <v>1</v>
      </c>
      <c r="M9" s="39" t="s">
        <v>1487</v>
      </c>
      <c r="N9" s="39" t="s">
        <v>1454</v>
      </c>
      <c r="O9" s="39" t="s">
        <v>153</v>
      </c>
      <c r="P9" s="39">
        <v>6.8167817929999996</v>
      </c>
      <c r="Q9" s="39" t="s">
        <v>32</v>
      </c>
      <c r="R9" s="39" t="s">
        <v>29</v>
      </c>
      <c r="S9" s="39" t="s">
        <v>38</v>
      </c>
    </row>
    <row r="10" spans="1:19" x14ac:dyDescent="0.25">
      <c r="A10" s="40" t="s">
        <v>1502</v>
      </c>
      <c r="B10" s="40"/>
      <c r="C10" s="40" t="s">
        <v>1454</v>
      </c>
      <c r="D10" s="40">
        <v>1320000</v>
      </c>
      <c r="E10" s="40">
        <v>1222650</v>
      </c>
      <c r="F10" s="40">
        <v>1306800</v>
      </c>
      <c r="G10" s="40" t="s">
        <v>1288</v>
      </c>
      <c r="H10" s="40">
        <v>11.018459999999999</v>
      </c>
      <c r="I10" s="40" t="s">
        <v>1455</v>
      </c>
      <c r="J10" s="44">
        <v>49424</v>
      </c>
      <c r="K10" s="40">
        <v>670</v>
      </c>
      <c r="L10" s="40">
        <v>1</v>
      </c>
      <c r="M10" s="40" t="s">
        <v>1487</v>
      </c>
      <c r="N10" s="40" t="s">
        <v>1454</v>
      </c>
      <c r="O10" s="40" t="s">
        <v>153</v>
      </c>
      <c r="P10" s="40">
        <v>6.8167817929999996</v>
      </c>
      <c r="Q10" s="40" t="s">
        <v>32</v>
      </c>
      <c r="R10" s="40" t="s">
        <v>29</v>
      </c>
      <c r="S10" s="40" t="s">
        <v>38</v>
      </c>
    </row>
    <row r="11" spans="1:19" x14ac:dyDescent="0.25">
      <c r="A11" s="39" t="s">
        <v>1502</v>
      </c>
      <c r="B11" s="39"/>
      <c r="C11" s="39" t="s">
        <v>1454</v>
      </c>
      <c r="D11" s="39">
        <v>3000000</v>
      </c>
      <c r="E11" s="39">
        <v>2778750</v>
      </c>
      <c r="F11" s="39">
        <v>2758938</v>
      </c>
      <c r="G11" s="39" t="s">
        <v>1288</v>
      </c>
      <c r="H11" s="39">
        <v>11.018459999999999</v>
      </c>
      <c r="I11" s="39" t="s">
        <v>1455</v>
      </c>
      <c r="J11" s="43">
        <v>49424</v>
      </c>
      <c r="K11" s="39">
        <v>670</v>
      </c>
      <c r="L11" s="39">
        <v>1</v>
      </c>
      <c r="M11" s="39" t="s">
        <v>1487</v>
      </c>
      <c r="N11" s="39" t="s">
        <v>1454</v>
      </c>
      <c r="O11" s="39" t="s">
        <v>153</v>
      </c>
      <c r="P11" s="39">
        <v>6.8167817929999996</v>
      </c>
      <c r="Q11" s="39" t="s">
        <v>32</v>
      </c>
      <c r="R11" s="39" t="s">
        <v>29</v>
      </c>
      <c r="S11" s="39" t="s">
        <v>38</v>
      </c>
    </row>
    <row r="12" spans="1:19" x14ac:dyDescent="0.25">
      <c r="A12" s="40" t="s">
        <v>1502</v>
      </c>
      <c r="B12" s="40" t="s">
        <v>1530</v>
      </c>
      <c r="C12" s="40" t="s">
        <v>1456</v>
      </c>
      <c r="D12" s="40">
        <v>585000</v>
      </c>
      <c r="E12" s="40">
        <v>570930.17000000004</v>
      </c>
      <c r="F12" s="40">
        <v>587583.94999999995</v>
      </c>
      <c r="G12" s="40" t="s">
        <v>391</v>
      </c>
      <c r="H12" s="40">
        <v>11.0871</v>
      </c>
      <c r="I12" s="40" t="s">
        <v>1457</v>
      </c>
      <c r="J12" s="44">
        <v>49053</v>
      </c>
      <c r="K12" s="40">
        <v>676.16099999999994</v>
      </c>
      <c r="L12" s="40">
        <v>1</v>
      </c>
      <c r="M12" s="40" t="s">
        <v>1487</v>
      </c>
      <c r="N12" s="40" t="s">
        <v>1456</v>
      </c>
      <c r="O12" s="40" t="s">
        <v>143</v>
      </c>
      <c r="P12" s="40">
        <v>6.3561493750000002</v>
      </c>
      <c r="Q12" s="40" t="s">
        <v>32</v>
      </c>
      <c r="R12" s="40" t="s">
        <v>29</v>
      </c>
      <c r="S12" s="40" t="s">
        <v>38</v>
      </c>
    </row>
    <row r="13" spans="1:19" x14ac:dyDescent="0.25">
      <c r="A13" s="39" t="s">
        <v>1502</v>
      </c>
      <c r="B13" s="39" t="s">
        <v>1530</v>
      </c>
      <c r="C13" s="39" t="s">
        <v>1456</v>
      </c>
      <c r="D13" s="39">
        <v>750000</v>
      </c>
      <c r="E13" s="39">
        <v>731961.75</v>
      </c>
      <c r="F13" s="39">
        <v>672750</v>
      </c>
      <c r="G13" s="39" t="s">
        <v>391</v>
      </c>
      <c r="H13" s="39">
        <v>11.0871</v>
      </c>
      <c r="I13" s="39" t="s">
        <v>1457</v>
      </c>
      <c r="J13" s="43">
        <v>49053</v>
      </c>
      <c r="K13" s="39">
        <v>676.16099999999994</v>
      </c>
      <c r="L13" s="39">
        <v>1</v>
      </c>
      <c r="M13" s="39" t="s">
        <v>1487</v>
      </c>
      <c r="N13" s="39" t="s">
        <v>1456</v>
      </c>
      <c r="O13" s="39" t="s">
        <v>143</v>
      </c>
      <c r="P13" s="39">
        <v>6.3561493750000002</v>
      </c>
      <c r="Q13" s="39" t="s">
        <v>32</v>
      </c>
      <c r="R13" s="39" t="s">
        <v>29</v>
      </c>
      <c r="S13" s="39" t="s">
        <v>38</v>
      </c>
    </row>
    <row r="14" spans="1:19" x14ac:dyDescent="0.25">
      <c r="A14" s="40" t="s">
        <v>1502</v>
      </c>
      <c r="B14" s="40"/>
      <c r="C14" s="40" t="s">
        <v>1456</v>
      </c>
      <c r="D14" s="40">
        <v>1590000</v>
      </c>
      <c r="E14" s="40">
        <v>1551758.92</v>
      </c>
      <c r="F14" s="40">
        <v>1498578.71</v>
      </c>
      <c r="G14" s="40" t="s">
        <v>391</v>
      </c>
      <c r="H14" s="40">
        <v>11.0871</v>
      </c>
      <c r="I14" s="40" t="s">
        <v>1457</v>
      </c>
      <c r="J14" s="44">
        <v>49053</v>
      </c>
      <c r="K14" s="40">
        <v>676.16099999999994</v>
      </c>
      <c r="L14" s="40">
        <v>1</v>
      </c>
      <c r="M14" s="40" t="s">
        <v>1487</v>
      </c>
      <c r="N14" s="40" t="s">
        <v>1456</v>
      </c>
      <c r="O14" s="40" t="s">
        <v>143</v>
      </c>
      <c r="P14" s="40">
        <v>6.3561493750000002</v>
      </c>
      <c r="Q14" s="40" t="s">
        <v>32</v>
      </c>
      <c r="R14" s="40" t="s">
        <v>29</v>
      </c>
      <c r="S14" s="40" t="s">
        <v>38</v>
      </c>
    </row>
    <row r="15" spans="1:19" x14ac:dyDescent="0.25">
      <c r="A15" s="39" t="s">
        <v>1502</v>
      </c>
      <c r="B15" s="39"/>
      <c r="C15" s="39" t="s">
        <v>1458</v>
      </c>
      <c r="D15" s="39">
        <v>1391000</v>
      </c>
      <c r="E15" s="39">
        <v>1374346.95</v>
      </c>
      <c r="F15" s="39">
        <v>1407793.54</v>
      </c>
      <c r="G15" s="39" t="s">
        <v>1459</v>
      </c>
      <c r="H15" s="39">
        <v>12.743600000000001</v>
      </c>
      <c r="I15" s="39" t="s">
        <v>1460</v>
      </c>
      <c r="J15" s="43">
        <v>48811</v>
      </c>
      <c r="K15" s="39">
        <v>842.16099999999994</v>
      </c>
      <c r="L15" s="39">
        <v>1</v>
      </c>
      <c r="M15" s="39" t="s">
        <v>1487</v>
      </c>
      <c r="N15" s="39" t="s">
        <v>1458</v>
      </c>
      <c r="O15" s="39" t="s">
        <v>146</v>
      </c>
      <c r="P15" s="39">
        <v>4.9032831850000003</v>
      </c>
      <c r="Q15" s="39" t="s">
        <v>32</v>
      </c>
      <c r="R15" s="39" t="s">
        <v>25</v>
      </c>
      <c r="S15" s="39" t="s">
        <v>38</v>
      </c>
    </row>
    <row r="16" spans="1:19" x14ac:dyDescent="0.25">
      <c r="A16" s="40" t="s">
        <v>1502</v>
      </c>
      <c r="B16" s="40"/>
      <c r="C16" s="40" t="s">
        <v>1458</v>
      </c>
      <c r="D16" s="40">
        <v>3170000</v>
      </c>
      <c r="E16" s="40">
        <v>3132048.76</v>
      </c>
      <c r="F16" s="40">
        <v>3191533.81</v>
      </c>
      <c r="G16" s="40" t="s">
        <v>1459</v>
      </c>
      <c r="H16" s="40">
        <v>12.743600000000001</v>
      </c>
      <c r="I16" s="40" t="s">
        <v>1460</v>
      </c>
      <c r="J16" s="44">
        <v>48811</v>
      </c>
      <c r="K16" s="40">
        <v>842.16099999999994</v>
      </c>
      <c r="L16" s="40">
        <v>1</v>
      </c>
      <c r="M16" s="40" t="s">
        <v>1487</v>
      </c>
      <c r="N16" s="40" t="s">
        <v>1458</v>
      </c>
      <c r="O16" s="40" t="s">
        <v>146</v>
      </c>
      <c r="P16" s="40">
        <v>4.9032831850000003</v>
      </c>
      <c r="Q16" s="40" t="s">
        <v>32</v>
      </c>
      <c r="R16" s="40" t="s">
        <v>25</v>
      </c>
      <c r="S16" s="40" t="s">
        <v>38</v>
      </c>
    </row>
    <row r="17" spans="1:19" x14ac:dyDescent="0.25">
      <c r="A17" s="39" t="s">
        <v>1502</v>
      </c>
      <c r="B17" s="39"/>
      <c r="C17" s="39" t="s">
        <v>1458</v>
      </c>
      <c r="D17" s="39">
        <v>80000</v>
      </c>
      <c r="E17" s="39">
        <v>79042.240000000005</v>
      </c>
      <c r="F17" s="39">
        <v>80258.64</v>
      </c>
      <c r="G17" s="39" t="s">
        <v>1459</v>
      </c>
      <c r="H17" s="39">
        <v>12.743600000000001</v>
      </c>
      <c r="I17" s="39" t="s">
        <v>1460</v>
      </c>
      <c r="J17" s="43">
        <v>48811</v>
      </c>
      <c r="K17" s="39">
        <v>842.16099999999994</v>
      </c>
      <c r="L17" s="39">
        <v>1</v>
      </c>
      <c r="M17" s="39" t="s">
        <v>1487</v>
      </c>
      <c r="N17" s="39" t="s">
        <v>1458</v>
      </c>
      <c r="O17" s="39" t="s">
        <v>146</v>
      </c>
      <c r="P17" s="39">
        <v>4.9032831850000003</v>
      </c>
      <c r="Q17" s="39" t="s">
        <v>32</v>
      </c>
      <c r="R17" s="39" t="s">
        <v>25</v>
      </c>
      <c r="S17" s="39" t="s">
        <v>38</v>
      </c>
    </row>
    <row r="18" spans="1:19" x14ac:dyDescent="0.25">
      <c r="A18" s="40" t="s">
        <v>1502</v>
      </c>
      <c r="B18" s="40"/>
      <c r="C18" s="40" t="s">
        <v>1458</v>
      </c>
      <c r="D18" s="40">
        <v>600000</v>
      </c>
      <c r="E18" s="40">
        <v>592816.80000000005</v>
      </c>
      <c r="F18" s="40">
        <v>603426.64</v>
      </c>
      <c r="G18" s="40" t="s">
        <v>1459</v>
      </c>
      <c r="H18" s="40">
        <v>12.743600000000001</v>
      </c>
      <c r="I18" s="40" t="s">
        <v>1460</v>
      </c>
      <c r="J18" s="44">
        <v>48811</v>
      </c>
      <c r="K18" s="40">
        <v>842.16099999999994</v>
      </c>
      <c r="L18" s="40">
        <v>1</v>
      </c>
      <c r="M18" s="40" t="s">
        <v>1487</v>
      </c>
      <c r="N18" s="40" t="s">
        <v>1458</v>
      </c>
      <c r="O18" s="40" t="s">
        <v>146</v>
      </c>
      <c r="P18" s="40">
        <v>4.9032831850000003</v>
      </c>
      <c r="Q18" s="40" t="s">
        <v>32</v>
      </c>
      <c r="R18" s="40" t="s">
        <v>25</v>
      </c>
      <c r="S18" s="40" t="s">
        <v>38</v>
      </c>
    </row>
    <row r="19" spans="1:19" x14ac:dyDescent="0.25">
      <c r="A19" s="39" t="s">
        <v>1502</v>
      </c>
      <c r="B19" s="39"/>
      <c r="C19" s="39" t="s">
        <v>1458</v>
      </c>
      <c r="D19" s="39">
        <v>2004000</v>
      </c>
      <c r="E19" s="39">
        <v>1980008.11</v>
      </c>
      <c r="F19" s="39">
        <v>1970819.55</v>
      </c>
      <c r="G19" s="39" t="s">
        <v>1459</v>
      </c>
      <c r="H19" s="39">
        <v>12.743600000000001</v>
      </c>
      <c r="I19" s="39" t="s">
        <v>1460</v>
      </c>
      <c r="J19" s="43">
        <v>48811</v>
      </c>
      <c r="K19" s="39">
        <v>842.16099999999994</v>
      </c>
      <c r="L19" s="39">
        <v>1</v>
      </c>
      <c r="M19" s="39" t="s">
        <v>1487</v>
      </c>
      <c r="N19" s="39" t="s">
        <v>1458</v>
      </c>
      <c r="O19" s="39" t="s">
        <v>146</v>
      </c>
      <c r="P19" s="39">
        <v>4.9032831850000003</v>
      </c>
      <c r="Q19" s="39" t="s">
        <v>32</v>
      </c>
      <c r="R19" s="39" t="s">
        <v>25</v>
      </c>
      <c r="S19" s="39" t="s">
        <v>38</v>
      </c>
    </row>
    <row r="20" spans="1:19" x14ac:dyDescent="0.25">
      <c r="A20" s="40" t="s">
        <v>1502</v>
      </c>
      <c r="B20" s="40"/>
      <c r="C20" s="40" t="s">
        <v>1476</v>
      </c>
      <c r="D20" s="40">
        <v>2165400</v>
      </c>
      <c r="E20" s="40">
        <v>1443828.09</v>
      </c>
      <c r="F20" s="40">
        <v>1635574.26</v>
      </c>
      <c r="G20" s="40" t="s">
        <v>762</v>
      </c>
      <c r="H20" s="40">
        <v>13.0871</v>
      </c>
      <c r="I20" s="40" t="s">
        <v>1477</v>
      </c>
      <c r="J20" s="44">
        <v>47776</v>
      </c>
      <c r="K20" s="40">
        <v>876.16099999999994</v>
      </c>
      <c r="L20" s="40">
        <v>1</v>
      </c>
      <c r="M20" s="40" t="s">
        <v>1487</v>
      </c>
      <c r="N20" s="40" t="s">
        <v>1476</v>
      </c>
      <c r="O20" s="40" t="s">
        <v>154</v>
      </c>
      <c r="P20" s="40">
        <v>5.022739734</v>
      </c>
      <c r="Q20" s="40" t="s">
        <v>40</v>
      </c>
      <c r="R20" s="40" t="s">
        <v>25</v>
      </c>
      <c r="S20" s="40" t="s">
        <v>38</v>
      </c>
    </row>
    <row r="21" spans="1:19" x14ac:dyDescent="0.25">
      <c r="A21" s="39" t="s">
        <v>1502</v>
      </c>
      <c r="B21" s="39"/>
      <c r="C21" s="39" t="s">
        <v>1476</v>
      </c>
      <c r="D21" s="39">
        <v>2646600</v>
      </c>
      <c r="E21" s="39">
        <v>1764678.78</v>
      </c>
      <c r="F21" s="39">
        <v>2646600</v>
      </c>
      <c r="G21" s="39" t="s">
        <v>762</v>
      </c>
      <c r="H21" s="39">
        <v>13.0871</v>
      </c>
      <c r="I21" s="39" t="s">
        <v>1477</v>
      </c>
      <c r="J21" s="43">
        <v>47776</v>
      </c>
      <c r="K21" s="39">
        <v>876.16099999999994</v>
      </c>
      <c r="L21" s="39">
        <v>1</v>
      </c>
      <c r="M21" s="39" t="s">
        <v>1487</v>
      </c>
      <c r="N21" s="39" t="s">
        <v>1476</v>
      </c>
      <c r="O21" s="39" t="s">
        <v>154</v>
      </c>
      <c r="P21" s="39">
        <v>5.022739734</v>
      </c>
      <c r="Q21" s="39" t="s">
        <v>40</v>
      </c>
      <c r="R21" s="39" t="s">
        <v>25</v>
      </c>
      <c r="S21" s="39" t="s">
        <v>38</v>
      </c>
    </row>
    <row r="22" spans="1:19" x14ac:dyDescent="0.25">
      <c r="A22" s="40" t="s">
        <v>1502</v>
      </c>
      <c r="B22" s="40"/>
      <c r="C22" s="40" t="s">
        <v>1476</v>
      </c>
      <c r="D22" s="40">
        <v>6015000</v>
      </c>
      <c r="E22" s="40">
        <v>4010633.58</v>
      </c>
      <c r="F22" s="40">
        <v>4816968.3899999997</v>
      </c>
      <c r="G22" s="40" t="s">
        <v>762</v>
      </c>
      <c r="H22" s="40">
        <v>13.0871</v>
      </c>
      <c r="I22" s="40" t="s">
        <v>1477</v>
      </c>
      <c r="J22" s="44">
        <v>47776</v>
      </c>
      <c r="K22" s="40">
        <v>876.16099999999994</v>
      </c>
      <c r="L22" s="40">
        <v>1</v>
      </c>
      <c r="M22" s="40" t="s">
        <v>1487</v>
      </c>
      <c r="N22" s="40" t="s">
        <v>1476</v>
      </c>
      <c r="O22" s="40" t="s">
        <v>154</v>
      </c>
      <c r="P22" s="40">
        <v>5.022739734</v>
      </c>
      <c r="Q22" s="40" t="s">
        <v>40</v>
      </c>
      <c r="R22" s="40" t="s">
        <v>25</v>
      </c>
      <c r="S22" s="40" t="s">
        <v>38</v>
      </c>
    </row>
    <row r="23" spans="1:19" x14ac:dyDescent="0.25">
      <c r="A23" s="39" t="s">
        <v>1502</v>
      </c>
      <c r="B23" s="39"/>
      <c r="C23" s="39" t="s">
        <v>372</v>
      </c>
      <c r="D23" s="39">
        <v>4436919.890044</v>
      </c>
      <c r="E23" s="39">
        <v>4270845.9800000004</v>
      </c>
      <c r="F23" s="39">
        <v>4436919.8899999997</v>
      </c>
      <c r="G23" s="39" t="s">
        <v>1380</v>
      </c>
      <c r="H23" s="39">
        <v>12.57916</v>
      </c>
      <c r="I23" s="39" t="s">
        <v>371</v>
      </c>
      <c r="J23" s="43">
        <v>48959</v>
      </c>
      <c r="K23" s="39">
        <v>826.16099999999994</v>
      </c>
      <c r="L23" s="39">
        <v>1.1402570000000001</v>
      </c>
      <c r="M23" s="39" t="s">
        <v>1487</v>
      </c>
      <c r="N23" s="39" t="s">
        <v>372</v>
      </c>
      <c r="O23" s="39" t="s">
        <v>146</v>
      </c>
      <c r="P23" s="39">
        <v>5.3475149870000003</v>
      </c>
      <c r="Q23" s="39" t="s">
        <v>36</v>
      </c>
      <c r="R23" s="39" t="s">
        <v>25</v>
      </c>
      <c r="S23" s="39" t="s">
        <v>38</v>
      </c>
    </row>
    <row r="24" spans="1:19" x14ac:dyDescent="0.25">
      <c r="A24" s="40" t="s">
        <v>1502</v>
      </c>
      <c r="B24" s="40" t="s">
        <v>1530</v>
      </c>
      <c r="C24" s="40" t="s">
        <v>1461</v>
      </c>
      <c r="D24" s="40">
        <v>1724000</v>
      </c>
      <c r="E24" s="40">
        <v>1681025.85</v>
      </c>
      <c r="F24" s="40">
        <v>1700708.76</v>
      </c>
      <c r="G24" s="40" t="s">
        <v>373</v>
      </c>
      <c r="H24" s="40">
        <v>11.67916</v>
      </c>
      <c r="I24" s="40" t="s">
        <v>1462</v>
      </c>
      <c r="J24" s="44">
        <v>49324</v>
      </c>
      <c r="K24" s="40">
        <v>736.16099999999994</v>
      </c>
      <c r="L24" s="40">
        <v>1</v>
      </c>
      <c r="M24" s="40" t="s">
        <v>1487</v>
      </c>
      <c r="N24" s="40" t="s">
        <v>1461</v>
      </c>
      <c r="O24" s="40" t="s">
        <v>148</v>
      </c>
      <c r="P24" s="40">
        <v>6.8478590910000001</v>
      </c>
      <c r="Q24" s="40" t="s">
        <v>32</v>
      </c>
      <c r="R24" s="40" t="s">
        <v>29</v>
      </c>
      <c r="S24" s="40" t="s">
        <v>38</v>
      </c>
    </row>
    <row r="25" spans="1:19" x14ac:dyDescent="0.25">
      <c r="A25" s="39" t="s">
        <v>1502</v>
      </c>
      <c r="B25" s="39"/>
      <c r="C25" s="39" t="s">
        <v>1461</v>
      </c>
      <c r="D25" s="39">
        <v>3935000</v>
      </c>
      <c r="E25" s="39">
        <v>3836912.26</v>
      </c>
      <c r="F25" s="39">
        <v>3770638.99</v>
      </c>
      <c r="G25" s="39" t="s">
        <v>373</v>
      </c>
      <c r="H25" s="39">
        <v>11.67916</v>
      </c>
      <c r="I25" s="39" t="s">
        <v>1462</v>
      </c>
      <c r="J25" s="43">
        <v>49324</v>
      </c>
      <c r="K25" s="39">
        <v>736.16099999999994</v>
      </c>
      <c r="L25" s="39">
        <v>1</v>
      </c>
      <c r="M25" s="39" t="s">
        <v>1487</v>
      </c>
      <c r="N25" s="39" t="s">
        <v>1461</v>
      </c>
      <c r="O25" s="39" t="s">
        <v>148</v>
      </c>
      <c r="P25" s="39">
        <v>6.8478590910000001</v>
      </c>
      <c r="Q25" s="39" t="s">
        <v>32</v>
      </c>
      <c r="R25" s="39" t="s">
        <v>29</v>
      </c>
      <c r="S25" s="39" t="s">
        <v>38</v>
      </c>
    </row>
    <row r="26" spans="1:19" x14ac:dyDescent="0.25">
      <c r="A26" s="40" t="s">
        <v>1502</v>
      </c>
      <c r="B26" s="40"/>
      <c r="C26" s="40" t="s">
        <v>1461</v>
      </c>
      <c r="D26" s="40">
        <v>90000</v>
      </c>
      <c r="E26" s="40">
        <v>87756.57</v>
      </c>
      <c r="F26" s="40">
        <v>84963.33</v>
      </c>
      <c r="G26" s="40" t="s">
        <v>373</v>
      </c>
      <c r="H26" s="40">
        <v>11.67916</v>
      </c>
      <c r="I26" s="40" t="s">
        <v>1462</v>
      </c>
      <c r="J26" s="44">
        <v>49324</v>
      </c>
      <c r="K26" s="40">
        <v>736.16099999999994</v>
      </c>
      <c r="L26" s="40">
        <v>1</v>
      </c>
      <c r="M26" s="40" t="s">
        <v>1487</v>
      </c>
      <c r="N26" s="40" t="s">
        <v>1461</v>
      </c>
      <c r="O26" s="40" t="s">
        <v>148</v>
      </c>
      <c r="P26" s="40">
        <v>6.8478590910000001</v>
      </c>
      <c r="Q26" s="40" t="s">
        <v>32</v>
      </c>
      <c r="R26" s="40" t="s">
        <v>29</v>
      </c>
      <c r="S26" s="40" t="s">
        <v>38</v>
      </c>
    </row>
    <row r="27" spans="1:19" x14ac:dyDescent="0.25">
      <c r="A27" s="39" t="s">
        <v>1502</v>
      </c>
      <c r="B27" s="39"/>
      <c r="C27" s="39" t="s">
        <v>1461</v>
      </c>
      <c r="D27" s="39">
        <v>770000</v>
      </c>
      <c r="E27" s="39">
        <v>750806.21</v>
      </c>
      <c r="F27" s="39">
        <v>738120.23</v>
      </c>
      <c r="G27" s="39" t="s">
        <v>373</v>
      </c>
      <c r="H27" s="39">
        <v>11.67916</v>
      </c>
      <c r="I27" s="39" t="s">
        <v>1462</v>
      </c>
      <c r="J27" s="43">
        <v>49324</v>
      </c>
      <c r="K27" s="39">
        <v>736.16099999999994</v>
      </c>
      <c r="L27" s="39">
        <v>1</v>
      </c>
      <c r="M27" s="39" t="s">
        <v>1487</v>
      </c>
      <c r="N27" s="39" t="s">
        <v>1461</v>
      </c>
      <c r="O27" s="39" t="s">
        <v>148</v>
      </c>
      <c r="P27" s="39">
        <v>6.8478590910000001</v>
      </c>
      <c r="Q27" s="39" t="s">
        <v>32</v>
      </c>
      <c r="R27" s="39" t="s">
        <v>29</v>
      </c>
      <c r="S27" s="39" t="s">
        <v>38</v>
      </c>
    </row>
    <row r="28" spans="1:19" x14ac:dyDescent="0.25">
      <c r="A28" s="40" t="s">
        <v>1502</v>
      </c>
      <c r="B28" s="40" t="s">
        <v>1530</v>
      </c>
      <c r="C28" s="40" t="s">
        <v>1461</v>
      </c>
      <c r="D28" s="40">
        <v>2481000</v>
      </c>
      <c r="E28" s="40">
        <v>2419156.11</v>
      </c>
      <c r="F28" s="40">
        <v>2437451.7400000002</v>
      </c>
      <c r="G28" s="40" t="s">
        <v>373</v>
      </c>
      <c r="H28" s="40">
        <v>11.67916</v>
      </c>
      <c r="I28" s="40" t="s">
        <v>1462</v>
      </c>
      <c r="J28" s="44">
        <v>49324</v>
      </c>
      <c r="K28" s="40">
        <v>736.16099999999994</v>
      </c>
      <c r="L28" s="40">
        <v>1</v>
      </c>
      <c r="M28" s="40" t="s">
        <v>1487</v>
      </c>
      <c r="N28" s="40" t="s">
        <v>1461</v>
      </c>
      <c r="O28" s="40" t="s">
        <v>148</v>
      </c>
      <c r="P28" s="40">
        <v>6.8478590910000001</v>
      </c>
      <c r="Q28" s="40" t="s">
        <v>32</v>
      </c>
      <c r="R28" s="40" t="s">
        <v>29</v>
      </c>
      <c r="S28" s="40" t="s">
        <v>38</v>
      </c>
    </row>
    <row r="29" spans="1:19" x14ac:dyDescent="0.25">
      <c r="A29" s="39" t="s">
        <v>1502</v>
      </c>
      <c r="B29" s="39" t="s">
        <v>1530</v>
      </c>
      <c r="C29" s="39" t="s">
        <v>1463</v>
      </c>
      <c r="D29" s="39">
        <v>1260000</v>
      </c>
      <c r="E29" s="39">
        <v>1184590.26</v>
      </c>
      <c r="F29" s="39">
        <v>1193868.8999999999</v>
      </c>
      <c r="G29" s="39" t="s">
        <v>762</v>
      </c>
      <c r="H29" s="39">
        <v>11.017099999999999</v>
      </c>
      <c r="I29" s="39" t="s">
        <v>1464</v>
      </c>
      <c r="J29" s="43">
        <v>49145</v>
      </c>
      <c r="K29" s="39">
        <v>669.16099999999994</v>
      </c>
      <c r="L29" s="39">
        <v>1</v>
      </c>
      <c r="M29" s="39" t="s">
        <v>1487</v>
      </c>
      <c r="N29" s="39" t="s">
        <v>1463</v>
      </c>
      <c r="O29" s="39" t="s">
        <v>154</v>
      </c>
      <c r="P29" s="39">
        <v>6.6361026689999996</v>
      </c>
      <c r="Q29" s="39" t="s">
        <v>32</v>
      </c>
      <c r="R29" s="39" t="s">
        <v>29</v>
      </c>
      <c r="S29" s="39" t="s">
        <v>38</v>
      </c>
    </row>
    <row r="30" spans="1:19" x14ac:dyDescent="0.25">
      <c r="A30" s="40" t="s">
        <v>1502</v>
      </c>
      <c r="B30" s="40" t="s">
        <v>1530</v>
      </c>
      <c r="C30" s="40" t="s">
        <v>1463</v>
      </c>
      <c r="D30" s="40">
        <v>1540000</v>
      </c>
      <c r="E30" s="40">
        <v>1447832.54</v>
      </c>
      <c r="F30" s="40">
        <v>1532300</v>
      </c>
      <c r="G30" s="40" t="s">
        <v>762</v>
      </c>
      <c r="H30" s="40">
        <v>11.017099999999999</v>
      </c>
      <c r="I30" s="40" t="s">
        <v>1464</v>
      </c>
      <c r="J30" s="44">
        <v>49145</v>
      </c>
      <c r="K30" s="40">
        <v>669.16099999999994</v>
      </c>
      <c r="L30" s="40">
        <v>1</v>
      </c>
      <c r="M30" s="40" t="s">
        <v>1487</v>
      </c>
      <c r="N30" s="40" t="s">
        <v>1463</v>
      </c>
      <c r="O30" s="40" t="s">
        <v>154</v>
      </c>
      <c r="P30" s="40">
        <v>6.6361026689999996</v>
      </c>
      <c r="Q30" s="40" t="s">
        <v>32</v>
      </c>
      <c r="R30" s="40" t="s">
        <v>29</v>
      </c>
      <c r="S30" s="40" t="s">
        <v>38</v>
      </c>
    </row>
    <row r="31" spans="1:19" x14ac:dyDescent="0.25">
      <c r="A31" s="39" t="s">
        <v>1502</v>
      </c>
      <c r="B31" s="39"/>
      <c r="C31" s="39" t="s">
        <v>1463</v>
      </c>
      <c r="D31" s="39">
        <v>3500000</v>
      </c>
      <c r="E31" s="39">
        <v>3290528.5</v>
      </c>
      <c r="F31" s="39">
        <v>3255416.5</v>
      </c>
      <c r="G31" s="39" t="s">
        <v>762</v>
      </c>
      <c r="H31" s="39">
        <v>11.017099999999999</v>
      </c>
      <c r="I31" s="39" t="s">
        <v>1464</v>
      </c>
      <c r="J31" s="43">
        <v>49145</v>
      </c>
      <c r="K31" s="39">
        <v>669.16099999999994</v>
      </c>
      <c r="L31" s="39">
        <v>1</v>
      </c>
      <c r="M31" s="39" t="s">
        <v>1487</v>
      </c>
      <c r="N31" s="39" t="s">
        <v>1463</v>
      </c>
      <c r="O31" s="39" t="s">
        <v>154</v>
      </c>
      <c r="P31" s="39">
        <v>6.6361026689999996</v>
      </c>
      <c r="Q31" s="39" t="s">
        <v>32</v>
      </c>
      <c r="R31" s="39" t="s">
        <v>29</v>
      </c>
      <c r="S31" s="39" t="s">
        <v>38</v>
      </c>
    </row>
    <row r="32" spans="1:19" x14ac:dyDescent="0.25">
      <c r="A32" s="40" t="s">
        <v>1502</v>
      </c>
      <c r="B32" s="40"/>
      <c r="C32" s="40" t="s">
        <v>1465</v>
      </c>
      <c r="D32" s="40">
        <v>990000</v>
      </c>
      <c r="E32" s="40">
        <v>965526.21</v>
      </c>
      <c r="F32" s="40">
        <v>992927.43</v>
      </c>
      <c r="G32" s="40" t="s">
        <v>762</v>
      </c>
      <c r="H32" s="40">
        <v>9.5870999999999995</v>
      </c>
      <c r="I32" s="40" t="s">
        <v>1466</v>
      </c>
      <c r="J32" s="44">
        <v>49329</v>
      </c>
      <c r="K32" s="40">
        <v>526.16099999999994</v>
      </c>
      <c r="L32" s="40">
        <v>1</v>
      </c>
      <c r="M32" s="40" t="s">
        <v>1487</v>
      </c>
      <c r="N32" s="40" t="s">
        <v>1465</v>
      </c>
      <c r="O32" s="40" t="s">
        <v>154</v>
      </c>
      <c r="P32" s="40">
        <v>6.7222222220000001</v>
      </c>
      <c r="Q32" s="40" t="s">
        <v>32</v>
      </c>
      <c r="R32" s="40" t="s">
        <v>29</v>
      </c>
      <c r="S32" s="40" t="s">
        <v>38</v>
      </c>
    </row>
    <row r="33" spans="1:19" x14ac:dyDescent="0.25">
      <c r="A33" s="39" t="s">
        <v>1502</v>
      </c>
      <c r="B33" s="39"/>
      <c r="C33" s="39" t="s">
        <v>1465</v>
      </c>
      <c r="D33" s="39">
        <v>3960000</v>
      </c>
      <c r="E33" s="39">
        <v>3862104.84</v>
      </c>
      <c r="F33" s="39">
        <v>3966506.5</v>
      </c>
      <c r="G33" s="39" t="s">
        <v>762</v>
      </c>
      <c r="H33" s="39">
        <v>9.5870999999999995</v>
      </c>
      <c r="I33" s="39" t="s">
        <v>1466</v>
      </c>
      <c r="J33" s="43">
        <v>49329</v>
      </c>
      <c r="K33" s="39">
        <v>526.16099999999994</v>
      </c>
      <c r="L33" s="39">
        <v>1</v>
      </c>
      <c r="M33" s="39" t="s">
        <v>1487</v>
      </c>
      <c r="N33" s="39" t="s">
        <v>1465</v>
      </c>
      <c r="O33" s="39" t="s">
        <v>154</v>
      </c>
      <c r="P33" s="39">
        <v>6.7222222220000001</v>
      </c>
      <c r="Q33" s="39" t="s">
        <v>32</v>
      </c>
      <c r="R33" s="39" t="s">
        <v>29</v>
      </c>
      <c r="S33" s="39" t="s">
        <v>38</v>
      </c>
    </row>
    <row r="34" spans="1:19" x14ac:dyDescent="0.25">
      <c r="A34" s="40" t="s">
        <v>1499</v>
      </c>
      <c r="B34" s="40"/>
      <c r="C34" s="40" t="s">
        <v>900</v>
      </c>
      <c r="D34" s="40">
        <v>120000</v>
      </c>
      <c r="E34" s="40">
        <v>120431.16</v>
      </c>
      <c r="F34" s="40">
        <v>120340.08</v>
      </c>
      <c r="G34" s="40" t="s">
        <v>644</v>
      </c>
      <c r="H34" s="40">
        <v>7.9291600000000004</v>
      </c>
      <c r="I34" s="40" t="s">
        <v>901</v>
      </c>
      <c r="J34" s="44">
        <v>49232</v>
      </c>
      <c r="K34" s="40">
        <v>361.161</v>
      </c>
      <c r="L34" s="40">
        <v>1</v>
      </c>
      <c r="M34" s="40" t="s">
        <v>1484</v>
      </c>
      <c r="N34" s="40" t="s">
        <v>900</v>
      </c>
      <c r="O34" s="40" t="s">
        <v>155</v>
      </c>
      <c r="P34" s="40">
        <v>6.0971576990000003</v>
      </c>
      <c r="Q34" s="40" t="s">
        <v>28</v>
      </c>
      <c r="R34" s="40" t="s">
        <v>29</v>
      </c>
      <c r="S34" s="40" t="s">
        <v>38</v>
      </c>
    </row>
    <row r="35" spans="1:19" x14ac:dyDescent="0.25">
      <c r="A35" s="39" t="s">
        <v>1499</v>
      </c>
      <c r="B35" s="39" t="s">
        <v>1530</v>
      </c>
      <c r="C35" s="39" t="s">
        <v>900</v>
      </c>
      <c r="D35" s="39">
        <v>120000</v>
      </c>
      <c r="E35" s="39">
        <v>120431.16</v>
      </c>
      <c r="F35" s="39">
        <v>120340.08</v>
      </c>
      <c r="G35" s="39" t="s">
        <v>644</v>
      </c>
      <c r="H35" s="39">
        <v>7.9291600000000004</v>
      </c>
      <c r="I35" s="39" t="s">
        <v>901</v>
      </c>
      <c r="J35" s="43">
        <v>49232</v>
      </c>
      <c r="K35" s="39">
        <v>361.161</v>
      </c>
      <c r="L35" s="39">
        <v>1</v>
      </c>
      <c r="M35" s="39" t="s">
        <v>1484</v>
      </c>
      <c r="N35" s="39" t="s">
        <v>900</v>
      </c>
      <c r="O35" s="39" t="s">
        <v>155</v>
      </c>
      <c r="P35" s="39">
        <v>6.0971576990000003</v>
      </c>
      <c r="Q35" s="39" t="s">
        <v>28</v>
      </c>
      <c r="R35" s="39" t="s">
        <v>29</v>
      </c>
      <c r="S35" s="39" t="s">
        <v>38</v>
      </c>
    </row>
    <row r="36" spans="1:19" x14ac:dyDescent="0.25">
      <c r="A36" s="40" t="s">
        <v>1499</v>
      </c>
      <c r="B36" s="40"/>
      <c r="C36" s="40" t="s">
        <v>894</v>
      </c>
      <c r="D36" s="40">
        <v>6500000</v>
      </c>
      <c r="E36" s="40">
        <v>6532513</v>
      </c>
      <c r="F36" s="40">
        <v>6500000</v>
      </c>
      <c r="G36" s="40" t="s">
        <v>644</v>
      </c>
      <c r="H36" s="40">
        <v>7.3675499999999996</v>
      </c>
      <c r="I36" s="40" t="s">
        <v>895</v>
      </c>
      <c r="J36" s="44">
        <v>50328</v>
      </c>
      <c r="K36" s="40">
        <v>305</v>
      </c>
      <c r="L36" s="40">
        <v>1</v>
      </c>
      <c r="M36" s="40" t="s">
        <v>1484</v>
      </c>
      <c r="N36" s="40" t="s">
        <v>894</v>
      </c>
      <c r="O36" s="40" t="s">
        <v>156</v>
      </c>
      <c r="P36" s="40">
        <v>8.2262426130000001</v>
      </c>
      <c r="Q36" s="40" t="s">
        <v>28</v>
      </c>
      <c r="R36" s="40" t="s">
        <v>33</v>
      </c>
      <c r="S36" s="40" t="s">
        <v>38</v>
      </c>
    </row>
    <row r="37" spans="1:19" x14ac:dyDescent="0.25">
      <c r="A37" s="39" t="s">
        <v>1499</v>
      </c>
      <c r="B37" s="39"/>
      <c r="C37" s="39" t="s">
        <v>646</v>
      </c>
      <c r="D37" s="39">
        <v>5600000</v>
      </c>
      <c r="E37" s="39">
        <v>5621784</v>
      </c>
      <c r="F37" s="39">
        <v>5600000</v>
      </c>
      <c r="G37" s="39" t="s">
        <v>644</v>
      </c>
      <c r="H37" s="39">
        <v>6.2184600000000003</v>
      </c>
      <c r="I37" s="39" t="s">
        <v>647</v>
      </c>
      <c r="J37" s="43">
        <v>50430</v>
      </c>
      <c r="K37" s="39">
        <v>190</v>
      </c>
      <c r="L37" s="39">
        <v>1</v>
      </c>
      <c r="M37" s="39" t="s">
        <v>1484</v>
      </c>
      <c r="N37" s="39" t="s">
        <v>646</v>
      </c>
      <c r="O37" s="39" t="s">
        <v>156</v>
      </c>
      <c r="P37" s="39">
        <v>8.6746584640000002</v>
      </c>
      <c r="Q37" s="39" t="s">
        <v>24</v>
      </c>
      <c r="R37" s="39" t="s">
        <v>33</v>
      </c>
      <c r="S37" s="39" t="s">
        <v>34</v>
      </c>
    </row>
    <row r="38" spans="1:19" x14ac:dyDescent="0.25">
      <c r="A38" s="40" t="s">
        <v>1499</v>
      </c>
      <c r="B38" s="40"/>
      <c r="C38" s="40" t="s">
        <v>908</v>
      </c>
      <c r="D38" s="40">
        <v>5600000</v>
      </c>
      <c r="E38" s="40">
        <v>5638684.7999999998</v>
      </c>
      <c r="F38" s="40">
        <v>5600000</v>
      </c>
      <c r="G38" s="40" t="s">
        <v>644</v>
      </c>
      <c r="H38" s="40">
        <v>7.2684600000000001</v>
      </c>
      <c r="I38" s="40" t="s">
        <v>909</v>
      </c>
      <c r="J38" s="44">
        <v>50430</v>
      </c>
      <c r="K38" s="40">
        <v>295</v>
      </c>
      <c r="L38" s="40">
        <v>1</v>
      </c>
      <c r="M38" s="40" t="s">
        <v>1484</v>
      </c>
      <c r="N38" s="40" t="s">
        <v>908</v>
      </c>
      <c r="O38" s="40" t="s">
        <v>156</v>
      </c>
      <c r="P38" s="40">
        <v>9.1957404359999995</v>
      </c>
      <c r="Q38" s="40" t="s">
        <v>28</v>
      </c>
      <c r="R38" s="40" t="s">
        <v>33</v>
      </c>
      <c r="S38" s="40" t="s">
        <v>38</v>
      </c>
    </row>
    <row r="39" spans="1:19" x14ac:dyDescent="0.25">
      <c r="A39" s="39" t="s">
        <v>1499</v>
      </c>
      <c r="B39" s="39"/>
      <c r="C39" s="39" t="s">
        <v>883</v>
      </c>
      <c r="D39" s="39">
        <v>6600000</v>
      </c>
      <c r="E39" s="39">
        <v>6618645</v>
      </c>
      <c r="F39" s="39">
        <v>6600000</v>
      </c>
      <c r="G39" s="39" t="s">
        <v>880</v>
      </c>
      <c r="H39" s="39">
        <v>7.51755</v>
      </c>
      <c r="I39" s="39" t="s">
        <v>884</v>
      </c>
      <c r="J39" s="43">
        <v>50236</v>
      </c>
      <c r="K39" s="39">
        <v>320</v>
      </c>
      <c r="L39" s="39">
        <v>1</v>
      </c>
      <c r="M39" s="39" t="s">
        <v>1484</v>
      </c>
      <c r="N39" s="39" t="s">
        <v>883</v>
      </c>
      <c r="O39" s="39" t="s">
        <v>77</v>
      </c>
      <c r="P39" s="39">
        <v>8.8606200590000004</v>
      </c>
      <c r="Q39" s="39" t="s">
        <v>28</v>
      </c>
      <c r="R39" s="39" t="s">
        <v>33</v>
      </c>
      <c r="S39" s="39" t="s">
        <v>38</v>
      </c>
    </row>
    <row r="40" spans="1:19" x14ac:dyDescent="0.25">
      <c r="A40" s="40" t="s">
        <v>1499</v>
      </c>
      <c r="B40" s="40"/>
      <c r="C40" s="40" t="s">
        <v>449</v>
      </c>
      <c r="D40" s="40">
        <v>4070000</v>
      </c>
      <c r="E40" s="40">
        <v>4094623.5</v>
      </c>
      <c r="F40" s="40">
        <v>4070000</v>
      </c>
      <c r="G40" s="40" t="s">
        <v>880</v>
      </c>
      <c r="H40" s="40">
        <v>7.5208700000000004</v>
      </c>
      <c r="I40" s="40" t="s">
        <v>448</v>
      </c>
      <c r="J40" s="44">
        <v>50606</v>
      </c>
      <c r="K40" s="40">
        <v>315</v>
      </c>
      <c r="L40" s="40"/>
      <c r="M40" s="40" t="s">
        <v>1484</v>
      </c>
      <c r="N40" s="40" t="s">
        <v>449</v>
      </c>
      <c r="O40" s="40" t="s">
        <v>77</v>
      </c>
      <c r="P40" s="40">
        <v>9.6493193579999996</v>
      </c>
      <c r="Q40" s="40" t="s">
        <v>28</v>
      </c>
      <c r="R40" s="40" t="s">
        <v>33</v>
      </c>
      <c r="S40" s="40" t="s">
        <v>38</v>
      </c>
    </row>
    <row r="41" spans="1:19" x14ac:dyDescent="0.25">
      <c r="A41" s="39" t="s">
        <v>1499</v>
      </c>
      <c r="B41" s="39"/>
      <c r="C41" s="39" t="s">
        <v>879</v>
      </c>
      <c r="D41" s="39">
        <v>2000000</v>
      </c>
      <c r="E41" s="39">
        <v>2007346</v>
      </c>
      <c r="F41" s="39">
        <v>2000000</v>
      </c>
      <c r="G41" s="39" t="s">
        <v>880</v>
      </c>
      <c r="H41" s="39">
        <v>7.4754899999999997</v>
      </c>
      <c r="I41" s="39" t="s">
        <v>881</v>
      </c>
      <c r="J41" s="43">
        <v>50332</v>
      </c>
      <c r="K41" s="39">
        <v>315</v>
      </c>
      <c r="L41" s="39">
        <v>1</v>
      </c>
      <c r="M41" s="39" t="s">
        <v>1484</v>
      </c>
      <c r="N41" s="39" t="s">
        <v>879</v>
      </c>
      <c r="O41" s="39" t="s">
        <v>77</v>
      </c>
      <c r="P41" s="39">
        <v>9.0704570459999996</v>
      </c>
      <c r="Q41" s="39" t="s">
        <v>28</v>
      </c>
      <c r="R41" s="39" t="s">
        <v>33</v>
      </c>
      <c r="S41" s="39" t="s">
        <v>38</v>
      </c>
    </row>
    <row r="42" spans="1:19" x14ac:dyDescent="0.25">
      <c r="A42" s="40" t="s">
        <v>1499</v>
      </c>
      <c r="B42" s="40"/>
      <c r="C42" s="40" t="s">
        <v>634</v>
      </c>
      <c r="D42" s="40">
        <v>7182942</v>
      </c>
      <c r="E42" s="40">
        <v>7193450.6399999997</v>
      </c>
      <c r="F42" s="40">
        <v>7182942</v>
      </c>
      <c r="G42" s="40" t="s">
        <v>635</v>
      </c>
      <c r="H42" s="40">
        <v>7.2754899999999996</v>
      </c>
      <c r="I42" s="40" t="s">
        <v>636</v>
      </c>
      <c r="J42" s="44">
        <v>50150</v>
      </c>
      <c r="K42" s="40">
        <v>295</v>
      </c>
      <c r="L42" s="40">
        <v>1</v>
      </c>
      <c r="M42" s="40" t="s">
        <v>1484</v>
      </c>
      <c r="N42" s="40" t="s">
        <v>634</v>
      </c>
      <c r="O42" s="40" t="s">
        <v>146</v>
      </c>
      <c r="P42" s="40">
        <v>7.4787454569999996</v>
      </c>
      <c r="Q42" s="40" t="s">
        <v>24</v>
      </c>
      <c r="R42" s="40" t="s">
        <v>29</v>
      </c>
      <c r="S42" s="40" t="s">
        <v>38</v>
      </c>
    </row>
    <row r="43" spans="1:19" x14ac:dyDescent="0.25">
      <c r="A43" s="39" t="s">
        <v>1499</v>
      </c>
      <c r="B43" s="39"/>
      <c r="C43" s="39" t="s">
        <v>640</v>
      </c>
      <c r="D43" s="39">
        <v>3000000</v>
      </c>
      <c r="E43" s="39">
        <v>3008856</v>
      </c>
      <c r="F43" s="39">
        <v>3000000</v>
      </c>
      <c r="G43" s="39" t="s">
        <v>641</v>
      </c>
      <c r="H43" s="39">
        <v>8.4254899999999999</v>
      </c>
      <c r="I43" s="39" t="s">
        <v>642</v>
      </c>
      <c r="J43" s="43">
        <v>48872</v>
      </c>
      <c r="K43" s="39">
        <v>410</v>
      </c>
      <c r="L43" s="39">
        <v>1</v>
      </c>
      <c r="M43" s="39" t="s">
        <v>1484</v>
      </c>
      <c r="N43" s="39" t="s">
        <v>640</v>
      </c>
      <c r="O43" s="39" t="s">
        <v>146</v>
      </c>
      <c r="P43" s="39">
        <v>3.1294006460000001</v>
      </c>
      <c r="Q43" s="39" t="s">
        <v>24</v>
      </c>
      <c r="R43" s="39" t="s">
        <v>22</v>
      </c>
      <c r="S43" s="39" t="s">
        <v>38</v>
      </c>
    </row>
    <row r="44" spans="1:19" x14ac:dyDescent="0.25">
      <c r="A44" s="40" t="s">
        <v>1499</v>
      </c>
      <c r="B44" s="40"/>
      <c r="C44" s="40" t="s">
        <v>638</v>
      </c>
      <c r="D44" s="40">
        <v>5800000</v>
      </c>
      <c r="E44" s="40">
        <v>5727575.4000000004</v>
      </c>
      <c r="F44" s="40">
        <v>5800000</v>
      </c>
      <c r="G44" s="40" t="s">
        <v>635</v>
      </c>
      <c r="H44" s="40">
        <v>6.6675500000000003</v>
      </c>
      <c r="I44" s="40" t="s">
        <v>639</v>
      </c>
      <c r="J44" s="44">
        <v>50420</v>
      </c>
      <c r="K44" s="40">
        <v>235</v>
      </c>
      <c r="L44" s="40">
        <v>1</v>
      </c>
      <c r="M44" s="40" t="s">
        <v>1484</v>
      </c>
      <c r="N44" s="40" t="s">
        <v>638</v>
      </c>
      <c r="O44" s="40" t="s">
        <v>146</v>
      </c>
      <c r="P44" s="40">
        <v>8.2323538490000008</v>
      </c>
      <c r="Q44" s="40" t="s">
        <v>24</v>
      </c>
      <c r="R44" s="40" t="s">
        <v>33</v>
      </c>
      <c r="S44" s="40" t="s">
        <v>34</v>
      </c>
    </row>
    <row r="45" spans="1:19" x14ac:dyDescent="0.25">
      <c r="A45" s="39" t="s">
        <v>1499</v>
      </c>
      <c r="B45" s="39"/>
      <c r="C45" s="39" t="s">
        <v>887</v>
      </c>
      <c r="D45" s="39">
        <v>6400000</v>
      </c>
      <c r="E45" s="39">
        <v>6307603.2000000002</v>
      </c>
      <c r="F45" s="39">
        <v>6400000</v>
      </c>
      <c r="G45" s="39" t="s">
        <v>635</v>
      </c>
      <c r="H45" s="39">
        <v>8.2175499999999992</v>
      </c>
      <c r="I45" s="39" t="s">
        <v>888</v>
      </c>
      <c r="J45" s="43">
        <v>50420</v>
      </c>
      <c r="K45" s="39">
        <v>390</v>
      </c>
      <c r="L45" s="39">
        <v>1</v>
      </c>
      <c r="M45" s="39" t="s">
        <v>1484</v>
      </c>
      <c r="N45" s="39" t="s">
        <v>887</v>
      </c>
      <c r="O45" s="39" t="s">
        <v>146</v>
      </c>
      <c r="P45" s="39">
        <v>8.7429402809999992</v>
      </c>
      <c r="Q45" s="39" t="s">
        <v>28</v>
      </c>
      <c r="R45" s="39" t="s">
        <v>33</v>
      </c>
      <c r="S45" s="39" t="s">
        <v>38</v>
      </c>
    </row>
    <row r="46" spans="1:19" x14ac:dyDescent="0.25">
      <c r="A46" s="40" t="s">
        <v>1499</v>
      </c>
      <c r="B46" s="40" t="s">
        <v>1530</v>
      </c>
      <c r="C46" s="40" t="s">
        <v>889</v>
      </c>
      <c r="D46" s="40">
        <v>4250000</v>
      </c>
      <c r="E46" s="40">
        <v>4243127.75</v>
      </c>
      <c r="F46" s="40">
        <v>4218125</v>
      </c>
      <c r="G46" s="40" t="s">
        <v>890</v>
      </c>
      <c r="H46" s="40">
        <v>7.5871000000000004</v>
      </c>
      <c r="I46" s="40" t="s">
        <v>891</v>
      </c>
      <c r="J46" s="44">
        <v>49053</v>
      </c>
      <c r="K46" s="40">
        <v>326.161</v>
      </c>
      <c r="L46" s="40">
        <v>1</v>
      </c>
      <c r="M46" s="40" t="s">
        <v>1484</v>
      </c>
      <c r="N46" s="40" t="s">
        <v>889</v>
      </c>
      <c r="O46" s="40" t="s">
        <v>153</v>
      </c>
      <c r="P46" s="40">
        <v>6.035785229</v>
      </c>
      <c r="Q46" s="40" t="s">
        <v>28</v>
      </c>
      <c r="R46" s="40" t="s">
        <v>29</v>
      </c>
      <c r="S46" s="40" t="s">
        <v>38</v>
      </c>
    </row>
    <row r="47" spans="1:19" x14ac:dyDescent="0.25">
      <c r="A47" s="39" t="s">
        <v>1499</v>
      </c>
      <c r="B47" s="39" t="s">
        <v>1530</v>
      </c>
      <c r="C47" s="39" t="s">
        <v>925</v>
      </c>
      <c r="D47" s="39">
        <v>15359893</v>
      </c>
      <c r="E47" s="39">
        <v>15388831.039999999</v>
      </c>
      <c r="F47" s="39">
        <v>15359893</v>
      </c>
      <c r="G47" s="39" t="s">
        <v>117</v>
      </c>
      <c r="H47" s="39">
        <v>8.0840099999999993</v>
      </c>
      <c r="I47" s="39" t="s">
        <v>926</v>
      </c>
      <c r="J47" s="43">
        <v>49142</v>
      </c>
      <c r="K47" s="39">
        <v>376.161</v>
      </c>
      <c r="L47" s="39">
        <v>1</v>
      </c>
      <c r="M47" s="39" t="s">
        <v>1484</v>
      </c>
      <c r="N47" s="39" t="s">
        <v>925</v>
      </c>
      <c r="O47" s="39" t="s">
        <v>157</v>
      </c>
      <c r="P47" s="39">
        <v>6.1117025890000001</v>
      </c>
      <c r="Q47" s="39" t="s">
        <v>28</v>
      </c>
      <c r="R47" s="39" t="s">
        <v>29</v>
      </c>
      <c r="S47" s="39" t="s">
        <v>38</v>
      </c>
    </row>
    <row r="48" spans="1:19" x14ac:dyDescent="0.25">
      <c r="A48" s="40" t="s">
        <v>1499</v>
      </c>
      <c r="B48" s="40" t="s">
        <v>1530</v>
      </c>
      <c r="C48" s="40" t="s">
        <v>922</v>
      </c>
      <c r="D48" s="40">
        <v>32772918</v>
      </c>
      <c r="E48" s="40">
        <v>32837808.370000001</v>
      </c>
      <c r="F48" s="40">
        <v>32772918</v>
      </c>
      <c r="G48" s="40" t="s">
        <v>117</v>
      </c>
      <c r="H48" s="40">
        <v>7.9340099999999998</v>
      </c>
      <c r="I48" s="40" t="s">
        <v>923</v>
      </c>
      <c r="J48" s="44">
        <v>49142</v>
      </c>
      <c r="K48" s="40">
        <v>361.161</v>
      </c>
      <c r="L48" s="40">
        <v>1</v>
      </c>
      <c r="M48" s="40" t="s">
        <v>1484</v>
      </c>
      <c r="N48" s="40" t="s">
        <v>922</v>
      </c>
      <c r="O48" s="40" t="s">
        <v>157</v>
      </c>
      <c r="P48" s="40">
        <v>5.9506012559999997</v>
      </c>
      <c r="Q48" s="40" t="s">
        <v>28</v>
      </c>
      <c r="R48" s="40" t="s">
        <v>25</v>
      </c>
      <c r="S48" s="40" t="s">
        <v>38</v>
      </c>
    </row>
    <row r="49" spans="1:19" x14ac:dyDescent="0.25">
      <c r="A49" s="39" t="s">
        <v>1499</v>
      </c>
      <c r="B49" s="39" t="s">
        <v>1530</v>
      </c>
      <c r="C49" s="39" t="s">
        <v>927</v>
      </c>
      <c r="D49" s="39">
        <v>25125000</v>
      </c>
      <c r="E49" s="39">
        <v>25175400.75</v>
      </c>
      <c r="F49" s="39">
        <v>25125000</v>
      </c>
      <c r="G49" s="39" t="s">
        <v>117</v>
      </c>
      <c r="H49" s="39">
        <v>7.3871000000000002</v>
      </c>
      <c r="I49" s="39" t="s">
        <v>928</v>
      </c>
      <c r="J49" s="43">
        <v>48049</v>
      </c>
      <c r="K49" s="39">
        <v>306.161</v>
      </c>
      <c r="L49" s="39">
        <v>1</v>
      </c>
      <c r="M49" s="39" t="s">
        <v>1484</v>
      </c>
      <c r="N49" s="39" t="s">
        <v>927</v>
      </c>
      <c r="O49" s="39" t="s">
        <v>78</v>
      </c>
      <c r="P49" s="39">
        <v>3.2730261939999998</v>
      </c>
      <c r="Q49" s="39" t="s">
        <v>28</v>
      </c>
      <c r="R49" s="39" t="s">
        <v>22</v>
      </c>
      <c r="S49" s="39" t="s">
        <v>38</v>
      </c>
    </row>
    <row r="50" spans="1:19" x14ac:dyDescent="0.25">
      <c r="A50" s="40" t="s">
        <v>1499</v>
      </c>
      <c r="B50" s="40"/>
      <c r="C50" s="40" t="s">
        <v>453</v>
      </c>
      <c r="D50" s="40">
        <v>10000000</v>
      </c>
      <c r="E50" s="40">
        <v>10010670</v>
      </c>
      <c r="F50" s="40">
        <v>10000000</v>
      </c>
      <c r="G50" s="40" t="s">
        <v>256</v>
      </c>
      <c r="H50" s="40">
        <v>7.2810899999999998</v>
      </c>
      <c r="I50" s="40" t="s">
        <v>452</v>
      </c>
      <c r="J50" s="44">
        <v>50495</v>
      </c>
      <c r="K50" s="40">
        <v>300</v>
      </c>
      <c r="L50" s="40"/>
      <c r="M50" s="40" t="s">
        <v>1484</v>
      </c>
      <c r="N50" s="40" t="s">
        <v>453</v>
      </c>
      <c r="O50" s="40" t="s">
        <v>78</v>
      </c>
      <c r="P50" s="40">
        <v>9.5236410809999992</v>
      </c>
      <c r="Q50" s="40" t="s">
        <v>28</v>
      </c>
      <c r="R50" s="40" t="s">
        <v>33</v>
      </c>
      <c r="S50" s="40" t="s">
        <v>38</v>
      </c>
    </row>
    <row r="51" spans="1:19" x14ac:dyDescent="0.25">
      <c r="A51" s="39" t="s">
        <v>1499</v>
      </c>
      <c r="B51" s="39"/>
      <c r="C51" s="39" t="s">
        <v>455</v>
      </c>
      <c r="D51" s="39">
        <v>10000000</v>
      </c>
      <c r="E51" s="39">
        <v>10080670</v>
      </c>
      <c r="F51" s="39">
        <v>10000000</v>
      </c>
      <c r="G51" s="39" t="s">
        <v>256</v>
      </c>
      <c r="H51" s="39">
        <v>8.7810900000000007</v>
      </c>
      <c r="I51" s="39" t="s">
        <v>454</v>
      </c>
      <c r="J51" s="43">
        <v>50495</v>
      </c>
      <c r="K51" s="39">
        <v>450</v>
      </c>
      <c r="L51" s="39"/>
      <c r="M51" s="39" t="s">
        <v>1484</v>
      </c>
      <c r="N51" s="39" t="s">
        <v>455</v>
      </c>
      <c r="O51" s="39" t="s">
        <v>78</v>
      </c>
      <c r="P51" s="39">
        <v>9.8113671080000007</v>
      </c>
      <c r="Q51" s="39" t="s">
        <v>28</v>
      </c>
      <c r="R51" s="39" t="s">
        <v>33</v>
      </c>
      <c r="S51" s="39" t="s">
        <v>38</v>
      </c>
    </row>
    <row r="52" spans="1:19" x14ac:dyDescent="0.25">
      <c r="A52" s="40" t="s">
        <v>1499</v>
      </c>
      <c r="B52" s="40"/>
      <c r="C52" s="40" t="s">
        <v>935</v>
      </c>
      <c r="D52" s="40">
        <v>6200000</v>
      </c>
      <c r="E52" s="40">
        <v>6210626.7999999998</v>
      </c>
      <c r="F52" s="40">
        <v>6200000</v>
      </c>
      <c r="G52" s="40" t="s">
        <v>256</v>
      </c>
      <c r="H52" s="40">
        <v>8.0399700000000003</v>
      </c>
      <c r="I52" s="40" t="s">
        <v>936</v>
      </c>
      <c r="J52" s="44">
        <v>50495</v>
      </c>
      <c r="K52" s="40">
        <v>375</v>
      </c>
      <c r="L52" s="40">
        <v>1</v>
      </c>
      <c r="M52" s="40" t="s">
        <v>1484</v>
      </c>
      <c r="N52" s="40" t="s">
        <v>935</v>
      </c>
      <c r="O52" s="40" t="s">
        <v>78</v>
      </c>
      <c r="P52" s="40">
        <v>9.2648249749999998</v>
      </c>
      <c r="Q52" s="40" t="s">
        <v>28</v>
      </c>
      <c r="R52" s="40" t="s">
        <v>33</v>
      </c>
      <c r="S52" s="40" t="s">
        <v>38</v>
      </c>
    </row>
    <row r="53" spans="1:19" x14ac:dyDescent="0.25">
      <c r="A53" s="39" t="s">
        <v>1499</v>
      </c>
      <c r="B53" s="39"/>
      <c r="C53" s="39" t="s">
        <v>937</v>
      </c>
      <c r="D53" s="39">
        <v>1860000</v>
      </c>
      <c r="E53" s="39">
        <v>1897923.54</v>
      </c>
      <c r="F53" s="39">
        <v>1860000</v>
      </c>
      <c r="G53" s="39" t="s">
        <v>256</v>
      </c>
      <c r="H53" s="39">
        <v>10.28997</v>
      </c>
      <c r="I53" s="39" t="s">
        <v>938</v>
      </c>
      <c r="J53" s="43">
        <v>50495</v>
      </c>
      <c r="K53" s="39">
        <v>600</v>
      </c>
      <c r="L53" s="39">
        <v>1</v>
      </c>
      <c r="M53" s="39" t="s">
        <v>1484</v>
      </c>
      <c r="N53" s="39" t="s">
        <v>937</v>
      </c>
      <c r="O53" s="39" t="s">
        <v>78</v>
      </c>
      <c r="P53" s="39">
        <v>9.5529454479999991</v>
      </c>
      <c r="Q53" s="39" t="s">
        <v>28</v>
      </c>
      <c r="R53" s="39" t="s">
        <v>33</v>
      </c>
      <c r="S53" s="39" t="s">
        <v>38</v>
      </c>
    </row>
    <row r="54" spans="1:19" x14ac:dyDescent="0.25">
      <c r="A54" s="40" t="s">
        <v>1499</v>
      </c>
      <c r="B54" s="40"/>
      <c r="C54" s="40" t="s">
        <v>942</v>
      </c>
      <c r="D54" s="40">
        <v>575000</v>
      </c>
      <c r="E54" s="40">
        <v>570342.5</v>
      </c>
      <c r="F54" s="40">
        <v>572357.30000000005</v>
      </c>
      <c r="G54" s="40" t="s">
        <v>943</v>
      </c>
      <c r="H54" s="40">
        <v>8.1271000000000004</v>
      </c>
      <c r="I54" s="40" t="s">
        <v>944</v>
      </c>
      <c r="J54" s="44">
        <v>49329</v>
      </c>
      <c r="K54" s="40">
        <v>380.161</v>
      </c>
      <c r="L54" s="40">
        <v>1</v>
      </c>
      <c r="M54" s="40" t="s">
        <v>1484</v>
      </c>
      <c r="N54" s="40" t="s">
        <v>942</v>
      </c>
      <c r="O54" s="40" t="s">
        <v>158</v>
      </c>
      <c r="P54" s="40">
        <v>6.4179559399999997</v>
      </c>
      <c r="Q54" s="40" t="s">
        <v>28</v>
      </c>
      <c r="R54" s="40" t="s">
        <v>29</v>
      </c>
      <c r="S54" s="40" t="s">
        <v>38</v>
      </c>
    </row>
    <row r="55" spans="1:19" x14ac:dyDescent="0.25">
      <c r="A55" s="39" t="s">
        <v>1499</v>
      </c>
      <c r="B55" s="39"/>
      <c r="C55" s="39" t="s">
        <v>942</v>
      </c>
      <c r="D55" s="39">
        <v>5100000</v>
      </c>
      <c r="E55" s="39">
        <v>5058690</v>
      </c>
      <c r="F55" s="39">
        <v>5076080.8099999996</v>
      </c>
      <c r="G55" s="39" t="s">
        <v>943</v>
      </c>
      <c r="H55" s="39">
        <v>8.1271000000000004</v>
      </c>
      <c r="I55" s="39" t="s">
        <v>944</v>
      </c>
      <c r="J55" s="43">
        <v>49329</v>
      </c>
      <c r="K55" s="39">
        <v>380.161</v>
      </c>
      <c r="L55" s="39">
        <v>1</v>
      </c>
      <c r="M55" s="39" t="s">
        <v>1484</v>
      </c>
      <c r="N55" s="39" t="s">
        <v>942</v>
      </c>
      <c r="O55" s="39" t="s">
        <v>158</v>
      </c>
      <c r="P55" s="39">
        <v>6.4179559399999997</v>
      </c>
      <c r="Q55" s="39" t="s">
        <v>28</v>
      </c>
      <c r="R55" s="39" t="s">
        <v>29</v>
      </c>
      <c r="S55" s="39" t="s">
        <v>38</v>
      </c>
    </row>
    <row r="56" spans="1:19" x14ac:dyDescent="0.25">
      <c r="A56" s="40" t="s">
        <v>1499</v>
      </c>
      <c r="B56" s="40"/>
      <c r="C56" s="40" t="s">
        <v>942</v>
      </c>
      <c r="D56" s="40">
        <v>160000</v>
      </c>
      <c r="E56" s="40">
        <v>158704</v>
      </c>
      <c r="F56" s="40">
        <v>160276.32</v>
      </c>
      <c r="G56" s="40" t="s">
        <v>943</v>
      </c>
      <c r="H56" s="40">
        <v>8.1271000000000004</v>
      </c>
      <c r="I56" s="40" t="s">
        <v>944</v>
      </c>
      <c r="J56" s="44">
        <v>49329</v>
      </c>
      <c r="K56" s="40">
        <v>380.161</v>
      </c>
      <c r="L56" s="40">
        <v>1</v>
      </c>
      <c r="M56" s="40" t="s">
        <v>1484</v>
      </c>
      <c r="N56" s="40" t="s">
        <v>942</v>
      </c>
      <c r="O56" s="40" t="s">
        <v>158</v>
      </c>
      <c r="P56" s="40">
        <v>6.4179559399999997</v>
      </c>
      <c r="Q56" s="40" t="s">
        <v>28</v>
      </c>
      <c r="R56" s="40" t="s">
        <v>29</v>
      </c>
      <c r="S56" s="40" t="s">
        <v>38</v>
      </c>
    </row>
    <row r="57" spans="1:19" x14ac:dyDescent="0.25">
      <c r="A57" s="39" t="s">
        <v>1499</v>
      </c>
      <c r="B57" s="39"/>
      <c r="C57" s="39" t="s">
        <v>942</v>
      </c>
      <c r="D57" s="39">
        <v>170000</v>
      </c>
      <c r="E57" s="39">
        <v>168623</v>
      </c>
      <c r="F57" s="39">
        <v>170040.97</v>
      </c>
      <c r="G57" s="39" t="s">
        <v>943</v>
      </c>
      <c r="H57" s="39">
        <v>8.1271000000000004</v>
      </c>
      <c r="I57" s="39" t="s">
        <v>944</v>
      </c>
      <c r="J57" s="43">
        <v>49329</v>
      </c>
      <c r="K57" s="39">
        <v>380.161</v>
      </c>
      <c r="L57" s="39">
        <v>1</v>
      </c>
      <c r="M57" s="39" t="s">
        <v>1484</v>
      </c>
      <c r="N57" s="39" t="s">
        <v>942</v>
      </c>
      <c r="O57" s="39" t="s">
        <v>158</v>
      </c>
      <c r="P57" s="39">
        <v>6.4179559399999997</v>
      </c>
      <c r="Q57" s="39" t="s">
        <v>28</v>
      </c>
      <c r="R57" s="39" t="s">
        <v>29</v>
      </c>
      <c r="S57" s="39" t="s">
        <v>38</v>
      </c>
    </row>
    <row r="58" spans="1:19" x14ac:dyDescent="0.25">
      <c r="A58" s="40" t="s">
        <v>1499</v>
      </c>
      <c r="B58" s="40"/>
      <c r="C58" s="40" t="s">
        <v>942</v>
      </c>
      <c r="D58" s="40">
        <v>270000</v>
      </c>
      <c r="E58" s="40">
        <v>267813</v>
      </c>
      <c r="F58" s="40">
        <v>268451.03999999998</v>
      </c>
      <c r="G58" s="40" t="s">
        <v>943</v>
      </c>
      <c r="H58" s="40">
        <v>8.1271000000000004</v>
      </c>
      <c r="I58" s="40" t="s">
        <v>944</v>
      </c>
      <c r="J58" s="44">
        <v>49329</v>
      </c>
      <c r="K58" s="40">
        <v>380.161</v>
      </c>
      <c r="L58" s="40">
        <v>1</v>
      </c>
      <c r="M58" s="40" t="s">
        <v>1484</v>
      </c>
      <c r="N58" s="40" t="s">
        <v>942</v>
      </c>
      <c r="O58" s="40" t="s">
        <v>158</v>
      </c>
      <c r="P58" s="40">
        <v>6.4179559399999997</v>
      </c>
      <c r="Q58" s="40" t="s">
        <v>28</v>
      </c>
      <c r="R58" s="40" t="s">
        <v>29</v>
      </c>
      <c r="S58" s="40" t="s">
        <v>38</v>
      </c>
    </row>
    <row r="59" spans="1:19" x14ac:dyDescent="0.25">
      <c r="A59" s="39" t="s">
        <v>1499</v>
      </c>
      <c r="B59" s="39"/>
      <c r="C59" s="39" t="s">
        <v>942</v>
      </c>
      <c r="D59" s="39">
        <v>270000</v>
      </c>
      <c r="E59" s="39">
        <v>267813</v>
      </c>
      <c r="F59" s="39">
        <v>269619.95</v>
      </c>
      <c r="G59" s="39" t="s">
        <v>943</v>
      </c>
      <c r="H59" s="39">
        <v>8.1271000000000004</v>
      </c>
      <c r="I59" s="39" t="s">
        <v>944</v>
      </c>
      <c r="J59" s="43">
        <v>49329</v>
      </c>
      <c r="K59" s="39">
        <v>380.161</v>
      </c>
      <c r="L59" s="39">
        <v>1</v>
      </c>
      <c r="M59" s="39" t="s">
        <v>1484</v>
      </c>
      <c r="N59" s="39" t="s">
        <v>942</v>
      </c>
      <c r="O59" s="39" t="s">
        <v>158</v>
      </c>
      <c r="P59" s="39">
        <v>6.4179559399999997</v>
      </c>
      <c r="Q59" s="39" t="s">
        <v>28</v>
      </c>
      <c r="R59" s="39" t="s">
        <v>29</v>
      </c>
      <c r="S59" s="39" t="s">
        <v>38</v>
      </c>
    </row>
    <row r="60" spans="1:19" x14ac:dyDescent="0.25">
      <c r="A60" s="40" t="s">
        <v>1499</v>
      </c>
      <c r="B60" s="40"/>
      <c r="C60" s="40" t="s">
        <v>970</v>
      </c>
      <c r="D60" s="40">
        <v>3750000</v>
      </c>
      <c r="E60" s="40">
        <v>3773422.5</v>
      </c>
      <c r="F60" s="40">
        <v>3750000</v>
      </c>
      <c r="G60" s="40" t="s">
        <v>971</v>
      </c>
      <c r="H60" s="40">
        <v>7.5724</v>
      </c>
      <c r="I60" s="40" t="s">
        <v>972</v>
      </c>
      <c r="J60" s="44">
        <v>50238</v>
      </c>
      <c r="K60" s="40">
        <v>325</v>
      </c>
      <c r="L60" s="40">
        <v>1</v>
      </c>
      <c r="M60" s="40" t="s">
        <v>1484</v>
      </c>
      <c r="N60" s="40" t="s">
        <v>970</v>
      </c>
      <c r="O60" s="40" t="s">
        <v>159</v>
      </c>
      <c r="P60" s="40">
        <v>8.1791668590000004</v>
      </c>
      <c r="Q60" s="40" t="s">
        <v>28</v>
      </c>
      <c r="R60" s="40" t="s">
        <v>33</v>
      </c>
      <c r="S60" s="40" t="s">
        <v>38</v>
      </c>
    </row>
    <row r="61" spans="1:19" x14ac:dyDescent="0.25">
      <c r="A61" s="39" t="s">
        <v>1499</v>
      </c>
      <c r="B61" s="39"/>
      <c r="C61" s="39" t="s">
        <v>973</v>
      </c>
      <c r="D61" s="39">
        <v>2700000</v>
      </c>
      <c r="E61" s="39">
        <v>2726103.6</v>
      </c>
      <c r="F61" s="39">
        <v>2740500</v>
      </c>
      <c r="G61" s="39" t="s">
        <v>971</v>
      </c>
      <c r="H61" s="39">
        <v>9.2224000000000004</v>
      </c>
      <c r="I61" s="39" t="s">
        <v>974</v>
      </c>
      <c r="J61" s="43">
        <v>50238</v>
      </c>
      <c r="K61" s="39">
        <v>490</v>
      </c>
      <c r="L61" s="39">
        <v>1</v>
      </c>
      <c r="M61" s="39" t="s">
        <v>1484</v>
      </c>
      <c r="N61" s="39" t="s">
        <v>973</v>
      </c>
      <c r="O61" s="39" t="s">
        <v>159</v>
      </c>
      <c r="P61" s="39">
        <v>8.4638888889999997</v>
      </c>
      <c r="Q61" s="39" t="s">
        <v>28</v>
      </c>
      <c r="R61" s="39" t="s">
        <v>33</v>
      </c>
      <c r="S61" s="39" t="s">
        <v>38</v>
      </c>
    </row>
    <row r="62" spans="1:19" x14ac:dyDescent="0.25">
      <c r="A62" s="40" t="s">
        <v>1499</v>
      </c>
      <c r="B62" s="40"/>
      <c r="C62" s="40" t="s">
        <v>975</v>
      </c>
      <c r="D62" s="40">
        <v>9000000</v>
      </c>
      <c r="E62" s="40">
        <v>9076689</v>
      </c>
      <c r="F62" s="40">
        <v>9000000</v>
      </c>
      <c r="G62" s="40" t="s">
        <v>971</v>
      </c>
      <c r="H62" s="40">
        <v>7.6177700000000002</v>
      </c>
      <c r="I62" s="40" t="s">
        <v>976</v>
      </c>
      <c r="J62" s="44">
        <v>50237</v>
      </c>
      <c r="K62" s="40">
        <v>330</v>
      </c>
      <c r="L62" s="40">
        <v>1</v>
      </c>
      <c r="M62" s="40" t="s">
        <v>1484</v>
      </c>
      <c r="N62" s="40" t="s">
        <v>975</v>
      </c>
      <c r="O62" s="40" t="s">
        <v>159</v>
      </c>
      <c r="P62" s="40">
        <v>8.4375997060000003</v>
      </c>
      <c r="Q62" s="40" t="s">
        <v>28</v>
      </c>
      <c r="R62" s="40" t="s">
        <v>33</v>
      </c>
      <c r="S62" s="40" t="s">
        <v>38</v>
      </c>
    </row>
    <row r="63" spans="1:19" x14ac:dyDescent="0.25">
      <c r="A63" s="39" t="s">
        <v>1499</v>
      </c>
      <c r="B63" s="39" t="s">
        <v>1530</v>
      </c>
      <c r="C63" s="39" t="s">
        <v>977</v>
      </c>
      <c r="D63" s="39">
        <v>5375000</v>
      </c>
      <c r="E63" s="39">
        <v>5401165.5</v>
      </c>
      <c r="F63" s="39">
        <v>5375000</v>
      </c>
      <c r="G63" s="39" t="s">
        <v>971</v>
      </c>
      <c r="H63" s="39">
        <v>7.6871</v>
      </c>
      <c r="I63" s="39" t="s">
        <v>978</v>
      </c>
      <c r="J63" s="43">
        <v>49237</v>
      </c>
      <c r="K63" s="39">
        <v>336.161</v>
      </c>
      <c r="L63" s="39">
        <v>1</v>
      </c>
      <c r="M63" s="39" t="s">
        <v>1484</v>
      </c>
      <c r="N63" s="39" t="s">
        <v>977</v>
      </c>
      <c r="O63" s="39" t="s">
        <v>159</v>
      </c>
      <c r="P63" s="39">
        <v>6.2533369509999996</v>
      </c>
      <c r="Q63" s="39" t="s">
        <v>28</v>
      </c>
      <c r="R63" s="39" t="s">
        <v>29</v>
      </c>
      <c r="S63" s="39" t="s">
        <v>38</v>
      </c>
    </row>
    <row r="64" spans="1:19" x14ac:dyDescent="0.25">
      <c r="A64" s="40" t="s">
        <v>1499</v>
      </c>
      <c r="B64" s="40"/>
      <c r="C64" s="40" t="s">
        <v>979</v>
      </c>
      <c r="D64" s="40">
        <v>4700000</v>
      </c>
      <c r="E64" s="40">
        <v>4717639.0999999996</v>
      </c>
      <c r="F64" s="40">
        <v>4700000</v>
      </c>
      <c r="G64" s="40" t="s">
        <v>971</v>
      </c>
      <c r="H64" s="40">
        <v>7.1175499999999996</v>
      </c>
      <c r="I64" s="40" t="s">
        <v>980</v>
      </c>
      <c r="J64" s="44">
        <v>51150</v>
      </c>
      <c r="K64" s="40">
        <v>280</v>
      </c>
      <c r="L64" s="40">
        <v>1</v>
      </c>
      <c r="M64" s="40" t="s">
        <v>1484</v>
      </c>
      <c r="N64" s="40" t="s">
        <v>979</v>
      </c>
      <c r="O64" s="40" t="s">
        <v>159</v>
      </c>
      <c r="P64" s="40">
        <v>9.1877874459999997</v>
      </c>
      <c r="Q64" s="40" t="s">
        <v>28</v>
      </c>
      <c r="R64" s="40" t="s">
        <v>33</v>
      </c>
      <c r="S64" s="40" t="s">
        <v>38</v>
      </c>
    </row>
    <row r="65" spans="1:19" x14ac:dyDescent="0.25">
      <c r="A65" s="39" t="s">
        <v>1531</v>
      </c>
      <c r="B65" s="39"/>
      <c r="C65" s="39" t="s">
        <v>1387</v>
      </c>
      <c r="D65" s="39">
        <v>1300000</v>
      </c>
      <c r="E65" s="39">
        <v>1290679</v>
      </c>
      <c r="F65" s="39">
        <v>1287000</v>
      </c>
      <c r="G65" s="39" t="s">
        <v>117</v>
      </c>
      <c r="H65" s="39">
        <v>11.684010000000001</v>
      </c>
      <c r="I65" s="39" t="s">
        <v>1388</v>
      </c>
      <c r="J65" s="43">
        <v>49142</v>
      </c>
      <c r="K65" s="39">
        <v>736.16099999999994</v>
      </c>
      <c r="L65" s="39">
        <v>1</v>
      </c>
      <c r="M65" s="39" t="s">
        <v>1488</v>
      </c>
      <c r="N65" s="39" t="s">
        <v>1387</v>
      </c>
      <c r="O65" s="39" t="s">
        <v>157</v>
      </c>
      <c r="P65" s="39">
        <v>6.3180231850000004</v>
      </c>
      <c r="Q65" s="39" t="s">
        <v>32</v>
      </c>
      <c r="R65" s="39" t="s">
        <v>29</v>
      </c>
      <c r="S65" s="39" t="s">
        <v>38</v>
      </c>
    </row>
    <row r="66" spans="1:19" x14ac:dyDescent="0.25">
      <c r="A66" s="40" t="s">
        <v>1531</v>
      </c>
      <c r="B66" s="40" t="s">
        <v>1530</v>
      </c>
      <c r="C66" s="40" t="s">
        <v>1416</v>
      </c>
      <c r="D66" s="40">
        <v>1750000</v>
      </c>
      <c r="E66" s="40">
        <v>1730550.5</v>
      </c>
      <c r="F66" s="40">
        <v>1723750</v>
      </c>
      <c r="G66" s="40" t="s">
        <v>297</v>
      </c>
      <c r="H66" s="40">
        <v>12.0571</v>
      </c>
      <c r="I66" s="40" t="s">
        <v>1417</v>
      </c>
      <c r="J66" s="44">
        <v>49237</v>
      </c>
      <c r="K66" s="40">
        <v>773.16099999999994</v>
      </c>
      <c r="L66" s="40">
        <v>1</v>
      </c>
      <c r="M66" s="40" t="s">
        <v>1488</v>
      </c>
      <c r="N66" s="40" t="s">
        <v>1416</v>
      </c>
      <c r="O66" s="40" t="s">
        <v>106</v>
      </c>
      <c r="P66" s="40">
        <v>6.6054041970000004</v>
      </c>
      <c r="Q66" s="40" t="s">
        <v>32</v>
      </c>
      <c r="R66" s="40" t="s">
        <v>29</v>
      </c>
      <c r="S66" s="40" t="s">
        <v>38</v>
      </c>
    </row>
    <row r="67" spans="1:19" x14ac:dyDescent="0.25">
      <c r="A67" s="39" t="s">
        <v>1531</v>
      </c>
      <c r="B67" s="39"/>
      <c r="C67" s="39" t="s">
        <v>1445</v>
      </c>
      <c r="D67" s="39">
        <v>1500000</v>
      </c>
      <c r="E67" s="39">
        <v>1507455</v>
      </c>
      <c r="F67" s="39">
        <v>1500000</v>
      </c>
      <c r="G67" s="39" t="s">
        <v>735</v>
      </c>
      <c r="H67" s="39">
        <v>9.2175499999999992</v>
      </c>
      <c r="I67" s="39" t="s">
        <v>1446</v>
      </c>
      <c r="J67" s="43">
        <v>50420</v>
      </c>
      <c r="K67" s="39">
        <v>490</v>
      </c>
      <c r="L67" s="39">
        <v>1</v>
      </c>
      <c r="M67" s="39" t="s">
        <v>1488</v>
      </c>
      <c r="N67" s="39" t="s">
        <v>1445</v>
      </c>
      <c r="O67" s="39" t="s">
        <v>151</v>
      </c>
      <c r="P67" s="39">
        <v>9.8226872210000007</v>
      </c>
      <c r="Q67" s="39" t="s">
        <v>32</v>
      </c>
      <c r="R67" s="39" t="s">
        <v>33</v>
      </c>
      <c r="S67" s="39" t="s">
        <v>38</v>
      </c>
    </row>
    <row r="68" spans="1:19" x14ac:dyDescent="0.25">
      <c r="A68" s="40" t="s">
        <v>1519</v>
      </c>
      <c r="B68" s="40"/>
      <c r="C68" s="40" t="s">
        <v>372</v>
      </c>
      <c r="D68" s="40">
        <v>1140257.2265000001</v>
      </c>
      <c r="E68" s="40">
        <v>1097577.3999999999</v>
      </c>
      <c r="F68" s="40">
        <v>1140257.23</v>
      </c>
      <c r="G68" s="40" t="s">
        <v>1380</v>
      </c>
      <c r="H68" s="40">
        <v>12.57916</v>
      </c>
      <c r="I68" s="40" t="s">
        <v>371</v>
      </c>
      <c r="J68" s="44">
        <v>48959</v>
      </c>
      <c r="K68" s="40">
        <v>826.16099999999994</v>
      </c>
      <c r="L68" s="40">
        <v>1.1402570000000001</v>
      </c>
      <c r="M68" s="40" t="s">
        <v>1491</v>
      </c>
      <c r="N68" s="40" t="s">
        <v>372</v>
      </c>
      <c r="O68" s="40" t="s">
        <v>146</v>
      </c>
      <c r="P68" s="40">
        <v>5.3475149870000003</v>
      </c>
      <c r="Q68" s="40" t="s">
        <v>36</v>
      </c>
      <c r="R68" s="40" t="s">
        <v>25</v>
      </c>
      <c r="S68" s="40" t="s">
        <v>38</v>
      </c>
    </row>
    <row r="69" spans="1:19" x14ac:dyDescent="0.25">
      <c r="A69" s="39" t="s">
        <v>1499</v>
      </c>
      <c r="B69" s="39"/>
      <c r="C69" s="39" t="s">
        <v>981</v>
      </c>
      <c r="D69" s="39">
        <v>9000000</v>
      </c>
      <c r="E69" s="39">
        <v>9048420</v>
      </c>
      <c r="F69" s="39">
        <v>9000000</v>
      </c>
      <c r="G69" s="39" t="s">
        <v>971</v>
      </c>
      <c r="H69" s="39">
        <v>7.4684600000000003</v>
      </c>
      <c r="I69" s="39" t="s">
        <v>982</v>
      </c>
      <c r="J69" s="43">
        <v>50246</v>
      </c>
      <c r="K69" s="39">
        <v>315</v>
      </c>
      <c r="L69" s="39">
        <v>1</v>
      </c>
      <c r="M69" s="39" t="s">
        <v>1484</v>
      </c>
      <c r="N69" s="39" t="s">
        <v>981</v>
      </c>
      <c r="O69" s="39" t="s">
        <v>159</v>
      </c>
      <c r="P69" s="39">
        <v>8.8329233269999996</v>
      </c>
      <c r="Q69" s="39" t="s">
        <v>28</v>
      </c>
      <c r="R69" s="39" t="s">
        <v>33</v>
      </c>
      <c r="S69" s="39" t="s">
        <v>38</v>
      </c>
    </row>
    <row r="70" spans="1:19" x14ac:dyDescent="0.25">
      <c r="A70" s="40" t="s">
        <v>1499</v>
      </c>
      <c r="B70" s="40"/>
      <c r="C70" s="40" t="s">
        <v>983</v>
      </c>
      <c r="D70" s="40">
        <v>2000000</v>
      </c>
      <c r="E70" s="40">
        <v>2009306</v>
      </c>
      <c r="F70" s="40">
        <v>1992500</v>
      </c>
      <c r="G70" s="40" t="s">
        <v>971</v>
      </c>
      <c r="H70" s="40">
        <v>7.5791599999999999</v>
      </c>
      <c r="I70" s="40" t="s">
        <v>984</v>
      </c>
      <c r="J70" s="44">
        <v>49871</v>
      </c>
      <c r="K70" s="40">
        <v>326.161</v>
      </c>
      <c r="L70" s="40">
        <v>1</v>
      </c>
      <c r="M70" s="40" t="s">
        <v>1484</v>
      </c>
      <c r="N70" s="40" t="s">
        <v>983</v>
      </c>
      <c r="O70" s="40" t="s">
        <v>159</v>
      </c>
      <c r="P70" s="40">
        <v>6.0957346230000002</v>
      </c>
      <c r="Q70" s="40" t="s">
        <v>28</v>
      </c>
      <c r="R70" s="40" t="s">
        <v>29</v>
      </c>
      <c r="S70" s="40" t="s">
        <v>38</v>
      </c>
    </row>
    <row r="71" spans="1:19" x14ac:dyDescent="0.25">
      <c r="A71" s="39" t="s">
        <v>1499</v>
      </c>
      <c r="B71" s="39"/>
      <c r="C71" s="39" t="s">
        <v>983</v>
      </c>
      <c r="D71" s="39">
        <v>2675000</v>
      </c>
      <c r="E71" s="39">
        <v>2687446.78</v>
      </c>
      <c r="F71" s="39">
        <v>2604781.25</v>
      </c>
      <c r="G71" s="39" t="s">
        <v>971</v>
      </c>
      <c r="H71" s="39">
        <v>7.5791599999999999</v>
      </c>
      <c r="I71" s="39" t="s">
        <v>984</v>
      </c>
      <c r="J71" s="43">
        <v>49871</v>
      </c>
      <c r="K71" s="39">
        <v>326.161</v>
      </c>
      <c r="L71" s="39">
        <v>1</v>
      </c>
      <c r="M71" s="39" t="s">
        <v>1484</v>
      </c>
      <c r="N71" s="39" t="s">
        <v>983</v>
      </c>
      <c r="O71" s="39" t="s">
        <v>159</v>
      </c>
      <c r="P71" s="39">
        <v>6.0957346230000002</v>
      </c>
      <c r="Q71" s="39" t="s">
        <v>28</v>
      </c>
      <c r="R71" s="39" t="s">
        <v>29</v>
      </c>
      <c r="S71" s="39" t="s">
        <v>38</v>
      </c>
    </row>
    <row r="72" spans="1:19" x14ac:dyDescent="0.25">
      <c r="A72" s="40" t="s">
        <v>1499</v>
      </c>
      <c r="B72" s="40" t="s">
        <v>1530</v>
      </c>
      <c r="C72" s="40" t="s">
        <v>986</v>
      </c>
      <c r="D72" s="40">
        <v>3825000</v>
      </c>
      <c r="E72" s="40">
        <v>3844086.75</v>
      </c>
      <c r="F72" s="40">
        <v>3825000</v>
      </c>
      <c r="G72" s="40" t="s">
        <v>971</v>
      </c>
      <c r="H72" s="40">
        <v>7.5805999999999996</v>
      </c>
      <c r="I72" s="40" t="s">
        <v>987</v>
      </c>
      <c r="J72" s="44">
        <v>49332</v>
      </c>
      <c r="K72" s="40">
        <v>326.161</v>
      </c>
      <c r="L72" s="40">
        <v>1</v>
      </c>
      <c r="M72" s="40" t="s">
        <v>1484</v>
      </c>
      <c r="N72" s="40" t="s">
        <v>986</v>
      </c>
      <c r="O72" s="40" t="s">
        <v>159</v>
      </c>
      <c r="P72" s="40">
        <v>6.3854852409999996</v>
      </c>
      <c r="Q72" s="40" t="s">
        <v>28</v>
      </c>
      <c r="R72" s="40" t="s">
        <v>29</v>
      </c>
      <c r="S72" s="40" t="s">
        <v>38</v>
      </c>
    </row>
    <row r="73" spans="1:19" x14ac:dyDescent="0.25">
      <c r="A73" s="39" t="s">
        <v>1499</v>
      </c>
      <c r="B73" s="39"/>
      <c r="C73" s="39" t="s">
        <v>986</v>
      </c>
      <c r="D73" s="39">
        <v>90000</v>
      </c>
      <c r="E73" s="39">
        <v>90449.1</v>
      </c>
      <c r="F73" s="39">
        <v>90244.62</v>
      </c>
      <c r="G73" s="39" t="s">
        <v>971</v>
      </c>
      <c r="H73" s="39">
        <v>7.5805999999999996</v>
      </c>
      <c r="I73" s="39" t="s">
        <v>987</v>
      </c>
      <c r="J73" s="43">
        <v>49332</v>
      </c>
      <c r="K73" s="39">
        <v>326.161</v>
      </c>
      <c r="L73" s="39">
        <v>1</v>
      </c>
      <c r="M73" s="39" t="s">
        <v>1484</v>
      </c>
      <c r="N73" s="39" t="s">
        <v>986</v>
      </c>
      <c r="O73" s="39" t="s">
        <v>159</v>
      </c>
      <c r="P73" s="39">
        <v>6.3854852409999996</v>
      </c>
      <c r="Q73" s="39" t="s">
        <v>28</v>
      </c>
      <c r="R73" s="39" t="s">
        <v>29</v>
      </c>
      <c r="S73" s="39" t="s">
        <v>38</v>
      </c>
    </row>
    <row r="74" spans="1:19" x14ac:dyDescent="0.25">
      <c r="A74" s="40" t="s">
        <v>1499</v>
      </c>
      <c r="B74" s="40"/>
      <c r="C74" s="40" t="s">
        <v>986</v>
      </c>
      <c r="D74" s="40">
        <v>110000</v>
      </c>
      <c r="E74" s="40">
        <v>110548.9</v>
      </c>
      <c r="F74" s="40">
        <v>110480.26</v>
      </c>
      <c r="G74" s="40" t="s">
        <v>971</v>
      </c>
      <c r="H74" s="40">
        <v>7.5805999999999996</v>
      </c>
      <c r="I74" s="40" t="s">
        <v>987</v>
      </c>
      <c r="J74" s="44">
        <v>49332</v>
      </c>
      <c r="K74" s="40">
        <v>326.161</v>
      </c>
      <c r="L74" s="40">
        <v>1</v>
      </c>
      <c r="M74" s="40" t="s">
        <v>1484</v>
      </c>
      <c r="N74" s="40" t="s">
        <v>986</v>
      </c>
      <c r="O74" s="40" t="s">
        <v>159</v>
      </c>
      <c r="P74" s="40">
        <v>6.3854852409999996</v>
      </c>
      <c r="Q74" s="40" t="s">
        <v>28</v>
      </c>
      <c r="R74" s="40" t="s">
        <v>29</v>
      </c>
      <c r="S74" s="40" t="s">
        <v>38</v>
      </c>
    </row>
    <row r="75" spans="1:19" x14ac:dyDescent="0.25">
      <c r="A75" s="39" t="s">
        <v>1499</v>
      </c>
      <c r="B75" s="39"/>
      <c r="C75" s="39" t="s">
        <v>986</v>
      </c>
      <c r="D75" s="39">
        <v>180000</v>
      </c>
      <c r="E75" s="39">
        <v>180898.2</v>
      </c>
      <c r="F75" s="39">
        <v>180575.96</v>
      </c>
      <c r="G75" s="39" t="s">
        <v>971</v>
      </c>
      <c r="H75" s="39">
        <v>7.5805999999999996</v>
      </c>
      <c r="I75" s="39" t="s">
        <v>987</v>
      </c>
      <c r="J75" s="43">
        <v>49332</v>
      </c>
      <c r="K75" s="39">
        <v>326.161</v>
      </c>
      <c r="L75" s="39">
        <v>1</v>
      </c>
      <c r="M75" s="39" t="s">
        <v>1484</v>
      </c>
      <c r="N75" s="39" t="s">
        <v>986</v>
      </c>
      <c r="O75" s="39" t="s">
        <v>159</v>
      </c>
      <c r="P75" s="39">
        <v>6.3854852409999996</v>
      </c>
      <c r="Q75" s="39" t="s">
        <v>28</v>
      </c>
      <c r="R75" s="39" t="s">
        <v>29</v>
      </c>
      <c r="S75" s="39" t="s">
        <v>38</v>
      </c>
    </row>
    <row r="76" spans="1:19" x14ac:dyDescent="0.25">
      <c r="A76" s="40" t="s">
        <v>1499</v>
      </c>
      <c r="B76" s="40" t="s">
        <v>1530</v>
      </c>
      <c r="C76" s="40" t="s">
        <v>986</v>
      </c>
      <c r="D76" s="40">
        <v>180000</v>
      </c>
      <c r="E76" s="40">
        <v>180898.2</v>
      </c>
      <c r="F76" s="40">
        <v>180437.54</v>
      </c>
      <c r="G76" s="40" t="s">
        <v>971</v>
      </c>
      <c r="H76" s="40">
        <v>7.5805999999999996</v>
      </c>
      <c r="I76" s="40" t="s">
        <v>987</v>
      </c>
      <c r="J76" s="44">
        <v>49332</v>
      </c>
      <c r="K76" s="40">
        <v>326.161</v>
      </c>
      <c r="L76" s="40">
        <v>1</v>
      </c>
      <c r="M76" s="40" t="s">
        <v>1484</v>
      </c>
      <c r="N76" s="40" t="s">
        <v>986</v>
      </c>
      <c r="O76" s="40" t="s">
        <v>159</v>
      </c>
      <c r="P76" s="40">
        <v>6.3854852409999996</v>
      </c>
      <c r="Q76" s="40" t="s">
        <v>28</v>
      </c>
      <c r="R76" s="40" t="s">
        <v>29</v>
      </c>
      <c r="S76" s="40" t="s">
        <v>38</v>
      </c>
    </row>
    <row r="77" spans="1:19" x14ac:dyDescent="0.25">
      <c r="A77" s="39" t="s">
        <v>1499</v>
      </c>
      <c r="B77" s="39"/>
      <c r="C77" s="39" t="s">
        <v>990</v>
      </c>
      <c r="D77" s="39">
        <v>7200000</v>
      </c>
      <c r="E77" s="39">
        <v>7267644</v>
      </c>
      <c r="F77" s="39">
        <v>7200000</v>
      </c>
      <c r="G77" s="39" t="s">
        <v>971</v>
      </c>
      <c r="H77" s="39">
        <v>8.0289999999999999</v>
      </c>
      <c r="I77" s="39" t="s">
        <v>991</v>
      </c>
      <c r="J77" s="43">
        <v>50148</v>
      </c>
      <c r="K77" s="39">
        <v>370</v>
      </c>
      <c r="L77" s="39">
        <v>1</v>
      </c>
      <c r="M77" s="39" t="s">
        <v>1484</v>
      </c>
      <c r="N77" s="39" t="s">
        <v>990</v>
      </c>
      <c r="O77" s="39" t="s">
        <v>159</v>
      </c>
      <c r="P77" s="39">
        <v>8.5114692129999998</v>
      </c>
      <c r="Q77" s="39" t="s">
        <v>28</v>
      </c>
      <c r="R77" s="39" t="s">
        <v>33</v>
      </c>
      <c r="S77" s="39" t="s">
        <v>38</v>
      </c>
    </row>
    <row r="78" spans="1:19" x14ac:dyDescent="0.25">
      <c r="A78" s="40" t="s">
        <v>1499</v>
      </c>
      <c r="B78" s="40"/>
      <c r="C78" s="40" t="s">
        <v>988</v>
      </c>
      <c r="D78" s="40">
        <v>1750000</v>
      </c>
      <c r="E78" s="40">
        <v>1761753</v>
      </c>
      <c r="F78" s="40">
        <v>1750000</v>
      </c>
      <c r="G78" s="40" t="s">
        <v>971</v>
      </c>
      <c r="H78" s="40">
        <v>8.2177699999999998</v>
      </c>
      <c r="I78" s="40" t="s">
        <v>989</v>
      </c>
      <c r="J78" s="44">
        <v>50056</v>
      </c>
      <c r="K78" s="40">
        <v>390</v>
      </c>
      <c r="L78" s="40">
        <v>1</v>
      </c>
      <c r="M78" s="40" t="s">
        <v>1484</v>
      </c>
      <c r="N78" s="40" t="s">
        <v>988</v>
      </c>
      <c r="O78" s="40" t="s">
        <v>159</v>
      </c>
      <c r="P78" s="40">
        <v>8.3143012810000005</v>
      </c>
      <c r="Q78" s="40" t="s">
        <v>28</v>
      </c>
      <c r="R78" s="40" t="s">
        <v>33</v>
      </c>
      <c r="S78" s="40" t="s">
        <v>38</v>
      </c>
    </row>
    <row r="79" spans="1:19" x14ac:dyDescent="0.25">
      <c r="A79" s="39" t="s">
        <v>1499</v>
      </c>
      <c r="B79" s="39"/>
      <c r="C79" s="39" t="s">
        <v>917</v>
      </c>
      <c r="D79" s="39">
        <v>1000000</v>
      </c>
      <c r="E79" s="39">
        <v>1001911</v>
      </c>
      <c r="F79" s="39">
        <v>971250</v>
      </c>
      <c r="G79" s="39" t="s">
        <v>918</v>
      </c>
      <c r="H79" s="39">
        <v>7.6291599999999997</v>
      </c>
      <c r="I79" s="39" t="s">
        <v>919</v>
      </c>
      <c r="J79" s="43">
        <v>49140</v>
      </c>
      <c r="K79" s="39">
        <v>331.161</v>
      </c>
      <c r="L79" s="39">
        <v>1</v>
      </c>
      <c r="M79" s="39" t="s">
        <v>1484</v>
      </c>
      <c r="N79" s="39" t="s">
        <v>917</v>
      </c>
      <c r="O79" s="39" t="s">
        <v>160</v>
      </c>
      <c r="P79" s="39">
        <v>6.0435283450000004</v>
      </c>
      <c r="Q79" s="39" t="s">
        <v>28</v>
      </c>
      <c r="R79" s="39" t="s">
        <v>29</v>
      </c>
      <c r="S79" s="39" t="s">
        <v>38</v>
      </c>
    </row>
    <row r="80" spans="1:19" x14ac:dyDescent="0.25">
      <c r="A80" s="40" t="s">
        <v>1499</v>
      </c>
      <c r="B80" s="40"/>
      <c r="C80" s="40" t="s">
        <v>915</v>
      </c>
      <c r="D80" s="40">
        <v>527000</v>
      </c>
      <c r="E80" s="40">
        <v>528028.18000000005</v>
      </c>
      <c r="F80" s="40">
        <v>527000</v>
      </c>
      <c r="G80" s="40" t="s">
        <v>911</v>
      </c>
      <c r="H80" s="40">
        <v>7.9291600000000004</v>
      </c>
      <c r="I80" s="40" t="s">
        <v>916</v>
      </c>
      <c r="J80" s="44">
        <v>49049</v>
      </c>
      <c r="K80" s="40">
        <v>361.161</v>
      </c>
      <c r="L80" s="40">
        <v>1</v>
      </c>
      <c r="M80" s="40" t="s">
        <v>1484</v>
      </c>
      <c r="N80" s="40" t="s">
        <v>915</v>
      </c>
      <c r="O80" s="40" t="s">
        <v>160</v>
      </c>
      <c r="P80" s="40">
        <v>5.7851950810000004</v>
      </c>
      <c r="Q80" s="40" t="s">
        <v>28</v>
      </c>
      <c r="R80" s="40" t="s">
        <v>25</v>
      </c>
      <c r="S80" s="40" t="s">
        <v>38</v>
      </c>
    </row>
    <row r="81" spans="1:19" x14ac:dyDescent="0.25">
      <c r="A81" s="39" t="s">
        <v>1499</v>
      </c>
      <c r="B81" s="39" t="s">
        <v>1530</v>
      </c>
      <c r="C81" s="39" t="s">
        <v>915</v>
      </c>
      <c r="D81" s="39">
        <v>548072</v>
      </c>
      <c r="E81" s="39">
        <v>549141.29</v>
      </c>
      <c r="F81" s="39">
        <v>548072</v>
      </c>
      <c r="G81" s="39" t="s">
        <v>911</v>
      </c>
      <c r="H81" s="39">
        <v>7.9291600000000004</v>
      </c>
      <c r="I81" s="39" t="s">
        <v>916</v>
      </c>
      <c r="J81" s="43">
        <v>49049</v>
      </c>
      <c r="K81" s="39">
        <v>361.161</v>
      </c>
      <c r="L81" s="39">
        <v>1</v>
      </c>
      <c r="M81" s="39" t="s">
        <v>1484</v>
      </c>
      <c r="N81" s="39" t="s">
        <v>915</v>
      </c>
      <c r="O81" s="39" t="s">
        <v>160</v>
      </c>
      <c r="P81" s="39">
        <v>5.7851950810000004</v>
      </c>
      <c r="Q81" s="39" t="s">
        <v>28</v>
      </c>
      <c r="R81" s="39" t="s">
        <v>25</v>
      </c>
      <c r="S81" s="39" t="s">
        <v>38</v>
      </c>
    </row>
    <row r="82" spans="1:19" x14ac:dyDescent="0.25">
      <c r="A82" s="40" t="s">
        <v>1499</v>
      </c>
      <c r="B82" s="40"/>
      <c r="C82" s="40" t="s">
        <v>915</v>
      </c>
      <c r="D82" s="40">
        <v>540000</v>
      </c>
      <c r="E82" s="40">
        <v>541053.54</v>
      </c>
      <c r="F82" s="40">
        <v>542119.72</v>
      </c>
      <c r="G82" s="40" t="s">
        <v>911</v>
      </c>
      <c r="H82" s="40">
        <v>7.9291600000000004</v>
      </c>
      <c r="I82" s="40" t="s">
        <v>916</v>
      </c>
      <c r="J82" s="44">
        <v>49049</v>
      </c>
      <c r="K82" s="40">
        <v>361.161</v>
      </c>
      <c r="L82" s="40">
        <v>1</v>
      </c>
      <c r="M82" s="40" t="s">
        <v>1484</v>
      </c>
      <c r="N82" s="40" t="s">
        <v>915</v>
      </c>
      <c r="O82" s="40" t="s">
        <v>160</v>
      </c>
      <c r="P82" s="40">
        <v>5.7851950810000004</v>
      </c>
      <c r="Q82" s="40" t="s">
        <v>28</v>
      </c>
      <c r="R82" s="40" t="s">
        <v>25</v>
      </c>
      <c r="S82" s="40" t="s">
        <v>38</v>
      </c>
    </row>
    <row r="83" spans="1:19" x14ac:dyDescent="0.25">
      <c r="A83" s="39" t="s">
        <v>1499</v>
      </c>
      <c r="B83" s="39" t="s">
        <v>1530</v>
      </c>
      <c r="C83" s="39" t="s">
        <v>915</v>
      </c>
      <c r="D83" s="39">
        <v>540001</v>
      </c>
      <c r="E83" s="39">
        <v>541054.54</v>
      </c>
      <c r="F83" s="39">
        <v>541067.14</v>
      </c>
      <c r="G83" s="39" t="s">
        <v>911</v>
      </c>
      <c r="H83" s="39">
        <v>7.9291600000000004</v>
      </c>
      <c r="I83" s="39" t="s">
        <v>916</v>
      </c>
      <c r="J83" s="43">
        <v>49049</v>
      </c>
      <c r="K83" s="39">
        <v>361.161</v>
      </c>
      <c r="L83" s="39">
        <v>1</v>
      </c>
      <c r="M83" s="39" t="s">
        <v>1484</v>
      </c>
      <c r="N83" s="39" t="s">
        <v>915</v>
      </c>
      <c r="O83" s="39" t="s">
        <v>160</v>
      </c>
      <c r="P83" s="39">
        <v>5.7851950810000004</v>
      </c>
      <c r="Q83" s="39" t="s">
        <v>28</v>
      </c>
      <c r="R83" s="39" t="s">
        <v>25</v>
      </c>
      <c r="S83" s="39" t="s">
        <v>38</v>
      </c>
    </row>
    <row r="84" spans="1:19" x14ac:dyDescent="0.25">
      <c r="A84" s="40" t="s">
        <v>1499</v>
      </c>
      <c r="B84" s="40"/>
      <c r="C84" s="40" t="s">
        <v>920</v>
      </c>
      <c r="D84" s="40">
        <v>3000000</v>
      </c>
      <c r="E84" s="40">
        <v>3004575</v>
      </c>
      <c r="F84" s="40">
        <v>2791500</v>
      </c>
      <c r="G84" s="40" t="s">
        <v>911</v>
      </c>
      <c r="H84" s="40">
        <v>7.5177699999999996</v>
      </c>
      <c r="I84" s="40" t="s">
        <v>921</v>
      </c>
      <c r="J84" s="44">
        <v>49414</v>
      </c>
      <c r="K84" s="40">
        <v>320</v>
      </c>
      <c r="L84" s="40">
        <v>1</v>
      </c>
      <c r="M84" s="40" t="s">
        <v>1484</v>
      </c>
      <c r="N84" s="40" t="s">
        <v>920</v>
      </c>
      <c r="O84" s="40" t="s">
        <v>160</v>
      </c>
      <c r="P84" s="40">
        <v>6.5239566910000004</v>
      </c>
      <c r="Q84" s="40" t="s">
        <v>28</v>
      </c>
      <c r="R84" s="40" t="s">
        <v>29</v>
      </c>
      <c r="S84" s="40" t="s">
        <v>38</v>
      </c>
    </row>
    <row r="85" spans="1:19" x14ac:dyDescent="0.25">
      <c r="A85" s="39" t="s">
        <v>1499</v>
      </c>
      <c r="B85" s="39"/>
      <c r="C85" s="39" t="s">
        <v>910</v>
      </c>
      <c r="D85" s="39">
        <v>3500000</v>
      </c>
      <c r="E85" s="39">
        <v>3531353</v>
      </c>
      <c r="F85" s="39">
        <v>3500000</v>
      </c>
      <c r="G85" s="39" t="s">
        <v>911</v>
      </c>
      <c r="H85" s="39">
        <v>7.9675500000000001</v>
      </c>
      <c r="I85" s="39" t="s">
        <v>912</v>
      </c>
      <c r="J85" s="43">
        <v>50236</v>
      </c>
      <c r="K85" s="39">
        <v>365</v>
      </c>
      <c r="L85" s="39">
        <v>1</v>
      </c>
      <c r="M85" s="39" t="s">
        <v>1484</v>
      </c>
      <c r="N85" s="39" t="s">
        <v>910</v>
      </c>
      <c r="O85" s="39" t="s">
        <v>160</v>
      </c>
      <c r="P85" s="39">
        <v>8.7783984359999998</v>
      </c>
      <c r="Q85" s="39" t="s">
        <v>28</v>
      </c>
      <c r="R85" s="39" t="s">
        <v>33</v>
      </c>
      <c r="S85" s="39" t="s">
        <v>38</v>
      </c>
    </row>
    <row r="86" spans="1:19" x14ac:dyDescent="0.25">
      <c r="A86" s="40" t="s">
        <v>1499</v>
      </c>
      <c r="B86" s="40"/>
      <c r="C86" s="40" t="s">
        <v>913</v>
      </c>
      <c r="D86" s="40">
        <v>4800000</v>
      </c>
      <c r="E86" s="40">
        <v>4844256</v>
      </c>
      <c r="F86" s="40">
        <v>4872000</v>
      </c>
      <c r="G86" s="40" t="s">
        <v>911</v>
      </c>
      <c r="H86" s="40">
        <v>9.4675499999999992</v>
      </c>
      <c r="I86" s="40" t="s">
        <v>914</v>
      </c>
      <c r="J86" s="44">
        <v>50236</v>
      </c>
      <c r="K86" s="40">
        <v>515</v>
      </c>
      <c r="L86" s="40">
        <v>1</v>
      </c>
      <c r="M86" s="40" t="s">
        <v>1484</v>
      </c>
      <c r="N86" s="40" t="s">
        <v>913</v>
      </c>
      <c r="O86" s="40" t="s">
        <v>160</v>
      </c>
      <c r="P86" s="40">
        <v>9.1088963750000005</v>
      </c>
      <c r="Q86" s="40" t="s">
        <v>28</v>
      </c>
      <c r="R86" s="40" t="s">
        <v>33</v>
      </c>
      <c r="S86" s="40" t="s">
        <v>38</v>
      </c>
    </row>
    <row r="87" spans="1:19" x14ac:dyDescent="0.25">
      <c r="A87" s="39" t="s">
        <v>1499</v>
      </c>
      <c r="B87" s="39"/>
      <c r="C87" s="39" t="s">
        <v>658</v>
      </c>
      <c r="D87" s="39">
        <v>3000000</v>
      </c>
      <c r="E87" s="39">
        <v>3019323</v>
      </c>
      <c r="F87" s="39">
        <v>3000000</v>
      </c>
      <c r="G87" s="39" t="s">
        <v>659</v>
      </c>
      <c r="H87" s="39">
        <v>6.6254900000000001</v>
      </c>
      <c r="I87" s="39" t="s">
        <v>660</v>
      </c>
      <c r="J87" s="43">
        <v>50241</v>
      </c>
      <c r="K87" s="39">
        <v>230</v>
      </c>
      <c r="L87" s="39">
        <v>1</v>
      </c>
      <c r="M87" s="39" t="s">
        <v>1484</v>
      </c>
      <c r="N87" s="39" t="s">
        <v>658</v>
      </c>
      <c r="O87" s="39" t="s">
        <v>104</v>
      </c>
      <c r="P87" s="39">
        <v>8.2162902980000005</v>
      </c>
      <c r="Q87" s="39" t="s">
        <v>24</v>
      </c>
      <c r="R87" s="39" t="s">
        <v>33</v>
      </c>
      <c r="S87" s="39" t="s">
        <v>34</v>
      </c>
    </row>
    <row r="88" spans="1:19" x14ac:dyDescent="0.25">
      <c r="A88" s="40" t="s">
        <v>1499</v>
      </c>
      <c r="B88" s="40"/>
      <c r="C88" s="40" t="s">
        <v>996</v>
      </c>
      <c r="D88" s="40">
        <v>3000000</v>
      </c>
      <c r="E88" s="40">
        <v>3022905</v>
      </c>
      <c r="F88" s="40">
        <v>3000000</v>
      </c>
      <c r="G88" s="40" t="s">
        <v>659</v>
      </c>
      <c r="H88" s="40">
        <v>7.5754900000000003</v>
      </c>
      <c r="I88" s="40" t="s">
        <v>997</v>
      </c>
      <c r="J88" s="44">
        <v>50241</v>
      </c>
      <c r="K88" s="40">
        <v>325</v>
      </c>
      <c r="L88" s="40">
        <v>1</v>
      </c>
      <c r="M88" s="40" t="s">
        <v>1484</v>
      </c>
      <c r="N88" s="40" t="s">
        <v>996</v>
      </c>
      <c r="O88" s="40" t="s">
        <v>104</v>
      </c>
      <c r="P88" s="40">
        <v>8.8070333250000008</v>
      </c>
      <c r="Q88" s="40" t="s">
        <v>28</v>
      </c>
      <c r="R88" s="40" t="s">
        <v>33</v>
      </c>
      <c r="S88" s="40" t="s">
        <v>38</v>
      </c>
    </row>
    <row r="89" spans="1:19" x14ac:dyDescent="0.25">
      <c r="A89" s="39" t="s">
        <v>1499</v>
      </c>
      <c r="B89" s="39"/>
      <c r="C89" s="39" t="s">
        <v>945</v>
      </c>
      <c r="D89" s="39">
        <v>600000</v>
      </c>
      <c r="E89" s="39">
        <v>601180.80000000005</v>
      </c>
      <c r="F89" s="39">
        <v>600000</v>
      </c>
      <c r="G89" s="39" t="s">
        <v>649</v>
      </c>
      <c r="H89" s="39">
        <v>7.1754899999999999</v>
      </c>
      <c r="I89" s="39" t="s">
        <v>946</v>
      </c>
      <c r="J89" s="43">
        <v>49145</v>
      </c>
      <c r="K89" s="39">
        <v>285</v>
      </c>
      <c r="L89" s="39">
        <v>1</v>
      </c>
      <c r="M89" s="39" t="s">
        <v>1484</v>
      </c>
      <c r="N89" s="39" t="s">
        <v>945</v>
      </c>
      <c r="O89" s="39" t="s">
        <v>79</v>
      </c>
      <c r="P89" s="39">
        <v>5.7513620699999999</v>
      </c>
      <c r="Q89" s="39" t="s">
        <v>28</v>
      </c>
      <c r="R89" s="39" t="s">
        <v>25</v>
      </c>
      <c r="S89" s="39" t="s">
        <v>38</v>
      </c>
    </row>
    <row r="90" spans="1:19" x14ac:dyDescent="0.25">
      <c r="A90" s="40" t="s">
        <v>1499</v>
      </c>
      <c r="B90" s="40" t="s">
        <v>1530</v>
      </c>
      <c r="C90" s="40" t="s">
        <v>966</v>
      </c>
      <c r="D90" s="40">
        <v>2000000</v>
      </c>
      <c r="E90" s="40">
        <v>2009296</v>
      </c>
      <c r="F90" s="40">
        <v>1994500</v>
      </c>
      <c r="G90" s="40" t="s">
        <v>649</v>
      </c>
      <c r="H90" s="40">
        <v>7.7791600000000001</v>
      </c>
      <c r="I90" s="40" t="s">
        <v>967</v>
      </c>
      <c r="J90" s="44">
        <v>49232</v>
      </c>
      <c r="K90" s="40">
        <v>346.161</v>
      </c>
      <c r="L90" s="40">
        <v>1</v>
      </c>
      <c r="M90" s="40" t="s">
        <v>1484</v>
      </c>
      <c r="N90" s="40" t="s">
        <v>966</v>
      </c>
      <c r="O90" s="40" t="s">
        <v>79</v>
      </c>
      <c r="P90" s="40">
        <v>6.2373314479999999</v>
      </c>
      <c r="Q90" s="40" t="s">
        <v>28</v>
      </c>
      <c r="R90" s="40" t="s">
        <v>29</v>
      </c>
      <c r="S90" s="40" t="s">
        <v>38</v>
      </c>
    </row>
    <row r="91" spans="1:19" x14ac:dyDescent="0.25">
      <c r="A91" s="39" t="s">
        <v>1499</v>
      </c>
      <c r="B91" s="39"/>
      <c r="C91" s="39" t="s">
        <v>966</v>
      </c>
      <c r="D91" s="39">
        <v>779187</v>
      </c>
      <c r="E91" s="39">
        <v>782808.66</v>
      </c>
      <c r="F91" s="39">
        <v>779187</v>
      </c>
      <c r="G91" s="39" t="s">
        <v>649</v>
      </c>
      <c r="H91" s="39">
        <v>7.7791600000000001</v>
      </c>
      <c r="I91" s="39" t="s">
        <v>967</v>
      </c>
      <c r="J91" s="43">
        <v>49232</v>
      </c>
      <c r="K91" s="39">
        <v>346.161</v>
      </c>
      <c r="L91" s="39">
        <v>1</v>
      </c>
      <c r="M91" s="39" t="s">
        <v>1484</v>
      </c>
      <c r="N91" s="39" t="s">
        <v>966</v>
      </c>
      <c r="O91" s="39" t="s">
        <v>79</v>
      </c>
      <c r="P91" s="39">
        <v>6.2373314479999999</v>
      </c>
      <c r="Q91" s="39" t="s">
        <v>28</v>
      </c>
      <c r="R91" s="39" t="s">
        <v>29</v>
      </c>
      <c r="S91" s="39" t="s">
        <v>38</v>
      </c>
    </row>
    <row r="92" spans="1:19" x14ac:dyDescent="0.25">
      <c r="A92" s="40" t="s">
        <v>1499</v>
      </c>
      <c r="B92" s="40" t="s">
        <v>1530</v>
      </c>
      <c r="C92" s="40" t="s">
        <v>966</v>
      </c>
      <c r="D92" s="40">
        <v>779812</v>
      </c>
      <c r="E92" s="40">
        <v>783436.57</v>
      </c>
      <c r="F92" s="40">
        <v>779812</v>
      </c>
      <c r="G92" s="40" t="s">
        <v>649</v>
      </c>
      <c r="H92" s="40">
        <v>7.7791600000000001</v>
      </c>
      <c r="I92" s="40" t="s">
        <v>967</v>
      </c>
      <c r="J92" s="44">
        <v>49232</v>
      </c>
      <c r="K92" s="40">
        <v>346.161</v>
      </c>
      <c r="L92" s="40">
        <v>1</v>
      </c>
      <c r="M92" s="40" t="s">
        <v>1484</v>
      </c>
      <c r="N92" s="40" t="s">
        <v>966</v>
      </c>
      <c r="O92" s="40" t="s">
        <v>79</v>
      </c>
      <c r="P92" s="40">
        <v>6.2373314479999999</v>
      </c>
      <c r="Q92" s="40" t="s">
        <v>28</v>
      </c>
      <c r="R92" s="40" t="s">
        <v>29</v>
      </c>
      <c r="S92" s="40" t="s">
        <v>38</v>
      </c>
    </row>
    <row r="93" spans="1:19" x14ac:dyDescent="0.25">
      <c r="A93" s="39" t="s">
        <v>1499</v>
      </c>
      <c r="B93" s="39" t="s">
        <v>1530</v>
      </c>
      <c r="C93" s="39" t="s">
        <v>966</v>
      </c>
      <c r="D93" s="39">
        <v>350000</v>
      </c>
      <c r="E93" s="39">
        <v>351626.8</v>
      </c>
      <c r="F93" s="39">
        <v>351288.57</v>
      </c>
      <c r="G93" s="39" t="s">
        <v>649</v>
      </c>
      <c r="H93" s="39">
        <v>7.7791600000000001</v>
      </c>
      <c r="I93" s="39" t="s">
        <v>967</v>
      </c>
      <c r="J93" s="43">
        <v>49232</v>
      </c>
      <c r="K93" s="39">
        <v>346.161</v>
      </c>
      <c r="L93" s="39">
        <v>1</v>
      </c>
      <c r="M93" s="39" t="s">
        <v>1484</v>
      </c>
      <c r="N93" s="39" t="s">
        <v>966</v>
      </c>
      <c r="O93" s="39" t="s">
        <v>79</v>
      </c>
      <c r="P93" s="39">
        <v>6.2373314479999999</v>
      </c>
      <c r="Q93" s="39" t="s">
        <v>28</v>
      </c>
      <c r="R93" s="39" t="s">
        <v>29</v>
      </c>
      <c r="S93" s="39" t="s">
        <v>38</v>
      </c>
    </row>
    <row r="94" spans="1:19" x14ac:dyDescent="0.25">
      <c r="A94" s="40" t="s">
        <v>1499</v>
      </c>
      <c r="B94" s="40"/>
      <c r="C94" s="40" t="s">
        <v>966</v>
      </c>
      <c r="D94" s="40">
        <v>350001</v>
      </c>
      <c r="E94" s="40">
        <v>351627.8</v>
      </c>
      <c r="F94" s="40">
        <v>351213.69</v>
      </c>
      <c r="G94" s="40" t="s">
        <v>649</v>
      </c>
      <c r="H94" s="40">
        <v>7.7791600000000001</v>
      </c>
      <c r="I94" s="40" t="s">
        <v>967</v>
      </c>
      <c r="J94" s="44">
        <v>49232</v>
      </c>
      <c r="K94" s="40">
        <v>346.161</v>
      </c>
      <c r="L94" s="40">
        <v>1</v>
      </c>
      <c r="M94" s="40" t="s">
        <v>1484</v>
      </c>
      <c r="N94" s="40" t="s">
        <v>966</v>
      </c>
      <c r="O94" s="40" t="s">
        <v>79</v>
      </c>
      <c r="P94" s="40">
        <v>6.2373314479999999</v>
      </c>
      <c r="Q94" s="40" t="s">
        <v>28</v>
      </c>
      <c r="R94" s="40" t="s">
        <v>29</v>
      </c>
      <c r="S94" s="40" t="s">
        <v>38</v>
      </c>
    </row>
    <row r="95" spans="1:19" x14ac:dyDescent="0.25">
      <c r="A95" s="39" t="s">
        <v>1499</v>
      </c>
      <c r="B95" s="39"/>
      <c r="C95" s="39" t="s">
        <v>962</v>
      </c>
      <c r="D95" s="39">
        <v>5600000</v>
      </c>
      <c r="E95" s="39">
        <v>5609884</v>
      </c>
      <c r="F95" s="39">
        <v>5600000</v>
      </c>
      <c r="G95" s="39" t="s">
        <v>649</v>
      </c>
      <c r="H95" s="39">
        <v>7.1175499999999996</v>
      </c>
      <c r="I95" s="39" t="s">
        <v>963</v>
      </c>
      <c r="J95" s="43">
        <v>50420</v>
      </c>
      <c r="K95" s="39">
        <v>280</v>
      </c>
      <c r="L95" s="39">
        <v>1</v>
      </c>
      <c r="M95" s="39" t="s">
        <v>1484</v>
      </c>
      <c r="N95" s="39" t="s">
        <v>962</v>
      </c>
      <c r="O95" s="39" t="s">
        <v>79</v>
      </c>
      <c r="P95" s="39">
        <v>9.2116972350000008</v>
      </c>
      <c r="Q95" s="39" t="s">
        <v>28</v>
      </c>
      <c r="R95" s="39" t="s">
        <v>33</v>
      </c>
      <c r="S95" s="39" t="s">
        <v>38</v>
      </c>
    </row>
    <row r="96" spans="1:19" x14ac:dyDescent="0.25">
      <c r="A96" s="40" t="s">
        <v>1499</v>
      </c>
      <c r="B96" s="40"/>
      <c r="C96" s="40" t="s">
        <v>948</v>
      </c>
      <c r="D96" s="40">
        <v>5750000</v>
      </c>
      <c r="E96" s="40">
        <v>5767710</v>
      </c>
      <c r="F96" s="40">
        <v>5750000</v>
      </c>
      <c r="G96" s="40" t="s">
        <v>649</v>
      </c>
      <c r="H96" s="40">
        <v>7.5254899999999996</v>
      </c>
      <c r="I96" s="40" t="s">
        <v>949</v>
      </c>
      <c r="J96" s="44">
        <v>50334</v>
      </c>
      <c r="K96" s="40">
        <v>320</v>
      </c>
      <c r="L96" s="40">
        <v>1</v>
      </c>
      <c r="M96" s="40" t="s">
        <v>1484</v>
      </c>
      <c r="N96" s="40" t="s">
        <v>948</v>
      </c>
      <c r="O96" s="40" t="s">
        <v>79</v>
      </c>
      <c r="P96" s="40">
        <v>8.9596891700000008</v>
      </c>
      <c r="Q96" s="40" t="s">
        <v>28</v>
      </c>
      <c r="R96" s="40" t="s">
        <v>33</v>
      </c>
      <c r="S96" s="40" t="s">
        <v>38</v>
      </c>
    </row>
    <row r="97" spans="1:19" x14ac:dyDescent="0.25">
      <c r="A97" s="39" t="s">
        <v>1499</v>
      </c>
      <c r="B97" s="39"/>
      <c r="C97" s="39" t="s">
        <v>956</v>
      </c>
      <c r="D97" s="39">
        <v>2000000</v>
      </c>
      <c r="E97" s="39">
        <v>2009202</v>
      </c>
      <c r="F97" s="39">
        <v>1906500</v>
      </c>
      <c r="G97" s="39" t="s">
        <v>649</v>
      </c>
      <c r="H97" s="39">
        <v>7.7800700000000003</v>
      </c>
      <c r="I97" s="39" t="s">
        <v>957</v>
      </c>
      <c r="J97" s="43">
        <v>49334</v>
      </c>
      <c r="K97" s="39">
        <v>346.161</v>
      </c>
      <c r="L97" s="39">
        <v>1</v>
      </c>
      <c r="M97" s="39" t="s">
        <v>1484</v>
      </c>
      <c r="N97" s="39" t="s">
        <v>956</v>
      </c>
      <c r="O97" s="39" t="s">
        <v>79</v>
      </c>
      <c r="P97" s="39">
        <v>6.3997852760000002</v>
      </c>
      <c r="Q97" s="39" t="s">
        <v>28</v>
      </c>
      <c r="R97" s="39" t="s">
        <v>29</v>
      </c>
      <c r="S97" s="39" t="s">
        <v>38</v>
      </c>
    </row>
    <row r="98" spans="1:19" x14ac:dyDescent="0.25">
      <c r="A98" s="40" t="s">
        <v>1499</v>
      </c>
      <c r="B98" s="40"/>
      <c r="C98" s="40" t="s">
        <v>950</v>
      </c>
      <c r="D98" s="40">
        <v>4000000</v>
      </c>
      <c r="E98" s="40">
        <v>4013176</v>
      </c>
      <c r="F98" s="40">
        <v>4000000</v>
      </c>
      <c r="G98" s="40" t="s">
        <v>649</v>
      </c>
      <c r="H98" s="40">
        <v>7.4223999999999997</v>
      </c>
      <c r="I98" s="40" t="s">
        <v>951</v>
      </c>
      <c r="J98" s="44">
        <v>50330</v>
      </c>
      <c r="K98" s="40">
        <v>310</v>
      </c>
      <c r="L98" s="40">
        <v>1</v>
      </c>
      <c r="M98" s="40" t="s">
        <v>1484</v>
      </c>
      <c r="N98" s="40" t="s">
        <v>950</v>
      </c>
      <c r="O98" s="40" t="s">
        <v>79</v>
      </c>
      <c r="P98" s="40">
        <v>9.0108154599999999</v>
      </c>
      <c r="Q98" s="40" t="s">
        <v>28</v>
      </c>
      <c r="R98" s="40" t="s">
        <v>33</v>
      </c>
      <c r="S98" s="40" t="s">
        <v>38</v>
      </c>
    </row>
    <row r="99" spans="1:19" x14ac:dyDescent="0.25">
      <c r="A99" s="39" t="s">
        <v>1499</v>
      </c>
      <c r="B99" s="39"/>
      <c r="C99" s="39" t="s">
        <v>952</v>
      </c>
      <c r="D99" s="39">
        <v>4250000</v>
      </c>
      <c r="E99" s="39">
        <v>4293452</v>
      </c>
      <c r="F99" s="39">
        <v>4262750</v>
      </c>
      <c r="G99" s="39" t="s">
        <v>649</v>
      </c>
      <c r="H99" s="39">
        <v>7.9371</v>
      </c>
      <c r="I99" s="39" t="s">
        <v>953</v>
      </c>
      <c r="J99" s="43">
        <v>47958</v>
      </c>
      <c r="K99" s="39">
        <v>361.161</v>
      </c>
      <c r="L99" s="39">
        <v>1</v>
      </c>
      <c r="M99" s="39" t="s">
        <v>1484</v>
      </c>
      <c r="N99" s="39" t="s">
        <v>952</v>
      </c>
      <c r="O99" s="39" t="s">
        <v>79</v>
      </c>
      <c r="P99" s="39">
        <v>3.977338697</v>
      </c>
      <c r="Q99" s="39" t="s">
        <v>28</v>
      </c>
      <c r="R99" s="39" t="s">
        <v>22</v>
      </c>
      <c r="S99" s="39" t="s">
        <v>38</v>
      </c>
    </row>
    <row r="100" spans="1:19" x14ac:dyDescent="0.25">
      <c r="A100" s="40" t="s">
        <v>1499</v>
      </c>
      <c r="B100" s="40"/>
      <c r="C100" s="40" t="s">
        <v>651</v>
      </c>
      <c r="D100" s="40">
        <v>4700000</v>
      </c>
      <c r="E100" s="40">
        <v>4722033.5999999996</v>
      </c>
      <c r="F100" s="40">
        <v>4700000</v>
      </c>
      <c r="G100" s="40" t="s">
        <v>649</v>
      </c>
      <c r="H100" s="40">
        <v>6.3175499999999998</v>
      </c>
      <c r="I100" s="40" t="s">
        <v>652</v>
      </c>
      <c r="J100" s="44">
        <v>51150</v>
      </c>
      <c r="K100" s="40">
        <v>200</v>
      </c>
      <c r="L100" s="40">
        <v>1</v>
      </c>
      <c r="M100" s="40" t="s">
        <v>1484</v>
      </c>
      <c r="N100" s="40" t="s">
        <v>651</v>
      </c>
      <c r="O100" s="40" t="s">
        <v>79</v>
      </c>
      <c r="P100" s="40">
        <v>8.6852708710000002</v>
      </c>
      <c r="Q100" s="40" t="s">
        <v>24</v>
      </c>
      <c r="R100" s="40" t="s">
        <v>33</v>
      </c>
      <c r="S100" s="40" t="s">
        <v>34</v>
      </c>
    </row>
    <row r="101" spans="1:19" x14ac:dyDescent="0.25">
      <c r="A101" s="39" t="s">
        <v>1499</v>
      </c>
      <c r="B101" s="39"/>
      <c r="C101" s="39" t="s">
        <v>964</v>
      </c>
      <c r="D101" s="39">
        <v>5360000</v>
      </c>
      <c r="E101" s="39">
        <v>5371850.96</v>
      </c>
      <c r="F101" s="39">
        <v>5360000</v>
      </c>
      <c r="G101" s="39" t="s">
        <v>649</v>
      </c>
      <c r="H101" s="39">
        <v>7.3175499999999998</v>
      </c>
      <c r="I101" s="39" t="s">
        <v>965</v>
      </c>
      <c r="J101" s="43">
        <v>51241</v>
      </c>
      <c r="K101" s="39">
        <v>300</v>
      </c>
      <c r="L101" s="39">
        <v>1</v>
      </c>
      <c r="M101" s="39" t="s">
        <v>1484</v>
      </c>
      <c r="N101" s="39" t="s">
        <v>964</v>
      </c>
      <c r="O101" s="39" t="s">
        <v>79</v>
      </c>
      <c r="P101" s="39">
        <v>9.0139624010000006</v>
      </c>
      <c r="Q101" s="39" t="s">
        <v>28</v>
      </c>
      <c r="R101" s="39" t="s">
        <v>33</v>
      </c>
      <c r="S101" s="39" t="s">
        <v>38</v>
      </c>
    </row>
    <row r="102" spans="1:19" x14ac:dyDescent="0.25">
      <c r="A102" s="40" t="s">
        <v>1499</v>
      </c>
      <c r="B102" s="40"/>
      <c r="C102" s="40" t="s">
        <v>648</v>
      </c>
      <c r="D102" s="40">
        <v>1400000</v>
      </c>
      <c r="E102" s="40">
        <v>1406069</v>
      </c>
      <c r="F102" s="40">
        <v>1400000</v>
      </c>
      <c r="G102" s="40" t="s">
        <v>649</v>
      </c>
      <c r="H102" s="40">
        <v>6.2254899999999997</v>
      </c>
      <c r="I102" s="40" t="s">
        <v>650</v>
      </c>
      <c r="J102" s="44">
        <v>50425</v>
      </c>
      <c r="K102" s="40">
        <v>190</v>
      </c>
      <c r="L102" s="40">
        <v>1</v>
      </c>
      <c r="M102" s="40" t="s">
        <v>1484</v>
      </c>
      <c r="N102" s="40" t="s">
        <v>648</v>
      </c>
      <c r="O102" s="40" t="s">
        <v>79</v>
      </c>
      <c r="P102" s="40">
        <v>8.7343042020000006</v>
      </c>
      <c r="Q102" s="40" t="s">
        <v>24</v>
      </c>
      <c r="R102" s="40" t="s">
        <v>33</v>
      </c>
      <c r="S102" s="40" t="s">
        <v>34</v>
      </c>
    </row>
    <row r="103" spans="1:19" x14ac:dyDescent="0.25">
      <c r="A103" s="39" t="s">
        <v>1499</v>
      </c>
      <c r="B103" s="39"/>
      <c r="C103" s="39" t="s">
        <v>958</v>
      </c>
      <c r="D103" s="39">
        <v>6100000</v>
      </c>
      <c r="E103" s="39">
        <v>6111590</v>
      </c>
      <c r="F103" s="39">
        <v>6100000</v>
      </c>
      <c r="G103" s="39" t="s">
        <v>649</v>
      </c>
      <c r="H103" s="39">
        <v>7.1754899999999999</v>
      </c>
      <c r="I103" s="39" t="s">
        <v>959</v>
      </c>
      <c r="J103" s="43">
        <v>50425</v>
      </c>
      <c r="K103" s="39">
        <v>285</v>
      </c>
      <c r="L103" s="39">
        <v>1</v>
      </c>
      <c r="M103" s="39" t="s">
        <v>1484</v>
      </c>
      <c r="N103" s="39" t="s">
        <v>958</v>
      </c>
      <c r="O103" s="39" t="s">
        <v>79</v>
      </c>
      <c r="P103" s="39">
        <v>9.2623294180000002</v>
      </c>
      <c r="Q103" s="39" t="s">
        <v>28</v>
      </c>
      <c r="R103" s="39" t="s">
        <v>33</v>
      </c>
      <c r="S103" s="39" t="s">
        <v>38</v>
      </c>
    </row>
    <row r="104" spans="1:19" x14ac:dyDescent="0.25">
      <c r="A104" s="40" t="s">
        <v>1499</v>
      </c>
      <c r="B104" s="40"/>
      <c r="C104" s="40" t="s">
        <v>954</v>
      </c>
      <c r="D104" s="40">
        <v>5225123</v>
      </c>
      <c r="E104" s="40">
        <v>5238091.76</v>
      </c>
      <c r="F104" s="40">
        <v>5225123</v>
      </c>
      <c r="G104" s="40" t="s">
        <v>649</v>
      </c>
      <c r="H104" s="40">
        <v>6.9754899999999997</v>
      </c>
      <c r="I104" s="40" t="s">
        <v>955</v>
      </c>
      <c r="J104" s="44">
        <v>50425</v>
      </c>
      <c r="K104" s="40">
        <v>265</v>
      </c>
      <c r="L104" s="40">
        <v>1</v>
      </c>
      <c r="M104" s="40" t="s">
        <v>1484</v>
      </c>
      <c r="N104" s="40" t="s">
        <v>954</v>
      </c>
      <c r="O104" s="40" t="s">
        <v>79</v>
      </c>
      <c r="P104" s="40">
        <v>9.2559145669999996</v>
      </c>
      <c r="Q104" s="40" t="s">
        <v>28</v>
      </c>
      <c r="R104" s="40" t="s">
        <v>33</v>
      </c>
      <c r="S104" s="40" t="s">
        <v>34</v>
      </c>
    </row>
    <row r="105" spans="1:19" x14ac:dyDescent="0.25">
      <c r="A105" s="39" t="s">
        <v>1499</v>
      </c>
      <c r="B105" s="39" t="s">
        <v>1530</v>
      </c>
      <c r="C105" s="39" t="s">
        <v>960</v>
      </c>
      <c r="D105" s="39">
        <v>22225195</v>
      </c>
      <c r="E105" s="39">
        <v>22226306.260000002</v>
      </c>
      <c r="F105" s="39">
        <v>22225195</v>
      </c>
      <c r="G105" s="39" t="s">
        <v>649</v>
      </c>
      <c r="H105" s="39">
        <v>7.4371</v>
      </c>
      <c r="I105" s="39" t="s">
        <v>961</v>
      </c>
      <c r="J105" s="43">
        <v>49145</v>
      </c>
      <c r="K105" s="39">
        <v>311.161</v>
      </c>
      <c r="L105" s="39">
        <v>1</v>
      </c>
      <c r="M105" s="39" t="s">
        <v>1484</v>
      </c>
      <c r="N105" s="39" t="s">
        <v>960</v>
      </c>
      <c r="O105" s="39" t="s">
        <v>79</v>
      </c>
      <c r="P105" s="39">
        <v>6.0425476720000004</v>
      </c>
      <c r="Q105" s="39" t="s">
        <v>28</v>
      </c>
      <c r="R105" s="39" t="s">
        <v>29</v>
      </c>
      <c r="S105" s="39" t="s">
        <v>38</v>
      </c>
    </row>
    <row r="106" spans="1:19" x14ac:dyDescent="0.25">
      <c r="A106" s="40" t="s">
        <v>1499</v>
      </c>
      <c r="B106" s="40"/>
      <c r="C106" s="40" t="s">
        <v>968</v>
      </c>
      <c r="D106" s="40">
        <v>4000000</v>
      </c>
      <c r="E106" s="40">
        <v>4017164</v>
      </c>
      <c r="F106" s="40">
        <v>3920000</v>
      </c>
      <c r="G106" s="40" t="s">
        <v>649</v>
      </c>
      <c r="H106" s="40">
        <v>8.4184599999999996</v>
      </c>
      <c r="I106" s="40" t="s">
        <v>969</v>
      </c>
      <c r="J106" s="44">
        <v>49973</v>
      </c>
      <c r="K106" s="40">
        <v>410</v>
      </c>
      <c r="L106" s="40">
        <v>1</v>
      </c>
      <c r="M106" s="40" t="s">
        <v>1484</v>
      </c>
      <c r="N106" s="40" t="s">
        <v>968</v>
      </c>
      <c r="O106" s="40" t="s">
        <v>79</v>
      </c>
      <c r="P106" s="40">
        <v>7.9298229300000003</v>
      </c>
      <c r="Q106" s="40" t="s">
        <v>28</v>
      </c>
      <c r="R106" s="40" t="s">
        <v>29</v>
      </c>
      <c r="S106" s="40" t="s">
        <v>38</v>
      </c>
    </row>
    <row r="107" spans="1:19" x14ac:dyDescent="0.25">
      <c r="A107" s="39" t="s">
        <v>1499</v>
      </c>
      <c r="B107" s="39"/>
      <c r="C107" s="39" t="s">
        <v>933</v>
      </c>
      <c r="D107" s="39">
        <v>6745000</v>
      </c>
      <c r="E107" s="39">
        <v>6782353.8099999996</v>
      </c>
      <c r="F107" s="39">
        <v>6745000</v>
      </c>
      <c r="G107" s="39" t="s">
        <v>117</v>
      </c>
      <c r="H107" s="39">
        <v>7.4754899999999997</v>
      </c>
      <c r="I107" s="39" t="s">
        <v>934</v>
      </c>
      <c r="J107" s="43">
        <v>50425</v>
      </c>
      <c r="K107" s="39">
        <v>315</v>
      </c>
      <c r="L107" s="39">
        <v>1</v>
      </c>
      <c r="M107" s="39" t="s">
        <v>1484</v>
      </c>
      <c r="N107" s="39" t="s">
        <v>933</v>
      </c>
      <c r="O107" s="39" t="s">
        <v>79</v>
      </c>
      <c r="P107" s="39">
        <v>9.1484261320000009</v>
      </c>
      <c r="Q107" s="39" t="s">
        <v>28</v>
      </c>
      <c r="R107" s="39" t="s">
        <v>33</v>
      </c>
      <c r="S107" s="39" t="s">
        <v>38</v>
      </c>
    </row>
    <row r="108" spans="1:19" x14ac:dyDescent="0.25">
      <c r="A108" s="40" t="s">
        <v>1499</v>
      </c>
      <c r="B108" s="40"/>
      <c r="C108" s="40" t="s">
        <v>939</v>
      </c>
      <c r="D108" s="40">
        <v>4000000</v>
      </c>
      <c r="E108" s="40">
        <v>4024340</v>
      </c>
      <c r="F108" s="40">
        <v>4000000</v>
      </c>
      <c r="G108" s="40" t="s">
        <v>940</v>
      </c>
      <c r="H108" s="40">
        <v>9.3175500000000007</v>
      </c>
      <c r="I108" s="40" t="s">
        <v>941</v>
      </c>
      <c r="J108" s="44">
        <v>49780</v>
      </c>
      <c r="K108" s="40">
        <v>500</v>
      </c>
      <c r="L108" s="40">
        <v>1</v>
      </c>
      <c r="M108" s="40" t="s">
        <v>1484</v>
      </c>
      <c r="N108" s="40" t="s">
        <v>939</v>
      </c>
      <c r="O108" s="40" t="s">
        <v>161</v>
      </c>
      <c r="P108" s="40">
        <v>6.9978669279999997</v>
      </c>
      <c r="Q108" s="40" t="s">
        <v>28</v>
      </c>
      <c r="R108" s="40" t="s">
        <v>29</v>
      </c>
      <c r="S108" s="40" t="s">
        <v>38</v>
      </c>
    </row>
    <row r="109" spans="1:19" x14ac:dyDescent="0.25">
      <c r="A109" s="39" t="s">
        <v>1499</v>
      </c>
      <c r="B109" s="39"/>
      <c r="C109" s="39" t="s">
        <v>992</v>
      </c>
      <c r="D109" s="39">
        <v>1000000</v>
      </c>
      <c r="E109" s="39">
        <v>1008749</v>
      </c>
      <c r="F109" s="39">
        <v>1000000</v>
      </c>
      <c r="G109" s="39" t="s">
        <v>971</v>
      </c>
      <c r="H109" s="39">
        <v>7.8319900000000002</v>
      </c>
      <c r="I109" s="39" t="s">
        <v>993</v>
      </c>
      <c r="J109" s="43">
        <v>50152</v>
      </c>
      <c r="K109" s="39">
        <v>350</v>
      </c>
      <c r="L109" s="39">
        <v>1</v>
      </c>
      <c r="M109" s="39" t="s">
        <v>1484</v>
      </c>
      <c r="N109" s="39" t="s">
        <v>992</v>
      </c>
      <c r="O109" s="39" t="s">
        <v>159</v>
      </c>
      <c r="P109" s="39">
        <v>8.575975369</v>
      </c>
      <c r="Q109" s="39" t="s">
        <v>28</v>
      </c>
      <c r="R109" s="39" t="s">
        <v>33</v>
      </c>
      <c r="S109" s="39" t="s">
        <v>38</v>
      </c>
    </row>
    <row r="110" spans="1:19" x14ac:dyDescent="0.25">
      <c r="A110" s="40" t="s">
        <v>1499</v>
      </c>
      <c r="B110" s="40" t="s">
        <v>1530</v>
      </c>
      <c r="C110" s="40" t="s">
        <v>661</v>
      </c>
      <c r="D110" s="40">
        <v>2555000</v>
      </c>
      <c r="E110" s="40">
        <v>2561660.89</v>
      </c>
      <c r="F110" s="40">
        <v>2555000</v>
      </c>
      <c r="G110" s="40" t="s">
        <v>662</v>
      </c>
      <c r="H110" s="40">
        <v>6.9870999999999999</v>
      </c>
      <c r="I110" s="40" t="s">
        <v>663</v>
      </c>
      <c r="J110" s="44">
        <v>48141</v>
      </c>
      <c r="K110" s="40">
        <v>266.161</v>
      </c>
      <c r="L110" s="40">
        <v>1</v>
      </c>
      <c r="M110" s="40" t="s">
        <v>1484</v>
      </c>
      <c r="N110" s="40" t="s">
        <v>661</v>
      </c>
      <c r="O110" s="40" t="s">
        <v>162</v>
      </c>
      <c r="P110" s="40">
        <v>2.7162138109999998</v>
      </c>
      <c r="Q110" s="40" t="s">
        <v>24</v>
      </c>
      <c r="R110" s="40" t="s">
        <v>22</v>
      </c>
      <c r="S110" s="40" t="s">
        <v>34</v>
      </c>
    </row>
    <row r="111" spans="1:19" x14ac:dyDescent="0.25">
      <c r="A111" s="39" t="s">
        <v>1499</v>
      </c>
      <c r="B111" s="39"/>
      <c r="C111" s="39" t="s">
        <v>1002</v>
      </c>
      <c r="D111" s="39">
        <v>11000000</v>
      </c>
      <c r="E111" s="39">
        <v>11054725</v>
      </c>
      <c r="F111" s="39">
        <v>11099000</v>
      </c>
      <c r="G111" s="39" t="s">
        <v>264</v>
      </c>
      <c r="H111" s="39">
        <v>8.8263300000000005</v>
      </c>
      <c r="I111" s="39" t="s">
        <v>1003</v>
      </c>
      <c r="J111" s="43">
        <v>49994</v>
      </c>
      <c r="K111" s="39">
        <v>450</v>
      </c>
      <c r="L111" s="39">
        <v>1</v>
      </c>
      <c r="M111" s="39" t="s">
        <v>1484</v>
      </c>
      <c r="N111" s="39" t="s">
        <v>1002</v>
      </c>
      <c r="O111" s="39" t="s">
        <v>80</v>
      </c>
      <c r="P111" s="39">
        <v>8.2381918269999996</v>
      </c>
      <c r="Q111" s="39" t="s">
        <v>28</v>
      </c>
      <c r="R111" s="39" t="s">
        <v>33</v>
      </c>
      <c r="S111" s="39" t="s">
        <v>38</v>
      </c>
    </row>
    <row r="112" spans="1:19" x14ac:dyDescent="0.25">
      <c r="A112" s="40" t="s">
        <v>1499</v>
      </c>
      <c r="B112" s="40"/>
      <c r="C112" s="40" t="s">
        <v>998</v>
      </c>
      <c r="D112" s="40">
        <v>1665691</v>
      </c>
      <c r="E112" s="40">
        <v>1665774.28</v>
      </c>
      <c r="F112" s="40">
        <v>1515205.81</v>
      </c>
      <c r="G112" s="40" t="s">
        <v>264</v>
      </c>
      <c r="H112" s="40">
        <v>7.5335999999999999</v>
      </c>
      <c r="I112" s="40" t="s">
        <v>999</v>
      </c>
      <c r="J112" s="44">
        <v>49084</v>
      </c>
      <c r="K112" s="40">
        <v>321.161</v>
      </c>
      <c r="L112" s="40">
        <v>1</v>
      </c>
      <c r="M112" s="40" t="s">
        <v>1484</v>
      </c>
      <c r="N112" s="40" t="s">
        <v>998</v>
      </c>
      <c r="O112" s="40" t="s">
        <v>80</v>
      </c>
      <c r="P112" s="40">
        <v>6.1379226170000001</v>
      </c>
      <c r="Q112" s="40" t="s">
        <v>28</v>
      </c>
      <c r="R112" s="40" t="s">
        <v>29</v>
      </c>
      <c r="S112" s="40" t="s">
        <v>38</v>
      </c>
    </row>
    <row r="113" spans="1:19" x14ac:dyDescent="0.25">
      <c r="A113" s="39" t="s">
        <v>1499</v>
      </c>
      <c r="B113" s="39"/>
      <c r="C113" s="39" t="s">
        <v>459</v>
      </c>
      <c r="D113" s="39">
        <v>4500000</v>
      </c>
      <c r="E113" s="39">
        <v>4516875</v>
      </c>
      <c r="F113" s="39">
        <v>4500000</v>
      </c>
      <c r="G113" s="39" t="s">
        <v>264</v>
      </c>
      <c r="H113" s="39">
        <v>0</v>
      </c>
      <c r="I113" s="39" t="s">
        <v>458</v>
      </c>
      <c r="J113" s="43">
        <v>50637</v>
      </c>
      <c r="K113" s="39">
        <v>315</v>
      </c>
      <c r="L113" s="39">
        <v>1</v>
      </c>
      <c r="M113" s="39" t="s">
        <v>1484</v>
      </c>
      <c r="N113" s="39" t="s">
        <v>459</v>
      </c>
      <c r="O113" s="39" t="s">
        <v>80</v>
      </c>
      <c r="P113" s="39">
        <v>0</v>
      </c>
      <c r="Q113" s="39" t="s">
        <v>28</v>
      </c>
      <c r="R113" s="39" t="s">
        <v>18</v>
      </c>
      <c r="S113" s="39" t="s">
        <v>19</v>
      </c>
    </row>
    <row r="114" spans="1:19" x14ac:dyDescent="0.25">
      <c r="A114" s="40" t="s">
        <v>1499</v>
      </c>
      <c r="B114" s="40"/>
      <c r="C114" s="40" t="s">
        <v>1008</v>
      </c>
      <c r="D114" s="40">
        <v>4500000</v>
      </c>
      <c r="E114" s="40">
        <v>4539055.5</v>
      </c>
      <c r="F114" s="40">
        <v>4500000</v>
      </c>
      <c r="G114" s="40" t="s">
        <v>264</v>
      </c>
      <c r="H114" s="40">
        <v>8.1289999999999996</v>
      </c>
      <c r="I114" s="40" t="s">
        <v>1009</v>
      </c>
      <c r="J114" s="44">
        <v>50148</v>
      </c>
      <c r="K114" s="40">
        <v>380</v>
      </c>
      <c r="L114" s="40">
        <v>1</v>
      </c>
      <c r="M114" s="40" t="s">
        <v>1484</v>
      </c>
      <c r="N114" s="40" t="s">
        <v>1008</v>
      </c>
      <c r="O114" s="40" t="s">
        <v>80</v>
      </c>
      <c r="P114" s="40">
        <v>8.5893551010000007</v>
      </c>
      <c r="Q114" s="40" t="s">
        <v>28</v>
      </c>
      <c r="R114" s="40" t="s">
        <v>33</v>
      </c>
      <c r="S114" s="40" t="s">
        <v>38</v>
      </c>
    </row>
    <row r="115" spans="1:19" x14ac:dyDescent="0.25">
      <c r="A115" s="39" t="s">
        <v>1499</v>
      </c>
      <c r="B115" s="39"/>
      <c r="C115" s="39" t="s">
        <v>664</v>
      </c>
      <c r="D115" s="39">
        <v>2500000</v>
      </c>
      <c r="E115" s="39">
        <v>2506807.5</v>
      </c>
      <c r="F115" s="39">
        <v>2500000</v>
      </c>
      <c r="G115" s="39" t="s">
        <v>264</v>
      </c>
      <c r="H115" s="39">
        <v>6.2175500000000001</v>
      </c>
      <c r="I115" s="39" t="s">
        <v>665</v>
      </c>
      <c r="J115" s="43">
        <v>50328</v>
      </c>
      <c r="K115" s="39">
        <v>190</v>
      </c>
      <c r="L115" s="39">
        <v>1</v>
      </c>
      <c r="M115" s="39" t="s">
        <v>1484</v>
      </c>
      <c r="N115" s="39" t="s">
        <v>664</v>
      </c>
      <c r="O115" s="39" t="s">
        <v>80</v>
      </c>
      <c r="P115" s="39">
        <v>6.4836267349999996</v>
      </c>
      <c r="Q115" s="39" t="s">
        <v>24</v>
      </c>
      <c r="R115" s="39" t="s">
        <v>29</v>
      </c>
      <c r="S115" s="39" t="s">
        <v>34</v>
      </c>
    </row>
    <row r="116" spans="1:19" x14ac:dyDescent="0.25">
      <c r="A116" s="40" t="s">
        <v>1499</v>
      </c>
      <c r="B116" s="40"/>
      <c r="C116" s="40" t="s">
        <v>1004</v>
      </c>
      <c r="D116" s="40">
        <v>5250000</v>
      </c>
      <c r="E116" s="40">
        <v>5257376.25</v>
      </c>
      <c r="F116" s="40">
        <v>5250000</v>
      </c>
      <c r="G116" s="40" t="s">
        <v>264</v>
      </c>
      <c r="H116" s="40">
        <v>7.4175500000000003</v>
      </c>
      <c r="I116" s="40" t="s">
        <v>1005</v>
      </c>
      <c r="J116" s="44">
        <v>50328</v>
      </c>
      <c r="K116" s="40">
        <v>310</v>
      </c>
      <c r="L116" s="40">
        <v>1</v>
      </c>
      <c r="M116" s="40" t="s">
        <v>1484</v>
      </c>
      <c r="N116" s="40" t="s">
        <v>1004</v>
      </c>
      <c r="O116" s="40" t="s">
        <v>80</v>
      </c>
      <c r="P116" s="40">
        <v>6.85725724</v>
      </c>
      <c r="Q116" s="40" t="s">
        <v>28</v>
      </c>
      <c r="R116" s="40" t="s">
        <v>29</v>
      </c>
      <c r="S116" s="40" t="s">
        <v>38</v>
      </c>
    </row>
    <row r="117" spans="1:19" x14ac:dyDescent="0.25">
      <c r="A117" s="39" t="s">
        <v>1499</v>
      </c>
      <c r="B117" s="39"/>
      <c r="C117" s="39" t="s">
        <v>1000</v>
      </c>
      <c r="D117" s="39">
        <v>2700000</v>
      </c>
      <c r="E117" s="39">
        <v>2711434.5</v>
      </c>
      <c r="F117" s="39">
        <v>2700000</v>
      </c>
      <c r="G117" s="39" t="s">
        <v>264</v>
      </c>
      <c r="H117" s="39">
        <v>7.4290000000000003</v>
      </c>
      <c r="I117" s="39" t="s">
        <v>1001</v>
      </c>
      <c r="J117" s="43">
        <v>50239</v>
      </c>
      <c r="K117" s="39">
        <v>310</v>
      </c>
      <c r="L117" s="39">
        <v>1</v>
      </c>
      <c r="M117" s="39" t="s">
        <v>1484</v>
      </c>
      <c r="N117" s="39" t="s">
        <v>1000</v>
      </c>
      <c r="O117" s="39" t="s">
        <v>80</v>
      </c>
      <c r="P117" s="39">
        <v>8.843947794</v>
      </c>
      <c r="Q117" s="39" t="s">
        <v>28</v>
      </c>
      <c r="R117" s="39" t="s">
        <v>33</v>
      </c>
      <c r="S117" s="39" t="s">
        <v>38</v>
      </c>
    </row>
    <row r="118" spans="1:19" x14ac:dyDescent="0.25">
      <c r="A118" s="40" t="s">
        <v>1499</v>
      </c>
      <c r="B118" s="40"/>
      <c r="C118" s="40" t="s">
        <v>463</v>
      </c>
      <c r="D118" s="40">
        <v>8300000</v>
      </c>
      <c r="E118" s="40">
        <v>8336329.0999999996</v>
      </c>
      <c r="F118" s="40">
        <v>8300000</v>
      </c>
      <c r="G118" s="40" t="s">
        <v>264</v>
      </c>
      <c r="H118" s="40">
        <v>8.1270100000000003</v>
      </c>
      <c r="I118" s="40" t="s">
        <v>462</v>
      </c>
      <c r="J118" s="44">
        <v>50510</v>
      </c>
      <c r="K118" s="40">
        <v>380</v>
      </c>
      <c r="L118" s="40">
        <v>1</v>
      </c>
      <c r="M118" s="40" t="s">
        <v>1484</v>
      </c>
      <c r="N118" s="40" t="s">
        <v>463</v>
      </c>
      <c r="O118" s="40" t="s">
        <v>80</v>
      </c>
      <c r="P118" s="40">
        <v>9.4551500869999998</v>
      </c>
      <c r="Q118" s="40" t="s">
        <v>28</v>
      </c>
      <c r="R118" s="40" t="s">
        <v>33</v>
      </c>
      <c r="S118" s="40" t="s">
        <v>38</v>
      </c>
    </row>
    <row r="119" spans="1:19" x14ac:dyDescent="0.25">
      <c r="A119" s="39" t="s">
        <v>1499</v>
      </c>
      <c r="B119" s="39"/>
      <c r="C119" s="39" t="s">
        <v>1006</v>
      </c>
      <c r="D119" s="39">
        <v>5500000</v>
      </c>
      <c r="E119" s="39">
        <v>5528622</v>
      </c>
      <c r="F119" s="39">
        <v>5500000</v>
      </c>
      <c r="G119" s="39" t="s">
        <v>264</v>
      </c>
      <c r="H119" s="39">
        <v>8.8675499999999996</v>
      </c>
      <c r="I119" s="39" t="s">
        <v>1007</v>
      </c>
      <c r="J119" s="43">
        <v>49963</v>
      </c>
      <c r="K119" s="39">
        <v>455</v>
      </c>
      <c r="L119" s="39">
        <v>1</v>
      </c>
      <c r="M119" s="39" t="s">
        <v>1484</v>
      </c>
      <c r="N119" s="39" t="s">
        <v>1006</v>
      </c>
      <c r="O119" s="39" t="s">
        <v>80</v>
      </c>
      <c r="P119" s="39">
        <v>7.949477913</v>
      </c>
      <c r="Q119" s="39" t="s">
        <v>28</v>
      </c>
      <c r="R119" s="39" t="s">
        <v>29</v>
      </c>
      <c r="S119" s="39" t="s">
        <v>38</v>
      </c>
    </row>
    <row r="120" spans="1:19" x14ac:dyDescent="0.25">
      <c r="A120" s="40" t="s">
        <v>1499</v>
      </c>
      <c r="B120" s="40" t="s">
        <v>1530</v>
      </c>
      <c r="C120" s="40" t="s">
        <v>625</v>
      </c>
      <c r="D120" s="40">
        <v>3337500</v>
      </c>
      <c r="E120" s="40">
        <v>3347989.76</v>
      </c>
      <c r="F120" s="40">
        <v>3337500</v>
      </c>
      <c r="G120" s="40" t="s">
        <v>626</v>
      </c>
      <c r="H120" s="40">
        <v>7.8379399999999997</v>
      </c>
      <c r="I120" s="40" t="s">
        <v>627</v>
      </c>
      <c r="J120" s="44">
        <v>48441</v>
      </c>
      <c r="K120" s="40">
        <v>351.161</v>
      </c>
      <c r="L120" s="40">
        <v>1</v>
      </c>
      <c r="M120" s="40" t="s">
        <v>1484</v>
      </c>
      <c r="N120" s="40" t="s">
        <v>625</v>
      </c>
      <c r="O120" s="40" t="s">
        <v>163</v>
      </c>
      <c r="P120" s="40">
        <v>3.2850125069999998</v>
      </c>
      <c r="Q120" s="40" t="s">
        <v>24</v>
      </c>
      <c r="R120" s="40" t="s">
        <v>22</v>
      </c>
      <c r="S120" s="40" t="s">
        <v>38</v>
      </c>
    </row>
    <row r="121" spans="1:19" x14ac:dyDescent="0.25">
      <c r="A121" s="39" t="s">
        <v>1499</v>
      </c>
      <c r="B121" s="39" t="s">
        <v>1530</v>
      </c>
      <c r="C121" s="39" t="s">
        <v>841</v>
      </c>
      <c r="D121" s="39">
        <v>11156250</v>
      </c>
      <c r="E121" s="39">
        <v>11122401.939999999</v>
      </c>
      <c r="F121" s="39">
        <v>11156250</v>
      </c>
      <c r="G121" s="39" t="s">
        <v>626</v>
      </c>
      <c r="H121" s="39">
        <v>9.0879399999999997</v>
      </c>
      <c r="I121" s="39" t="s">
        <v>842</v>
      </c>
      <c r="J121" s="43">
        <v>48441</v>
      </c>
      <c r="K121" s="39">
        <v>476.161</v>
      </c>
      <c r="L121" s="39">
        <v>1</v>
      </c>
      <c r="M121" s="39" t="s">
        <v>1484</v>
      </c>
      <c r="N121" s="39" t="s">
        <v>841</v>
      </c>
      <c r="O121" s="39" t="s">
        <v>163</v>
      </c>
      <c r="P121" s="39">
        <v>3.7308488519999998</v>
      </c>
      <c r="Q121" s="39" t="s">
        <v>28</v>
      </c>
      <c r="R121" s="39" t="s">
        <v>22</v>
      </c>
      <c r="S121" s="39" t="s">
        <v>38</v>
      </c>
    </row>
    <row r="122" spans="1:19" x14ac:dyDescent="0.25">
      <c r="A122" s="40" t="s">
        <v>1499</v>
      </c>
      <c r="B122" s="40"/>
      <c r="C122" s="40" t="s">
        <v>666</v>
      </c>
      <c r="D122" s="40">
        <v>3000000</v>
      </c>
      <c r="E122" s="40">
        <v>3020394</v>
      </c>
      <c r="F122" s="40">
        <v>3000000</v>
      </c>
      <c r="G122" s="40" t="s">
        <v>667</v>
      </c>
      <c r="H122" s="40">
        <v>6.7254899999999997</v>
      </c>
      <c r="I122" s="40" t="s">
        <v>668</v>
      </c>
      <c r="J122" s="44">
        <v>50150</v>
      </c>
      <c r="K122" s="40">
        <v>240</v>
      </c>
      <c r="L122" s="40">
        <v>1</v>
      </c>
      <c r="M122" s="40" t="s">
        <v>1484</v>
      </c>
      <c r="N122" s="40" t="s">
        <v>666</v>
      </c>
      <c r="O122" s="40" t="s">
        <v>85</v>
      </c>
      <c r="P122" s="40">
        <v>8.081032403</v>
      </c>
      <c r="Q122" s="40" t="s">
        <v>24</v>
      </c>
      <c r="R122" s="40" t="s">
        <v>33</v>
      </c>
      <c r="S122" s="40" t="s">
        <v>34</v>
      </c>
    </row>
    <row r="123" spans="1:19" x14ac:dyDescent="0.25">
      <c r="A123" s="39" t="s">
        <v>1499</v>
      </c>
      <c r="B123" s="39"/>
      <c r="C123" s="39" t="s">
        <v>1018</v>
      </c>
      <c r="D123" s="39">
        <v>6500000</v>
      </c>
      <c r="E123" s="39">
        <v>6542425.5</v>
      </c>
      <c r="F123" s="39">
        <v>6500000</v>
      </c>
      <c r="G123" s="39" t="s">
        <v>667</v>
      </c>
      <c r="H123" s="39">
        <v>7.7754899999999996</v>
      </c>
      <c r="I123" s="39" t="s">
        <v>1019</v>
      </c>
      <c r="J123" s="43">
        <v>50150</v>
      </c>
      <c r="K123" s="39">
        <v>345</v>
      </c>
      <c r="L123" s="39">
        <v>1</v>
      </c>
      <c r="M123" s="39" t="s">
        <v>1484</v>
      </c>
      <c r="N123" s="39" t="s">
        <v>1018</v>
      </c>
      <c r="O123" s="39" t="s">
        <v>85</v>
      </c>
      <c r="P123" s="39">
        <v>8.7031073719999998</v>
      </c>
      <c r="Q123" s="39" t="s">
        <v>28</v>
      </c>
      <c r="R123" s="39" t="s">
        <v>33</v>
      </c>
      <c r="S123" s="39" t="s">
        <v>38</v>
      </c>
    </row>
    <row r="124" spans="1:19" x14ac:dyDescent="0.25">
      <c r="A124" s="40" t="s">
        <v>1499</v>
      </c>
      <c r="B124" s="40"/>
      <c r="C124" s="40" t="s">
        <v>1020</v>
      </c>
      <c r="D124" s="40">
        <v>6450000</v>
      </c>
      <c r="E124" s="40">
        <v>6481398.5999999996</v>
      </c>
      <c r="F124" s="40">
        <v>6450000</v>
      </c>
      <c r="G124" s="40" t="s">
        <v>667</v>
      </c>
      <c r="H124" s="40">
        <v>7.4254899999999999</v>
      </c>
      <c r="I124" s="40" t="s">
        <v>1021</v>
      </c>
      <c r="J124" s="44">
        <v>50334</v>
      </c>
      <c r="K124" s="40">
        <v>310</v>
      </c>
      <c r="L124" s="40">
        <v>1</v>
      </c>
      <c r="M124" s="40" t="s">
        <v>1484</v>
      </c>
      <c r="N124" s="40" t="s">
        <v>1020</v>
      </c>
      <c r="O124" s="40" t="s">
        <v>85</v>
      </c>
      <c r="P124" s="40">
        <v>9.1733122960000006</v>
      </c>
      <c r="Q124" s="40" t="s">
        <v>28</v>
      </c>
      <c r="R124" s="40" t="s">
        <v>33</v>
      </c>
      <c r="S124" s="40" t="s">
        <v>38</v>
      </c>
    </row>
    <row r="125" spans="1:19" x14ac:dyDescent="0.25">
      <c r="A125" s="39" t="s">
        <v>1499</v>
      </c>
      <c r="B125" s="39"/>
      <c r="C125" s="39" t="s">
        <v>1012</v>
      </c>
      <c r="D125" s="39">
        <v>10000000</v>
      </c>
      <c r="E125" s="39">
        <v>10047210</v>
      </c>
      <c r="F125" s="39">
        <v>10000000</v>
      </c>
      <c r="G125" s="39" t="s">
        <v>667</v>
      </c>
      <c r="H125" s="39">
        <v>7.3723999999999998</v>
      </c>
      <c r="I125" s="39" t="s">
        <v>1013</v>
      </c>
      <c r="J125" s="43">
        <v>50238</v>
      </c>
      <c r="K125" s="39">
        <v>305</v>
      </c>
      <c r="L125" s="39">
        <v>1</v>
      </c>
      <c r="M125" s="39" t="s">
        <v>1484</v>
      </c>
      <c r="N125" s="39" t="s">
        <v>1012</v>
      </c>
      <c r="O125" s="39" t="s">
        <v>85</v>
      </c>
      <c r="P125" s="39">
        <v>8.9185286680000004</v>
      </c>
      <c r="Q125" s="39" t="s">
        <v>28</v>
      </c>
      <c r="R125" s="39" t="s">
        <v>33</v>
      </c>
      <c r="S125" s="39" t="s">
        <v>38</v>
      </c>
    </row>
    <row r="126" spans="1:19" x14ac:dyDescent="0.25">
      <c r="A126" s="40" t="s">
        <v>1499</v>
      </c>
      <c r="B126" s="40"/>
      <c r="C126" s="40" t="s">
        <v>1016</v>
      </c>
      <c r="D126" s="40">
        <v>1500000</v>
      </c>
      <c r="E126" s="40">
        <v>1502590.5</v>
      </c>
      <c r="F126" s="40">
        <v>1500000</v>
      </c>
      <c r="G126" s="40" t="s">
        <v>667</v>
      </c>
      <c r="H126" s="40">
        <v>7.0724</v>
      </c>
      <c r="I126" s="40" t="s">
        <v>1017</v>
      </c>
      <c r="J126" s="44">
        <v>50422</v>
      </c>
      <c r="K126" s="40">
        <v>275</v>
      </c>
      <c r="L126" s="40">
        <v>1</v>
      </c>
      <c r="M126" s="40" t="s">
        <v>1484</v>
      </c>
      <c r="N126" s="40" t="s">
        <v>1016</v>
      </c>
      <c r="O126" s="40" t="s">
        <v>85</v>
      </c>
      <c r="P126" s="40">
        <v>9.2974405929999993</v>
      </c>
      <c r="Q126" s="40" t="s">
        <v>28</v>
      </c>
      <c r="R126" s="40" t="s">
        <v>33</v>
      </c>
      <c r="S126" s="40" t="s">
        <v>38</v>
      </c>
    </row>
    <row r="127" spans="1:19" x14ac:dyDescent="0.25">
      <c r="A127" s="39" t="s">
        <v>1499</v>
      </c>
      <c r="B127" s="39"/>
      <c r="C127" s="39" t="s">
        <v>1014</v>
      </c>
      <c r="D127" s="39">
        <v>4000000</v>
      </c>
      <c r="E127" s="39">
        <v>4037408</v>
      </c>
      <c r="F127" s="39">
        <v>4000000</v>
      </c>
      <c r="G127" s="39" t="s">
        <v>667</v>
      </c>
      <c r="H127" s="39">
        <v>7.9724000000000004</v>
      </c>
      <c r="I127" s="39" t="s">
        <v>1015</v>
      </c>
      <c r="J127" s="43">
        <v>50057</v>
      </c>
      <c r="K127" s="39">
        <v>365</v>
      </c>
      <c r="L127" s="39">
        <v>1</v>
      </c>
      <c r="M127" s="39" t="s">
        <v>1484</v>
      </c>
      <c r="N127" s="39" t="s">
        <v>1014</v>
      </c>
      <c r="O127" s="39" t="s">
        <v>85</v>
      </c>
      <c r="P127" s="39">
        <v>8.3690755830000008</v>
      </c>
      <c r="Q127" s="39" t="s">
        <v>28</v>
      </c>
      <c r="R127" s="39" t="s">
        <v>33</v>
      </c>
      <c r="S127" s="39" t="s">
        <v>38</v>
      </c>
    </row>
    <row r="128" spans="1:19" x14ac:dyDescent="0.25">
      <c r="A128" s="40" t="s">
        <v>1499</v>
      </c>
      <c r="B128" s="40"/>
      <c r="C128" s="40" t="s">
        <v>669</v>
      </c>
      <c r="D128" s="40">
        <v>2500000</v>
      </c>
      <c r="E128" s="40">
        <v>2512877.5</v>
      </c>
      <c r="F128" s="40">
        <v>2500000</v>
      </c>
      <c r="G128" s="40" t="s">
        <v>667</v>
      </c>
      <c r="H128" s="40">
        <v>6.4290000000000003</v>
      </c>
      <c r="I128" s="40" t="s">
        <v>670</v>
      </c>
      <c r="J128" s="44">
        <v>50239</v>
      </c>
      <c r="K128" s="40">
        <v>210</v>
      </c>
      <c r="L128" s="40">
        <v>1</v>
      </c>
      <c r="M128" s="40" t="s">
        <v>1484</v>
      </c>
      <c r="N128" s="40" t="s">
        <v>669</v>
      </c>
      <c r="O128" s="40" t="s">
        <v>85</v>
      </c>
      <c r="P128" s="40">
        <v>8.3395164239999993</v>
      </c>
      <c r="Q128" s="40" t="s">
        <v>24</v>
      </c>
      <c r="R128" s="40" t="s">
        <v>33</v>
      </c>
      <c r="S128" s="40" t="s">
        <v>34</v>
      </c>
    </row>
    <row r="129" spans="1:19" x14ac:dyDescent="0.25">
      <c r="A129" s="39" t="s">
        <v>1499</v>
      </c>
      <c r="B129" s="39"/>
      <c r="C129" s="39" t="s">
        <v>1024</v>
      </c>
      <c r="D129" s="39">
        <v>1480000</v>
      </c>
      <c r="E129" s="39">
        <v>1487237.2</v>
      </c>
      <c r="F129" s="39">
        <v>1480000</v>
      </c>
      <c r="G129" s="39" t="s">
        <v>667</v>
      </c>
      <c r="H129" s="39">
        <v>7.4223999999999997</v>
      </c>
      <c r="I129" s="39" t="s">
        <v>1025</v>
      </c>
      <c r="J129" s="43">
        <v>50330</v>
      </c>
      <c r="K129" s="39">
        <v>310</v>
      </c>
      <c r="L129" s="39">
        <v>1</v>
      </c>
      <c r="M129" s="39" t="s">
        <v>1484</v>
      </c>
      <c r="N129" s="39" t="s">
        <v>1024</v>
      </c>
      <c r="O129" s="39" t="s">
        <v>85</v>
      </c>
      <c r="P129" s="39">
        <v>9.1674921430000005</v>
      </c>
      <c r="Q129" s="39" t="s">
        <v>28</v>
      </c>
      <c r="R129" s="39" t="s">
        <v>33</v>
      </c>
      <c r="S129" s="39" t="s">
        <v>38</v>
      </c>
    </row>
    <row r="130" spans="1:19" x14ac:dyDescent="0.25">
      <c r="A130" s="40" t="s">
        <v>1499</v>
      </c>
      <c r="B130" s="40"/>
      <c r="C130" s="40" t="s">
        <v>1010</v>
      </c>
      <c r="D130" s="40">
        <v>6193000</v>
      </c>
      <c r="E130" s="40">
        <v>6258689.1500000004</v>
      </c>
      <c r="F130" s="40">
        <v>6193000</v>
      </c>
      <c r="G130" s="40" t="s">
        <v>667</v>
      </c>
      <c r="H130" s="40">
        <v>8.1254899999999992</v>
      </c>
      <c r="I130" s="40" t="s">
        <v>1011</v>
      </c>
      <c r="J130" s="44">
        <v>50150</v>
      </c>
      <c r="K130" s="40">
        <v>380</v>
      </c>
      <c r="L130" s="40">
        <v>1</v>
      </c>
      <c r="M130" s="40" t="s">
        <v>1484</v>
      </c>
      <c r="N130" s="40" t="s">
        <v>1010</v>
      </c>
      <c r="O130" s="40" t="s">
        <v>85</v>
      </c>
      <c r="P130" s="40">
        <v>8.7156136439999994</v>
      </c>
      <c r="Q130" s="40" t="s">
        <v>28</v>
      </c>
      <c r="R130" s="40" t="s">
        <v>33</v>
      </c>
      <c r="S130" s="40" t="s">
        <v>38</v>
      </c>
    </row>
    <row r="131" spans="1:19" x14ac:dyDescent="0.25">
      <c r="A131" s="39" t="s">
        <v>1499</v>
      </c>
      <c r="B131" s="39"/>
      <c r="C131" s="39" t="s">
        <v>1026</v>
      </c>
      <c r="D131" s="39">
        <v>1200000</v>
      </c>
      <c r="E131" s="39">
        <v>1213384.8</v>
      </c>
      <c r="F131" s="39">
        <v>1200000</v>
      </c>
      <c r="G131" s="39" t="s">
        <v>667</v>
      </c>
      <c r="H131" s="39">
        <v>8.1254899999999992</v>
      </c>
      <c r="I131" s="39" t="s">
        <v>1027</v>
      </c>
      <c r="J131" s="43">
        <v>50150</v>
      </c>
      <c r="K131" s="39">
        <v>380</v>
      </c>
      <c r="L131" s="39">
        <v>1</v>
      </c>
      <c r="M131" s="39" t="s">
        <v>1484</v>
      </c>
      <c r="N131" s="39" t="s">
        <v>1026</v>
      </c>
      <c r="O131" s="39" t="s">
        <v>85</v>
      </c>
      <c r="P131" s="39">
        <v>8.7159761360000001</v>
      </c>
      <c r="Q131" s="39" t="s">
        <v>28</v>
      </c>
      <c r="R131" s="39" t="s">
        <v>33</v>
      </c>
      <c r="S131" s="39" t="s">
        <v>38</v>
      </c>
    </row>
    <row r="132" spans="1:19" x14ac:dyDescent="0.25">
      <c r="A132" s="40" t="s">
        <v>1499</v>
      </c>
      <c r="B132" s="40"/>
      <c r="C132" s="40" t="s">
        <v>467</v>
      </c>
      <c r="D132" s="40">
        <v>4700000</v>
      </c>
      <c r="E132" s="40">
        <v>4720576.5999999996</v>
      </c>
      <c r="F132" s="40">
        <v>4700000</v>
      </c>
      <c r="G132" s="40" t="s">
        <v>667</v>
      </c>
      <c r="H132" s="40">
        <v>7.1185200000000002</v>
      </c>
      <c r="I132" s="40" t="s">
        <v>466</v>
      </c>
      <c r="J132" s="44">
        <v>50606</v>
      </c>
      <c r="K132" s="40">
        <v>280</v>
      </c>
      <c r="L132" s="40"/>
      <c r="M132" s="40" t="s">
        <v>1484</v>
      </c>
      <c r="N132" s="40" t="s">
        <v>467</v>
      </c>
      <c r="O132" s="40" t="s">
        <v>85</v>
      </c>
      <c r="P132" s="40">
        <v>9.6821099719999992</v>
      </c>
      <c r="Q132" s="40" t="s">
        <v>28</v>
      </c>
      <c r="R132" s="40" t="s">
        <v>33</v>
      </c>
      <c r="S132" s="40" t="s">
        <v>38</v>
      </c>
    </row>
    <row r="133" spans="1:19" x14ac:dyDescent="0.25">
      <c r="A133" s="39" t="s">
        <v>1499</v>
      </c>
      <c r="B133" s="39"/>
      <c r="C133" s="39" t="s">
        <v>1022</v>
      </c>
      <c r="D133" s="39">
        <v>3100000</v>
      </c>
      <c r="E133" s="39">
        <v>3111609.5</v>
      </c>
      <c r="F133" s="39">
        <v>3100000</v>
      </c>
      <c r="G133" s="39" t="s">
        <v>667</v>
      </c>
      <c r="H133" s="39">
        <v>6.9223999999999997</v>
      </c>
      <c r="I133" s="39" t="s">
        <v>1023</v>
      </c>
      <c r="J133" s="43">
        <v>50422</v>
      </c>
      <c r="K133" s="39">
        <v>260</v>
      </c>
      <c r="L133" s="39">
        <v>1</v>
      </c>
      <c r="M133" s="39" t="s">
        <v>1484</v>
      </c>
      <c r="N133" s="39" t="s">
        <v>1022</v>
      </c>
      <c r="O133" s="39" t="s">
        <v>85</v>
      </c>
      <c r="P133" s="39">
        <v>9.2093020499999998</v>
      </c>
      <c r="Q133" s="39" t="s">
        <v>28</v>
      </c>
      <c r="R133" s="39" t="s">
        <v>33</v>
      </c>
      <c r="S133" s="39" t="s">
        <v>34</v>
      </c>
    </row>
    <row r="134" spans="1:19" x14ac:dyDescent="0.25">
      <c r="A134" s="40" t="s">
        <v>1499</v>
      </c>
      <c r="B134" s="40"/>
      <c r="C134" s="40" t="s">
        <v>671</v>
      </c>
      <c r="D134" s="40">
        <v>3000000</v>
      </c>
      <c r="E134" s="40">
        <v>3014568</v>
      </c>
      <c r="F134" s="40">
        <v>3000000</v>
      </c>
      <c r="G134" s="40" t="s">
        <v>672</v>
      </c>
      <c r="H134" s="40">
        <v>6.2754899999999996</v>
      </c>
      <c r="I134" s="40" t="s">
        <v>673</v>
      </c>
      <c r="J134" s="44">
        <v>50333</v>
      </c>
      <c r="K134" s="40">
        <v>195</v>
      </c>
      <c r="L134" s="40">
        <v>1</v>
      </c>
      <c r="M134" s="40" t="s">
        <v>1484</v>
      </c>
      <c r="N134" s="40" t="s">
        <v>671</v>
      </c>
      <c r="O134" s="40" t="s">
        <v>164</v>
      </c>
      <c r="P134" s="40">
        <v>8.596015607</v>
      </c>
      <c r="Q134" s="40" t="s">
        <v>24</v>
      </c>
      <c r="R134" s="40" t="s">
        <v>33</v>
      </c>
      <c r="S134" s="40" t="s">
        <v>34</v>
      </c>
    </row>
    <row r="135" spans="1:19" x14ac:dyDescent="0.25">
      <c r="A135" s="39" t="s">
        <v>1499</v>
      </c>
      <c r="B135" s="39"/>
      <c r="C135" s="39" t="s">
        <v>469</v>
      </c>
      <c r="D135" s="39">
        <v>449000</v>
      </c>
      <c r="E135" s="39">
        <v>451486.56</v>
      </c>
      <c r="F135" s="39">
        <v>449000</v>
      </c>
      <c r="G135" s="39" t="s">
        <v>277</v>
      </c>
      <c r="H135" s="39">
        <v>6.1223999999999998</v>
      </c>
      <c r="I135" s="39" t="s">
        <v>468</v>
      </c>
      <c r="J135" s="43">
        <v>49782</v>
      </c>
      <c r="K135" s="39">
        <v>180</v>
      </c>
      <c r="L135" s="39">
        <v>1</v>
      </c>
      <c r="M135" s="39" t="s">
        <v>1484</v>
      </c>
      <c r="N135" s="39" t="s">
        <v>469</v>
      </c>
      <c r="O135" s="39" t="s">
        <v>89</v>
      </c>
      <c r="P135" s="39">
        <v>6.8201394960000004</v>
      </c>
      <c r="Q135" s="39" t="s">
        <v>24</v>
      </c>
      <c r="R135" s="39" t="s">
        <v>29</v>
      </c>
      <c r="S135" s="39" t="s">
        <v>34</v>
      </c>
    </row>
    <row r="136" spans="1:19" x14ac:dyDescent="0.25">
      <c r="A136" s="40" t="s">
        <v>1499</v>
      </c>
      <c r="B136" s="40"/>
      <c r="C136" s="40" t="s">
        <v>1031</v>
      </c>
      <c r="D136" s="40">
        <v>6500000</v>
      </c>
      <c r="E136" s="40">
        <v>6523192</v>
      </c>
      <c r="F136" s="40">
        <v>6500000</v>
      </c>
      <c r="G136" s="40" t="s">
        <v>277</v>
      </c>
      <c r="H136" s="40">
        <v>7.7719899999999997</v>
      </c>
      <c r="I136" s="40" t="s">
        <v>1032</v>
      </c>
      <c r="J136" s="44">
        <v>49815</v>
      </c>
      <c r="K136" s="40">
        <v>345</v>
      </c>
      <c r="L136" s="40">
        <v>1</v>
      </c>
      <c r="M136" s="40" t="s">
        <v>1484</v>
      </c>
      <c r="N136" s="40" t="s">
        <v>1031</v>
      </c>
      <c r="O136" s="40" t="s">
        <v>89</v>
      </c>
      <c r="P136" s="40">
        <v>6.5329379190000001</v>
      </c>
      <c r="Q136" s="40" t="s">
        <v>28</v>
      </c>
      <c r="R136" s="40" t="s">
        <v>29</v>
      </c>
      <c r="S136" s="40" t="s">
        <v>38</v>
      </c>
    </row>
    <row r="137" spans="1:19" x14ac:dyDescent="0.25">
      <c r="A137" s="39" t="s">
        <v>1499</v>
      </c>
      <c r="B137" s="39"/>
      <c r="C137" s="39" t="s">
        <v>1479</v>
      </c>
      <c r="D137" s="39">
        <v>8790000</v>
      </c>
      <c r="E137" s="39">
        <v>8804652.9299999997</v>
      </c>
      <c r="F137" s="39">
        <v>8790000</v>
      </c>
      <c r="G137" s="39" t="s">
        <v>277</v>
      </c>
      <c r="H137" s="39">
        <v>7.4254899999999999</v>
      </c>
      <c r="I137" s="39" t="s">
        <v>1480</v>
      </c>
      <c r="J137" s="43">
        <v>50332</v>
      </c>
      <c r="K137" s="39">
        <v>310</v>
      </c>
      <c r="L137" s="39">
        <v>1</v>
      </c>
      <c r="M137" s="39" t="s">
        <v>1484</v>
      </c>
      <c r="N137" s="39" t="s">
        <v>1479</v>
      </c>
      <c r="O137" s="39" t="s">
        <v>89</v>
      </c>
      <c r="P137" s="39">
        <v>8.7084858969999992</v>
      </c>
      <c r="Q137" s="39" t="s">
        <v>44</v>
      </c>
      <c r="R137" s="39" t="s">
        <v>33</v>
      </c>
      <c r="S137" s="39" t="s">
        <v>38</v>
      </c>
    </row>
    <row r="138" spans="1:19" x14ac:dyDescent="0.25">
      <c r="A138" s="40" t="s">
        <v>1499</v>
      </c>
      <c r="B138" s="40"/>
      <c r="C138" s="40" t="s">
        <v>1033</v>
      </c>
      <c r="D138" s="40">
        <v>6250000</v>
      </c>
      <c r="E138" s="40">
        <v>6240568.75</v>
      </c>
      <c r="F138" s="40">
        <v>6250000</v>
      </c>
      <c r="G138" s="40" t="s">
        <v>277</v>
      </c>
      <c r="H138" s="40">
        <v>7.1175499999999996</v>
      </c>
      <c r="I138" s="40" t="s">
        <v>1034</v>
      </c>
      <c r="J138" s="44">
        <v>50420</v>
      </c>
      <c r="K138" s="40">
        <v>280</v>
      </c>
      <c r="L138" s="40">
        <v>1</v>
      </c>
      <c r="M138" s="40" t="s">
        <v>1484</v>
      </c>
      <c r="N138" s="40" t="s">
        <v>1033</v>
      </c>
      <c r="O138" s="40" t="s">
        <v>89</v>
      </c>
      <c r="P138" s="40">
        <v>9.2432428869999992</v>
      </c>
      <c r="Q138" s="40" t="s">
        <v>28</v>
      </c>
      <c r="R138" s="40" t="s">
        <v>33</v>
      </c>
      <c r="S138" s="40" t="s">
        <v>38</v>
      </c>
    </row>
    <row r="139" spans="1:19" x14ac:dyDescent="0.25">
      <c r="A139" s="39" t="s">
        <v>1499</v>
      </c>
      <c r="B139" s="39" t="s">
        <v>1530</v>
      </c>
      <c r="C139" s="39" t="s">
        <v>1028</v>
      </c>
      <c r="D139" s="39">
        <v>8875000</v>
      </c>
      <c r="E139" s="39">
        <v>8902672.25</v>
      </c>
      <c r="F139" s="39">
        <v>8875000</v>
      </c>
      <c r="G139" s="39" t="s">
        <v>1029</v>
      </c>
      <c r="H139" s="39">
        <v>7.9839900000000004</v>
      </c>
      <c r="I139" s="39" t="s">
        <v>1030</v>
      </c>
      <c r="J139" s="43">
        <v>48052</v>
      </c>
      <c r="K139" s="39">
        <v>371.161</v>
      </c>
      <c r="L139" s="39">
        <v>1</v>
      </c>
      <c r="M139" s="39" t="s">
        <v>1484</v>
      </c>
      <c r="N139" s="39" t="s">
        <v>1028</v>
      </c>
      <c r="O139" s="39" t="s">
        <v>165</v>
      </c>
      <c r="P139" s="39">
        <v>2.9104115099999999</v>
      </c>
      <c r="Q139" s="39" t="s">
        <v>28</v>
      </c>
      <c r="R139" s="39" t="s">
        <v>22</v>
      </c>
      <c r="S139" s="39" t="s">
        <v>38</v>
      </c>
    </row>
    <row r="140" spans="1:19" x14ac:dyDescent="0.25">
      <c r="A140" s="40" t="s">
        <v>1499</v>
      </c>
      <c r="B140" s="40"/>
      <c r="C140" s="40" t="s">
        <v>675</v>
      </c>
      <c r="D140" s="40">
        <v>2500000</v>
      </c>
      <c r="E140" s="40">
        <v>2514065</v>
      </c>
      <c r="F140" s="40">
        <v>2500000</v>
      </c>
      <c r="G140" s="40" t="s">
        <v>676</v>
      </c>
      <c r="H140" s="40">
        <v>8.1702700000000004</v>
      </c>
      <c r="I140" s="40" t="s">
        <v>677</v>
      </c>
      <c r="J140" s="44">
        <v>49596</v>
      </c>
      <c r="K140" s="40">
        <v>385</v>
      </c>
      <c r="L140" s="40">
        <v>1</v>
      </c>
      <c r="M140" s="40" t="s">
        <v>1484</v>
      </c>
      <c r="N140" s="40" t="s">
        <v>675</v>
      </c>
      <c r="O140" s="40" t="s">
        <v>166</v>
      </c>
      <c r="P140" s="40">
        <v>5.1046420540000002</v>
      </c>
      <c r="Q140" s="40" t="s">
        <v>24</v>
      </c>
      <c r="R140" s="40" t="s">
        <v>25</v>
      </c>
      <c r="S140" s="40" t="s">
        <v>38</v>
      </c>
    </row>
    <row r="141" spans="1:19" x14ac:dyDescent="0.25">
      <c r="A141" s="39" t="s">
        <v>1499</v>
      </c>
      <c r="B141" s="39"/>
      <c r="C141" s="39" t="s">
        <v>473</v>
      </c>
      <c r="D141" s="39">
        <v>2800000</v>
      </c>
      <c r="E141" s="39">
        <v>2815083.6</v>
      </c>
      <c r="F141" s="39">
        <v>2800000</v>
      </c>
      <c r="G141" s="39" t="s">
        <v>471</v>
      </c>
      <c r="H141" s="39">
        <v>6.5201599999999997</v>
      </c>
      <c r="I141" s="39" t="s">
        <v>472</v>
      </c>
      <c r="J141" s="43">
        <v>50241</v>
      </c>
      <c r="K141" s="39">
        <v>225</v>
      </c>
      <c r="L141" s="39"/>
      <c r="M141" s="39" t="s">
        <v>1484</v>
      </c>
      <c r="N141" s="39" t="s">
        <v>473</v>
      </c>
      <c r="O141" s="39" t="s">
        <v>90</v>
      </c>
      <c r="P141" s="39">
        <v>8.1636230609999991</v>
      </c>
      <c r="Q141" s="39" t="s">
        <v>24</v>
      </c>
      <c r="R141" s="39" t="s">
        <v>33</v>
      </c>
      <c r="S141" s="39" t="s">
        <v>34</v>
      </c>
    </row>
    <row r="142" spans="1:19" x14ac:dyDescent="0.25">
      <c r="A142" s="40" t="s">
        <v>1499</v>
      </c>
      <c r="B142" s="40"/>
      <c r="C142" s="40" t="s">
        <v>1054</v>
      </c>
      <c r="D142" s="40">
        <v>5000000</v>
      </c>
      <c r="E142" s="40">
        <v>5024565</v>
      </c>
      <c r="F142" s="40">
        <v>5000000</v>
      </c>
      <c r="G142" s="40" t="s">
        <v>1046</v>
      </c>
      <c r="H142" s="40">
        <v>7.66899</v>
      </c>
      <c r="I142" s="40" t="s">
        <v>1055</v>
      </c>
      <c r="J142" s="44">
        <v>50335</v>
      </c>
      <c r="K142" s="40">
        <v>335</v>
      </c>
      <c r="L142" s="40">
        <v>1</v>
      </c>
      <c r="M142" s="40" t="s">
        <v>1484</v>
      </c>
      <c r="N142" s="40" t="s">
        <v>1054</v>
      </c>
      <c r="O142" s="40" t="s">
        <v>167</v>
      </c>
      <c r="P142" s="40">
        <v>8.8399431939999999</v>
      </c>
      <c r="Q142" s="40" t="s">
        <v>28</v>
      </c>
      <c r="R142" s="40" t="s">
        <v>33</v>
      </c>
      <c r="S142" s="40" t="s">
        <v>38</v>
      </c>
    </row>
    <row r="143" spans="1:19" x14ac:dyDescent="0.25">
      <c r="A143" s="39" t="s">
        <v>1499</v>
      </c>
      <c r="B143" s="39"/>
      <c r="C143" s="39" t="s">
        <v>1052</v>
      </c>
      <c r="D143" s="39">
        <v>4500000</v>
      </c>
      <c r="E143" s="39">
        <v>4525906.5</v>
      </c>
      <c r="F143" s="39">
        <v>4500000</v>
      </c>
      <c r="G143" s="39" t="s">
        <v>1046</v>
      </c>
      <c r="H143" s="39">
        <v>7.1684599999999996</v>
      </c>
      <c r="I143" s="39" t="s">
        <v>1053</v>
      </c>
      <c r="J143" s="43">
        <v>50430</v>
      </c>
      <c r="K143" s="39">
        <v>285</v>
      </c>
      <c r="L143" s="39">
        <v>1</v>
      </c>
      <c r="M143" s="39" t="s">
        <v>1484</v>
      </c>
      <c r="N143" s="39" t="s">
        <v>1052</v>
      </c>
      <c r="O143" s="39" t="s">
        <v>167</v>
      </c>
      <c r="P143" s="39">
        <v>9.2147772210000003</v>
      </c>
      <c r="Q143" s="39" t="s">
        <v>28</v>
      </c>
      <c r="R143" s="39" t="s">
        <v>33</v>
      </c>
      <c r="S143" s="39" t="s">
        <v>38</v>
      </c>
    </row>
    <row r="144" spans="1:19" x14ac:dyDescent="0.25">
      <c r="A144" s="40" t="s">
        <v>1499</v>
      </c>
      <c r="B144" s="40"/>
      <c r="C144" s="40" t="s">
        <v>1056</v>
      </c>
      <c r="D144" s="40">
        <v>1500000</v>
      </c>
      <c r="E144" s="40">
        <v>1507099.5</v>
      </c>
      <c r="F144" s="40">
        <v>1500000</v>
      </c>
      <c r="G144" s="40" t="s">
        <v>1046</v>
      </c>
      <c r="H144" s="40">
        <v>7.5754900000000003</v>
      </c>
      <c r="I144" s="40" t="s">
        <v>1057</v>
      </c>
      <c r="J144" s="44">
        <v>50241</v>
      </c>
      <c r="K144" s="40">
        <v>325</v>
      </c>
      <c r="L144" s="40">
        <v>1</v>
      </c>
      <c r="M144" s="40" t="s">
        <v>1484</v>
      </c>
      <c r="N144" s="40" t="s">
        <v>1056</v>
      </c>
      <c r="O144" s="40" t="s">
        <v>167</v>
      </c>
      <c r="P144" s="40">
        <v>8.835068089</v>
      </c>
      <c r="Q144" s="40" t="s">
        <v>28</v>
      </c>
      <c r="R144" s="40" t="s">
        <v>33</v>
      </c>
      <c r="S144" s="40" t="s">
        <v>38</v>
      </c>
    </row>
    <row r="145" spans="1:19" x14ac:dyDescent="0.25">
      <c r="A145" s="39" t="s">
        <v>1499</v>
      </c>
      <c r="B145" s="39"/>
      <c r="C145" s="39" t="s">
        <v>1058</v>
      </c>
      <c r="D145" s="39">
        <v>7000000</v>
      </c>
      <c r="E145" s="39">
        <v>7035308</v>
      </c>
      <c r="F145" s="39">
        <v>7000000</v>
      </c>
      <c r="G145" s="39" t="s">
        <v>1046</v>
      </c>
      <c r="H145" s="39">
        <v>7.5254899999999996</v>
      </c>
      <c r="I145" s="39" t="s">
        <v>1059</v>
      </c>
      <c r="J145" s="43">
        <v>50425</v>
      </c>
      <c r="K145" s="39">
        <v>320</v>
      </c>
      <c r="L145" s="39">
        <v>1</v>
      </c>
      <c r="M145" s="39" t="s">
        <v>1484</v>
      </c>
      <c r="N145" s="39" t="s">
        <v>1058</v>
      </c>
      <c r="O145" s="39" t="s">
        <v>167</v>
      </c>
      <c r="P145" s="39">
        <v>9.1896307190000002</v>
      </c>
      <c r="Q145" s="39" t="s">
        <v>28</v>
      </c>
      <c r="R145" s="39" t="s">
        <v>33</v>
      </c>
      <c r="S145" s="39" t="s">
        <v>38</v>
      </c>
    </row>
    <row r="146" spans="1:19" x14ac:dyDescent="0.25">
      <c r="A146" s="40" t="s">
        <v>1499</v>
      </c>
      <c r="B146" s="40"/>
      <c r="C146" s="40" t="s">
        <v>1045</v>
      </c>
      <c r="D146" s="40">
        <v>6000000</v>
      </c>
      <c r="E146" s="40">
        <v>6026598</v>
      </c>
      <c r="F146" s="40">
        <v>6000000</v>
      </c>
      <c r="G146" s="40" t="s">
        <v>1046</v>
      </c>
      <c r="H146" s="40">
        <v>7.5754900000000003</v>
      </c>
      <c r="I146" s="40" t="s">
        <v>1047</v>
      </c>
      <c r="J146" s="44">
        <v>50333</v>
      </c>
      <c r="K146" s="40">
        <v>325</v>
      </c>
      <c r="L146" s="40">
        <v>1</v>
      </c>
      <c r="M146" s="40" t="s">
        <v>1484</v>
      </c>
      <c r="N146" s="40" t="s">
        <v>1045</v>
      </c>
      <c r="O146" s="40" t="s">
        <v>167</v>
      </c>
      <c r="P146" s="40">
        <v>9.0587398340000007</v>
      </c>
      <c r="Q146" s="40" t="s">
        <v>28</v>
      </c>
      <c r="R146" s="40" t="s">
        <v>33</v>
      </c>
      <c r="S146" s="40" t="s">
        <v>38</v>
      </c>
    </row>
    <row r="147" spans="1:19" x14ac:dyDescent="0.25">
      <c r="A147" s="39" t="s">
        <v>1499</v>
      </c>
      <c r="B147" s="39"/>
      <c r="C147" s="39" t="s">
        <v>1050</v>
      </c>
      <c r="D147" s="39">
        <v>7250000</v>
      </c>
      <c r="E147" s="39">
        <v>7282501.75</v>
      </c>
      <c r="F147" s="39">
        <v>7250000</v>
      </c>
      <c r="G147" s="39" t="s">
        <v>1046</v>
      </c>
      <c r="H147" s="39">
        <v>7.3319900000000002</v>
      </c>
      <c r="I147" s="39" t="s">
        <v>1051</v>
      </c>
      <c r="J147" s="43">
        <v>50335</v>
      </c>
      <c r="K147" s="39">
        <v>300</v>
      </c>
      <c r="L147" s="39">
        <v>1</v>
      </c>
      <c r="M147" s="39" t="s">
        <v>1484</v>
      </c>
      <c r="N147" s="39" t="s">
        <v>1050</v>
      </c>
      <c r="O147" s="39" t="s">
        <v>167</v>
      </c>
      <c r="P147" s="39">
        <v>9.0278865340000003</v>
      </c>
      <c r="Q147" s="39" t="s">
        <v>28</v>
      </c>
      <c r="R147" s="39" t="s">
        <v>33</v>
      </c>
      <c r="S147" s="39" t="s">
        <v>38</v>
      </c>
    </row>
    <row r="148" spans="1:19" x14ac:dyDescent="0.25">
      <c r="A148" s="40" t="s">
        <v>1499</v>
      </c>
      <c r="B148" s="40"/>
      <c r="C148" s="40" t="s">
        <v>1048</v>
      </c>
      <c r="D148" s="40">
        <v>9000000</v>
      </c>
      <c r="E148" s="40">
        <v>9043479</v>
      </c>
      <c r="F148" s="40">
        <v>9000000</v>
      </c>
      <c r="G148" s="40" t="s">
        <v>1046</v>
      </c>
      <c r="H148" s="40">
        <v>8.2793399999999995</v>
      </c>
      <c r="I148" s="40" t="s">
        <v>1049</v>
      </c>
      <c r="J148" s="44">
        <v>50152</v>
      </c>
      <c r="K148" s="40">
        <v>400</v>
      </c>
      <c r="L148" s="40">
        <v>1</v>
      </c>
      <c r="M148" s="40" t="s">
        <v>1484</v>
      </c>
      <c r="N148" s="40" t="s">
        <v>1048</v>
      </c>
      <c r="O148" s="40" t="s">
        <v>167</v>
      </c>
      <c r="P148" s="40">
        <v>8.6519587540000007</v>
      </c>
      <c r="Q148" s="40" t="s">
        <v>28</v>
      </c>
      <c r="R148" s="40" t="s">
        <v>33</v>
      </c>
      <c r="S148" s="40" t="s">
        <v>38</v>
      </c>
    </row>
    <row r="149" spans="1:19" x14ac:dyDescent="0.25">
      <c r="A149" s="39" t="s">
        <v>1499</v>
      </c>
      <c r="B149" s="39"/>
      <c r="C149" s="39" t="s">
        <v>1037</v>
      </c>
      <c r="D149" s="39">
        <v>5000000</v>
      </c>
      <c r="E149" s="39">
        <v>5020385</v>
      </c>
      <c r="F149" s="39">
        <v>5000000</v>
      </c>
      <c r="G149" s="39" t="s">
        <v>685</v>
      </c>
      <c r="H149" s="39">
        <v>7.4254899999999999</v>
      </c>
      <c r="I149" s="39" t="s">
        <v>1038</v>
      </c>
      <c r="J149" s="43">
        <v>50333</v>
      </c>
      <c r="K149" s="39">
        <v>310</v>
      </c>
      <c r="L149" s="39">
        <v>1</v>
      </c>
      <c r="M149" s="39" t="s">
        <v>1484</v>
      </c>
      <c r="N149" s="39" t="s">
        <v>1037</v>
      </c>
      <c r="O149" s="39" t="s">
        <v>94</v>
      </c>
      <c r="P149" s="39">
        <v>9.019928277</v>
      </c>
      <c r="Q149" s="39" t="s">
        <v>28</v>
      </c>
      <c r="R149" s="39" t="s">
        <v>33</v>
      </c>
      <c r="S149" s="39" t="s">
        <v>38</v>
      </c>
    </row>
    <row r="150" spans="1:19" x14ac:dyDescent="0.25">
      <c r="A150" s="40" t="s">
        <v>1499</v>
      </c>
      <c r="B150" s="40"/>
      <c r="C150" s="40" t="s">
        <v>1041</v>
      </c>
      <c r="D150" s="40">
        <v>3500000</v>
      </c>
      <c r="E150" s="40">
        <v>3513702.5</v>
      </c>
      <c r="F150" s="40">
        <v>3500000</v>
      </c>
      <c r="G150" s="40" t="s">
        <v>685</v>
      </c>
      <c r="H150" s="40">
        <v>7.7254899999999997</v>
      </c>
      <c r="I150" s="40" t="s">
        <v>1042</v>
      </c>
      <c r="J150" s="44">
        <v>50150</v>
      </c>
      <c r="K150" s="40">
        <v>340</v>
      </c>
      <c r="L150" s="40">
        <v>1</v>
      </c>
      <c r="M150" s="40" t="s">
        <v>1484</v>
      </c>
      <c r="N150" s="40" t="s">
        <v>1041</v>
      </c>
      <c r="O150" s="40" t="s">
        <v>95</v>
      </c>
      <c r="P150" s="40">
        <v>8.5406364759999995</v>
      </c>
      <c r="Q150" s="40" t="s">
        <v>28</v>
      </c>
      <c r="R150" s="40" t="s">
        <v>33</v>
      </c>
      <c r="S150" s="40" t="s">
        <v>38</v>
      </c>
    </row>
    <row r="151" spans="1:19" x14ac:dyDescent="0.25">
      <c r="A151" s="39" t="s">
        <v>1499</v>
      </c>
      <c r="B151" s="39"/>
      <c r="C151" s="39" t="s">
        <v>1039</v>
      </c>
      <c r="D151" s="39">
        <v>3450000</v>
      </c>
      <c r="E151" s="39">
        <v>3468467.85</v>
      </c>
      <c r="F151" s="39">
        <v>3450000</v>
      </c>
      <c r="G151" s="39" t="s">
        <v>685</v>
      </c>
      <c r="H151" s="39">
        <v>8.7254900000000006</v>
      </c>
      <c r="I151" s="39" t="s">
        <v>1040</v>
      </c>
      <c r="J151" s="43">
        <v>49968</v>
      </c>
      <c r="K151" s="39">
        <v>440</v>
      </c>
      <c r="L151" s="39">
        <v>1</v>
      </c>
      <c r="M151" s="39" t="s">
        <v>1484</v>
      </c>
      <c r="N151" s="39" t="s">
        <v>1039</v>
      </c>
      <c r="O151" s="39" t="s">
        <v>94</v>
      </c>
      <c r="P151" s="39">
        <v>7.9536181079999997</v>
      </c>
      <c r="Q151" s="39" t="s">
        <v>28</v>
      </c>
      <c r="R151" s="39" t="s">
        <v>29</v>
      </c>
      <c r="S151" s="39" t="s">
        <v>38</v>
      </c>
    </row>
    <row r="152" spans="1:19" x14ac:dyDescent="0.25">
      <c r="A152" s="40" t="s">
        <v>1499</v>
      </c>
      <c r="B152" s="40"/>
      <c r="C152" s="40" t="s">
        <v>684</v>
      </c>
      <c r="D152" s="40">
        <v>5000000</v>
      </c>
      <c r="E152" s="40">
        <v>5023575</v>
      </c>
      <c r="F152" s="40">
        <v>5000000</v>
      </c>
      <c r="G152" s="40" t="s">
        <v>685</v>
      </c>
      <c r="H152" s="40">
        <v>6.2254899999999997</v>
      </c>
      <c r="I152" s="40" t="s">
        <v>686</v>
      </c>
      <c r="J152" s="44">
        <v>50333</v>
      </c>
      <c r="K152" s="40">
        <v>190</v>
      </c>
      <c r="L152" s="40">
        <v>1</v>
      </c>
      <c r="M152" s="40" t="s">
        <v>1484</v>
      </c>
      <c r="N152" s="40" t="s">
        <v>684</v>
      </c>
      <c r="O152" s="40" t="s">
        <v>95</v>
      </c>
      <c r="P152" s="40">
        <v>8.4292555480000004</v>
      </c>
      <c r="Q152" s="40" t="s">
        <v>24</v>
      </c>
      <c r="R152" s="40" t="s">
        <v>33</v>
      </c>
      <c r="S152" s="40" t="s">
        <v>34</v>
      </c>
    </row>
    <row r="153" spans="1:19" x14ac:dyDescent="0.25">
      <c r="A153" s="39" t="s">
        <v>1499</v>
      </c>
      <c r="B153" s="39"/>
      <c r="C153" s="39" t="s">
        <v>1043</v>
      </c>
      <c r="D153" s="39">
        <v>4000000</v>
      </c>
      <c r="E153" s="39">
        <v>4014040</v>
      </c>
      <c r="F153" s="39">
        <v>4000000</v>
      </c>
      <c r="G153" s="39" t="s">
        <v>685</v>
      </c>
      <c r="H153" s="39">
        <v>7.1754899999999999</v>
      </c>
      <c r="I153" s="39" t="s">
        <v>1044</v>
      </c>
      <c r="J153" s="43">
        <v>50333</v>
      </c>
      <c r="K153" s="39">
        <v>285</v>
      </c>
      <c r="L153" s="39">
        <v>1</v>
      </c>
      <c r="M153" s="39" t="s">
        <v>1484</v>
      </c>
      <c r="N153" s="39" t="s">
        <v>1043</v>
      </c>
      <c r="O153" s="39" t="s">
        <v>95</v>
      </c>
      <c r="P153" s="39">
        <v>8.9988373389999996</v>
      </c>
      <c r="Q153" s="39" t="s">
        <v>28</v>
      </c>
      <c r="R153" s="39" t="s">
        <v>33</v>
      </c>
      <c r="S153" s="39" t="s">
        <v>38</v>
      </c>
    </row>
    <row r="154" spans="1:19" x14ac:dyDescent="0.25">
      <c r="A154" s="40" t="s">
        <v>1499</v>
      </c>
      <c r="B154" s="40"/>
      <c r="C154" s="40" t="s">
        <v>477</v>
      </c>
      <c r="D154" s="40">
        <v>5210104</v>
      </c>
      <c r="E154" s="40">
        <v>5236206.62</v>
      </c>
      <c r="F154" s="40">
        <v>5210104</v>
      </c>
      <c r="G154" s="40" t="s">
        <v>685</v>
      </c>
      <c r="H154" s="40">
        <v>7.1254900000000001</v>
      </c>
      <c r="I154" s="40" t="s">
        <v>476</v>
      </c>
      <c r="J154" s="44">
        <v>50790</v>
      </c>
      <c r="K154" s="40">
        <v>280</v>
      </c>
      <c r="L154" s="40">
        <v>1</v>
      </c>
      <c r="M154" s="40" t="s">
        <v>1484</v>
      </c>
      <c r="N154" s="40" t="s">
        <v>477</v>
      </c>
      <c r="O154" s="40" t="s">
        <v>94</v>
      </c>
      <c r="P154" s="40">
        <v>9.6833797579999992</v>
      </c>
      <c r="Q154" s="40" t="s">
        <v>28</v>
      </c>
      <c r="R154" s="40" t="s">
        <v>33</v>
      </c>
      <c r="S154" s="40" t="s">
        <v>38</v>
      </c>
    </row>
    <row r="155" spans="1:19" x14ac:dyDescent="0.25">
      <c r="A155" s="39" t="s">
        <v>1499</v>
      </c>
      <c r="B155" s="39"/>
      <c r="C155" s="39" t="s">
        <v>481</v>
      </c>
      <c r="D155" s="39">
        <v>5100000</v>
      </c>
      <c r="E155" s="39">
        <v>5119833.9000000004</v>
      </c>
      <c r="F155" s="39">
        <v>5100000</v>
      </c>
      <c r="G155" s="39" t="s">
        <v>685</v>
      </c>
      <c r="H155" s="39">
        <v>0</v>
      </c>
      <c r="I155" s="39" t="s">
        <v>480</v>
      </c>
      <c r="J155" s="43">
        <v>50606</v>
      </c>
      <c r="K155" s="39">
        <v>275</v>
      </c>
      <c r="L155" s="39">
        <v>1</v>
      </c>
      <c r="M155" s="39" t="s">
        <v>1484</v>
      </c>
      <c r="N155" s="39" t="s">
        <v>481</v>
      </c>
      <c r="O155" s="39" t="s">
        <v>95</v>
      </c>
      <c r="P155" s="39">
        <v>9.6333087769999999</v>
      </c>
      <c r="Q155" s="39" t="s">
        <v>28</v>
      </c>
      <c r="R155" s="39" t="s">
        <v>33</v>
      </c>
      <c r="S155" s="39" t="s">
        <v>19</v>
      </c>
    </row>
    <row r="156" spans="1:19" x14ac:dyDescent="0.25">
      <c r="A156" s="40" t="s">
        <v>1499</v>
      </c>
      <c r="B156" s="40"/>
      <c r="C156" s="40" t="s">
        <v>1035</v>
      </c>
      <c r="D156" s="40">
        <v>2800000</v>
      </c>
      <c r="E156" s="40">
        <v>2816298.8</v>
      </c>
      <c r="F156" s="40">
        <v>2633400</v>
      </c>
      <c r="G156" s="40" t="s">
        <v>214</v>
      </c>
      <c r="H156" s="40">
        <v>7.7754899999999996</v>
      </c>
      <c r="I156" s="40" t="s">
        <v>1036</v>
      </c>
      <c r="J156" s="44">
        <v>49419</v>
      </c>
      <c r="K156" s="40">
        <v>345</v>
      </c>
      <c r="L156" s="40">
        <v>1</v>
      </c>
      <c r="M156" s="40" t="s">
        <v>1484</v>
      </c>
      <c r="N156" s="40" t="s">
        <v>1035</v>
      </c>
      <c r="O156" s="40" t="s">
        <v>97</v>
      </c>
      <c r="P156" s="40">
        <v>6.4065086100000004</v>
      </c>
      <c r="Q156" s="40" t="s">
        <v>28</v>
      </c>
      <c r="R156" s="40" t="s">
        <v>29</v>
      </c>
      <c r="S156" s="40" t="s">
        <v>38</v>
      </c>
    </row>
    <row r="157" spans="1:19" x14ac:dyDescent="0.25">
      <c r="A157" s="39" t="s">
        <v>1499</v>
      </c>
      <c r="B157" s="39"/>
      <c r="C157" s="39" t="s">
        <v>678</v>
      </c>
      <c r="D157" s="39">
        <v>4885242</v>
      </c>
      <c r="E157" s="39">
        <v>4885486.26</v>
      </c>
      <c r="F157" s="39">
        <v>4885242</v>
      </c>
      <c r="G157" s="39" t="s">
        <v>214</v>
      </c>
      <c r="H157" s="39">
        <v>7.7684600000000001</v>
      </c>
      <c r="I157" s="39" t="s">
        <v>679</v>
      </c>
      <c r="J157" s="43">
        <v>49881</v>
      </c>
      <c r="K157" s="39">
        <v>345</v>
      </c>
      <c r="L157" s="39">
        <v>1</v>
      </c>
      <c r="M157" s="39" t="s">
        <v>1484</v>
      </c>
      <c r="N157" s="39" t="s">
        <v>678</v>
      </c>
      <c r="O157" s="39" t="s">
        <v>97</v>
      </c>
      <c r="P157" s="39">
        <v>7.0076056260000001</v>
      </c>
      <c r="Q157" s="39" t="s">
        <v>24</v>
      </c>
      <c r="R157" s="39" t="s">
        <v>29</v>
      </c>
      <c r="S157" s="39" t="s">
        <v>38</v>
      </c>
    </row>
    <row r="158" spans="1:19" x14ac:dyDescent="0.25">
      <c r="A158" s="40" t="s">
        <v>1499</v>
      </c>
      <c r="B158" s="40"/>
      <c r="C158" s="40" t="s">
        <v>485</v>
      </c>
      <c r="D158" s="40">
        <v>4885242</v>
      </c>
      <c r="E158" s="40">
        <v>4897455.1100000003</v>
      </c>
      <c r="F158" s="40">
        <v>4885242</v>
      </c>
      <c r="G158" s="40" t="s">
        <v>214</v>
      </c>
      <c r="H158" s="40">
        <v>0</v>
      </c>
      <c r="I158" s="40" t="s">
        <v>484</v>
      </c>
      <c r="J158" s="44">
        <v>50611</v>
      </c>
      <c r="K158" s="40">
        <v>195</v>
      </c>
      <c r="L158" s="40"/>
      <c r="M158" s="40" t="s">
        <v>1484</v>
      </c>
      <c r="N158" s="40" t="s">
        <v>485</v>
      </c>
      <c r="O158" s="40" t="s">
        <v>97</v>
      </c>
      <c r="P158" s="40">
        <v>0</v>
      </c>
      <c r="Q158" s="40" t="s">
        <v>24</v>
      </c>
      <c r="R158" s="40" t="s">
        <v>18</v>
      </c>
      <c r="S158" s="40" t="s">
        <v>19</v>
      </c>
    </row>
    <row r="159" spans="1:19" x14ac:dyDescent="0.25">
      <c r="A159" s="39" t="s">
        <v>1499</v>
      </c>
      <c r="B159" s="39"/>
      <c r="C159" s="39" t="s">
        <v>1072</v>
      </c>
      <c r="D159" s="39">
        <v>10500000</v>
      </c>
      <c r="E159" s="39">
        <v>10534303.5</v>
      </c>
      <c r="F159" s="39">
        <v>10500000</v>
      </c>
      <c r="G159" s="39" t="s">
        <v>1073</v>
      </c>
      <c r="H159" s="39">
        <v>7.3254900000000003</v>
      </c>
      <c r="I159" s="39" t="s">
        <v>1074</v>
      </c>
      <c r="J159" s="43">
        <v>50333</v>
      </c>
      <c r="K159" s="39">
        <v>300</v>
      </c>
      <c r="L159" s="39">
        <v>1</v>
      </c>
      <c r="M159" s="39" t="s">
        <v>1484</v>
      </c>
      <c r="N159" s="39" t="s">
        <v>1072</v>
      </c>
      <c r="O159" s="39" t="s">
        <v>122</v>
      </c>
      <c r="P159" s="39">
        <v>9.0328193910000003</v>
      </c>
      <c r="Q159" s="39" t="s">
        <v>28</v>
      </c>
      <c r="R159" s="39" t="s">
        <v>33</v>
      </c>
      <c r="S159" s="39" t="s">
        <v>38</v>
      </c>
    </row>
    <row r="160" spans="1:19" x14ac:dyDescent="0.25">
      <c r="A160" s="40" t="s">
        <v>1499</v>
      </c>
      <c r="B160" s="40"/>
      <c r="C160" s="40" t="s">
        <v>489</v>
      </c>
      <c r="D160" s="40">
        <v>2300000</v>
      </c>
      <c r="E160" s="40">
        <v>2308942.4</v>
      </c>
      <c r="F160" s="40">
        <v>2300000</v>
      </c>
      <c r="G160" s="40" t="s">
        <v>1062</v>
      </c>
      <c r="H160" s="40">
        <v>0</v>
      </c>
      <c r="I160" s="40" t="s">
        <v>488</v>
      </c>
      <c r="J160" s="44">
        <v>50603</v>
      </c>
      <c r="K160" s="40">
        <v>345</v>
      </c>
      <c r="L160" s="40">
        <v>1</v>
      </c>
      <c r="M160" s="40" t="s">
        <v>1484</v>
      </c>
      <c r="N160" s="40" t="s">
        <v>489</v>
      </c>
      <c r="O160" s="40" t="s">
        <v>103</v>
      </c>
      <c r="P160" s="40">
        <v>9.6645991589999998</v>
      </c>
      <c r="Q160" s="40" t="s">
        <v>28</v>
      </c>
      <c r="R160" s="40" t="s">
        <v>33</v>
      </c>
      <c r="S160" s="40" t="s">
        <v>19</v>
      </c>
    </row>
    <row r="161" spans="1:19" x14ac:dyDescent="0.25">
      <c r="A161" s="39" t="s">
        <v>1499</v>
      </c>
      <c r="B161" s="39" t="s">
        <v>1530</v>
      </c>
      <c r="C161" s="39" t="s">
        <v>687</v>
      </c>
      <c r="D161" s="39">
        <v>5100000</v>
      </c>
      <c r="E161" s="39">
        <v>5116411.8</v>
      </c>
      <c r="F161" s="39">
        <v>5100000</v>
      </c>
      <c r="G161" s="39" t="s">
        <v>688</v>
      </c>
      <c r="H161" s="39">
        <v>7.0370999999999997</v>
      </c>
      <c r="I161" s="39" t="s">
        <v>689</v>
      </c>
      <c r="J161" s="43">
        <v>49237</v>
      </c>
      <c r="K161" s="39">
        <v>271.161</v>
      </c>
      <c r="L161" s="39">
        <v>1</v>
      </c>
      <c r="M161" s="39" t="s">
        <v>1484</v>
      </c>
      <c r="N161" s="39" t="s">
        <v>687</v>
      </c>
      <c r="O161" s="39" t="s">
        <v>168</v>
      </c>
      <c r="P161" s="39">
        <v>5.8437278299999997</v>
      </c>
      <c r="Q161" s="39" t="s">
        <v>24</v>
      </c>
      <c r="R161" s="39" t="s">
        <v>25</v>
      </c>
      <c r="S161" s="39" t="s">
        <v>38</v>
      </c>
    </row>
    <row r="162" spans="1:19" x14ac:dyDescent="0.25">
      <c r="A162" s="40" t="s">
        <v>1499</v>
      </c>
      <c r="B162" s="40"/>
      <c r="C162" s="40" t="s">
        <v>1063</v>
      </c>
      <c r="D162" s="40">
        <v>3550000</v>
      </c>
      <c r="E162" s="40">
        <v>3559414.6</v>
      </c>
      <c r="F162" s="40">
        <v>3550000</v>
      </c>
      <c r="G162" s="40" t="s">
        <v>688</v>
      </c>
      <c r="H162" s="40">
        <v>8.1471</v>
      </c>
      <c r="I162" s="40" t="s">
        <v>1064</v>
      </c>
      <c r="J162" s="44">
        <v>49237</v>
      </c>
      <c r="K162" s="40">
        <v>382.161</v>
      </c>
      <c r="L162" s="40">
        <v>1</v>
      </c>
      <c r="M162" s="40" t="s">
        <v>1484</v>
      </c>
      <c r="N162" s="40" t="s">
        <v>1063</v>
      </c>
      <c r="O162" s="40" t="s">
        <v>168</v>
      </c>
      <c r="P162" s="40">
        <v>6.3071643699999997</v>
      </c>
      <c r="Q162" s="40" t="s">
        <v>28</v>
      </c>
      <c r="R162" s="40" t="s">
        <v>29</v>
      </c>
      <c r="S162" s="40" t="s">
        <v>38</v>
      </c>
    </row>
    <row r="163" spans="1:19" x14ac:dyDescent="0.25">
      <c r="A163" s="39" t="s">
        <v>1499</v>
      </c>
      <c r="B163" s="39" t="s">
        <v>1530</v>
      </c>
      <c r="C163" s="39" t="s">
        <v>1063</v>
      </c>
      <c r="D163" s="39">
        <v>3410000</v>
      </c>
      <c r="E163" s="39">
        <v>3419043.32</v>
      </c>
      <c r="F163" s="39">
        <v>3410654.72</v>
      </c>
      <c r="G163" s="39" t="s">
        <v>688</v>
      </c>
      <c r="H163" s="39">
        <v>8.1471</v>
      </c>
      <c r="I163" s="39" t="s">
        <v>1064</v>
      </c>
      <c r="J163" s="43">
        <v>49237</v>
      </c>
      <c r="K163" s="39">
        <v>382.161</v>
      </c>
      <c r="L163" s="39">
        <v>1</v>
      </c>
      <c r="M163" s="39" t="s">
        <v>1484</v>
      </c>
      <c r="N163" s="39" t="s">
        <v>1063</v>
      </c>
      <c r="O163" s="39" t="s">
        <v>168</v>
      </c>
      <c r="P163" s="39">
        <v>6.3071643699999997</v>
      </c>
      <c r="Q163" s="39" t="s">
        <v>28</v>
      </c>
      <c r="R163" s="39" t="s">
        <v>29</v>
      </c>
      <c r="S163" s="39" t="s">
        <v>38</v>
      </c>
    </row>
    <row r="164" spans="1:19" x14ac:dyDescent="0.25">
      <c r="A164" s="40" t="s">
        <v>1499</v>
      </c>
      <c r="B164" s="40"/>
      <c r="C164" s="40" t="s">
        <v>1065</v>
      </c>
      <c r="D164" s="40">
        <v>4000000</v>
      </c>
      <c r="E164" s="40">
        <v>3980572</v>
      </c>
      <c r="F164" s="40">
        <v>3970000</v>
      </c>
      <c r="G164" s="40" t="s">
        <v>1066</v>
      </c>
      <c r="H164" s="40">
        <v>8.2370999999999999</v>
      </c>
      <c r="I164" s="40" t="s">
        <v>1067</v>
      </c>
      <c r="J164" s="44">
        <v>49145</v>
      </c>
      <c r="K164" s="40">
        <v>391.161</v>
      </c>
      <c r="L164" s="40">
        <v>1</v>
      </c>
      <c r="M164" s="40" t="s">
        <v>1484</v>
      </c>
      <c r="N164" s="40" t="s">
        <v>1065</v>
      </c>
      <c r="O164" s="40" t="s">
        <v>168</v>
      </c>
      <c r="P164" s="40">
        <v>6.1576218349999996</v>
      </c>
      <c r="Q164" s="40" t="s">
        <v>28</v>
      </c>
      <c r="R164" s="40" t="s">
        <v>29</v>
      </c>
      <c r="S164" s="40" t="s">
        <v>38</v>
      </c>
    </row>
    <row r="165" spans="1:19" x14ac:dyDescent="0.25">
      <c r="A165" s="39" t="s">
        <v>1499</v>
      </c>
      <c r="B165" s="39"/>
      <c r="C165" s="39" t="s">
        <v>1065</v>
      </c>
      <c r="D165" s="39">
        <v>470000</v>
      </c>
      <c r="E165" s="39">
        <v>467717.21</v>
      </c>
      <c r="F165" s="39">
        <v>470564.47</v>
      </c>
      <c r="G165" s="39" t="s">
        <v>1066</v>
      </c>
      <c r="H165" s="39">
        <v>8.2370999999999999</v>
      </c>
      <c r="I165" s="39" t="s">
        <v>1067</v>
      </c>
      <c r="J165" s="43">
        <v>49145</v>
      </c>
      <c r="K165" s="39">
        <v>391.161</v>
      </c>
      <c r="L165" s="39">
        <v>1</v>
      </c>
      <c r="M165" s="39" t="s">
        <v>1484</v>
      </c>
      <c r="N165" s="39" t="s">
        <v>1065</v>
      </c>
      <c r="O165" s="39" t="s">
        <v>168</v>
      </c>
      <c r="P165" s="39">
        <v>6.1576218349999996</v>
      </c>
      <c r="Q165" s="39" t="s">
        <v>28</v>
      </c>
      <c r="R165" s="39" t="s">
        <v>29</v>
      </c>
      <c r="S165" s="39" t="s">
        <v>38</v>
      </c>
    </row>
    <row r="166" spans="1:19" x14ac:dyDescent="0.25">
      <c r="A166" s="40" t="s">
        <v>1499</v>
      </c>
      <c r="B166" s="40"/>
      <c r="C166" s="40" t="s">
        <v>1065</v>
      </c>
      <c r="D166" s="40">
        <v>480000</v>
      </c>
      <c r="E166" s="40">
        <v>477668.64</v>
      </c>
      <c r="F166" s="40">
        <v>481136.16</v>
      </c>
      <c r="G166" s="40" t="s">
        <v>1066</v>
      </c>
      <c r="H166" s="40">
        <v>8.2370999999999999</v>
      </c>
      <c r="I166" s="40" t="s">
        <v>1067</v>
      </c>
      <c r="J166" s="44">
        <v>49145</v>
      </c>
      <c r="K166" s="40">
        <v>391.161</v>
      </c>
      <c r="L166" s="40">
        <v>1</v>
      </c>
      <c r="M166" s="40" t="s">
        <v>1484</v>
      </c>
      <c r="N166" s="40" t="s">
        <v>1065</v>
      </c>
      <c r="O166" s="40" t="s">
        <v>168</v>
      </c>
      <c r="P166" s="40">
        <v>6.1576218349999996</v>
      </c>
      <c r="Q166" s="40" t="s">
        <v>28</v>
      </c>
      <c r="R166" s="40" t="s">
        <v>29</v>
      </c>
      <c r="S166" s="40" t="s">
        <v>38</v>
      </c>
    </row>
    <row r="167" spans="1:19" x14ac:dyDescent="0.25">
      <c r="A167" s="39" t="s">
        <v>1499</v>
      </c>
      <c r="B167" s="39"/>
      <c r="C167" s="39" t="s">
        <v>495</v>
      </c>
      <c r="D167" s="39">
        <v>5100000</v>
      </c>
      <c r="E167" s="39">
        <v>5119833.9000000004</v>
      </c>
      <c r="F167" s="39">
        <v>5100000</v>
      </c>
      <c r="G167" s="39" t="s">
        <v>493</v>
      </c>
      <c r="H167" s="39">
        <v>0</v>
      </c>
      <c r="I167" s="39" t="s">
        <v>494</v>
      </c>
      <c r="J167" s="43">
        <v>50610</v>
      </c>
      <c r="K167" s="39">
        <v>275</v>
      </c>
      <c r="L167" s="39"/>
      <c r="M167" s="39" t="s">
        <v>1484</v>
      </c>
      <c r="N167" s="39" t="s">
        <v>495</v>
      </c>
      <c r="O167" s="39" t="s">
        <v>104</v>
      </c>
      <c r="P167" s="39">
        <v>9.6223237469999994</v>
      </c>
      <c r="Q167" s="39" t="s">
        <v>28</v>
      </c>
      <c r="R167" s="39" t="s">
        <v>33</v>
      </c>
      <c r="S167" s="39" t="s">
        <v>19</v>
      </c>
    </row>
    <row r="168" spans="1:19" x14ac:dyDescent="0.25">
      <c r="A168" s="40" t="s">
        <v>1499</v>
      </c>
      <c r="B168" s="40"/>
      <c r="C168" s="40" t="s">
        <v>499</v>
      </c>
      <c r="D168" s="40">
        <v>3135088</v>
      </c>
      <c r="E168" s="40">
        <v>3137850.01</v>
      </c>
      <c r="F168" s="40">
        <v>3135088</v>
      </c>
      <c r="G168" s="40" t="s">
        <v>690</v>
      </c>
      <c r="H168" s="40">
        <v>6.3254900000000003</v>
      </c>
      <c r="I168" s="40" t="s">
        <v>498</v>
      </c>
      <c r="J168" s="44">
        <v>50971</v>
      </c>
      <c r="K168" s="40">
        <v>200</v>
      </c>
      <c r="L168" s="40">
        <v>1</v>
      </c>
      <c r="M168" s="40" t="s">
        <v>1484</v>
      </c>
      <c r="N168" s="40" t="s">
        <v>499</v>
      </c>
      <c r="O168" s="40" t="s">
        <v>105</v>
      </c>
      <c r="P168" s="40">
        <v>9.1879788100000006</v>
      </c>
      <c r="Q168" s="40" t="s">
        <v>24</v>
      </c>
      <c r="R168" s="40" t="s">
        <v>33</v>
      </c>
      <c r="S168" s="40" t="s">
        <v>34</v>
      </c>
    </row>
    <row r="169" spans="1:19" x14ac:dyDescent="0.25">
      <c r="A169" s="39" t="s">
        <v>1499</v>
      </c>
      <c r="B169" s="39"/>
      <c r="C169" s="39" t="s">
        <v>503</v>
      </c>
      <c r="D169" s="39">
        <v>3300000</v>
      </c>
      <c r="E169" s="39">
        <v>3303725.7</v>
      </c>
      <c r="F169" s="39">
        <v>3300000</v>
      </c>
      <c r="G169" s="39" t="s">
        <v>690</v>
      </c>
      <c r="H169" s="39">
        <v>7.3754900000000001</v>
      </c>
      <c r="I169" s="39" t="s">
        <v>502</v>
      </c>
      <c r="J169" s="43">
        <v>50971</v>
      </c>
      <c r="K169" s="39">
        <v>305</v>
      </c>
      <c r="L169" s="39">
        <v>1</v>
      </c>
      <c r="M169" s="39" t="s">
        <v>1484</v>
      </c>
      <c r="N169" s="39" t="s">
        <v>503</v>
      </c>
      <c r="O169" s="39" t="s">
        <v>105</v>
      </c>
      <c r="P169" s="39">
        <v>9.7230353770000004</v>
      </c>
      <c r="Q169" s="39" t="s">
        <v>28</v>
      </c>
      <c r="R169" s="39" t="s">
        <v>33</v>
      </c>
      <c r="S169" s="39" t="s">
        <v>38</v>
      </c>
    </row>
    <row r="170" spans="1:19" x14ac:dyDescent="0.25">
      <c r="A170" s="40" t="s">
        <v>1499</v>
      </c>
      <c r="B170" s="40"/>
      <c r="C170" s="40" t="s">
        <v>1070</v>
      </c>
      <c r="D170" s="40">
        <v>8000000</v>
      </c>
      <c r="E170" s="40">
        <v>8078272</v>
      </c>
      <c r="F170" s="40">
        <v>8000000</v>
      </c>
      <c r="G170" s="40" t="s">
        <v>690</v>
      </c>
      <c r="H170" s="40">
        <v>7.4175500000000003</v>
      </c>
      <c r="I170" s="40" t="s">
        <v>1071</v>
      </c>
      <c r="J170" s="44">
        <v>50328</v>
      </c>
      <c r="K170" s="40">
        <v>310</v>
      </c>
      <c r="L170" s="40">
        <v>1</v>
      </c>
      <c r="M170" s="40" t="s">
        <v>1484</v>
      </c>
      <c r="N170" s="40" t="s">
        <v>1070</v>
      </c>
      <c r="O170" s="40" t="s">
        <v>105</v>
      </c>
      <c r="P170" s="40">
        <v>9.0226220599999998</v>
      </c>
      <c r="Q170" s="40" t="s">
        <v>28</v>
      </c>
      <c r="R170" s="40" t="s">
        <v>33</v>
      </c>
      <c r="S170" s="40" t="s">
        <v>38</v>
      </c>
    </row>
    <row r="171" spans="1:19" x14ac:dyDescent="0.25">
      <c r="A171" s="39" t="s">
        <v>1499</v>
      </c>
      <c r="B171" s="39"/>
      <c r="C171" s="39" t="s">
        <v>1068</v>
      </c>
      <c r="D171" s="39">
        <v>1000000</v>
      </c>
      <c r="E171" s="39">
        <v>1006607</v>
      </c>
      <c r="F171" s="39">
        <v>1000000</v>
      </c>
      <c r="G171" s="39" t="s">
        <v>690</v>
      </c>
      <c r="H171" s="39">
        <v>8.0675500000000007</v>
      </c>
      <c r="I171" s="39" t="s">
        <v>1069</v>
      </c>
      <c r="J171" s="43">
        <v>50145</v>
      </c>
      <c r="K171" s="39">
        <v>375</v>
      </c>
      <c r="L171" s="39">
        <v>1</v>
      </c>
      <c r="M171" s="39" t="s">
        <v>1484</v>
      </c>
      <c r="N171" s="39" t="s">
        <v>1068</v>
      </c>
      <c r="O171" s="39" t="s">
        <v>169</v>
      </c>
      <c r="P171" s="39">
        <v>8.5257213259999993</v>
      </c>
      <c r="Q171" s="39" t="s">
        <v>28</v>
      </c>
      <c r="R171" s="39" t="s">
        <v>33</v>
      </c>
      <c r="S171" s="39" t="s">
        <v>38</v>
      </c>
    </row>
    <row r="172" spans="1:19" x14ac:dyDescent="0.25">
      <c r="A172" s="40" t="s">
        <v>1499</v>
      </c>
      <c r="B172" s="40" t="s">
        <v>1530</v>
      </c>
      <c r="C172" s="40" t="s">
        <v>1082</v>
      </c>
      <c r="D172" s="40">
        <v>6800000</v>
      </c>
      <c r="E172" s="40">
        <v>6811641.5999999996</v>
      </c>
      <c r="F172" s="40">
        <v>6800000</v>
      </c>
      <c r="G172" s="40" t="s">
        <v>297</v>
      </c>
      <c r="H172" s="40">
        <v>8.0870999999999995</v>
      </c>
      <c r="I172" s="40" t="s">
        <v>1083</v>
      </c>
      <c r="J172" s="44">
        <v>49237</v>
      </c>
      <c r="K172" s="40">
        <v>376.161</v>
      </c>
      <c r="L172" s="40">
        <v>1</v>
      </c>
      <c r="M172" s="40" t="s">
        <v>1484</v>
      </c>
      <c r="N172" s="40" t="s">
        <v>1082</v>
      </c>
      <c r="O172" s="40" t="s">
        <v>106</v>
      </c>
      <c r="P172" s="40">
        <v>6.1937311719999997</v>
      </c>
      <c r="Q172" s="40" t="s">
        <v>28</v>
      </c>
      <c r="R172" s="40" t="s">
        <v>29</v>
      </c>
      <c r="S172" s="40" t="s">
        <v>38</v>
      </c>
    </row>
    <row r="173" spans="1:19" x14ac:dyDescent="0.25">
      <c r="A173" s="39" t="s">
        <v>1499</v>
      </c>
      <c r="B173" s="39"/>
      <c r="C173" s="39" t="s">
        <v>1082</v>
      </c>
      <c r="D173" s="39">
        <v>340000</v>
      </c>
      <c r="E173" s="39">
        <v>340582.08</v>
      </c>
      <c r="F173" s="39">
        <v>336661.88</v>
      </c>
      <c r="G173" s="39" t="s">
        <v>297</v>
      </c>
      <c r="H173" s="39">
        <v>8.0870999999999995</v>
      </c>
      <c r="I173" s="39" t="s">
        <v>1083</v>
      </c>
      <c r="J173" s="43">
        <v>49237</v>
      </c>
      <c r="K173" s="39">
        <v>376.161</v>
      </c>
      <c r="L173" s="39">
        <v>1</v>
      </c>
      <c r="M173" s="39" t="s">
        <v>1484</v>
      </c>
      <c r="N173" s="39" t="s">
        <v>1082</v>
      </c>
      <c r="O173" s="39" t="s">
        <v>106</v>
      </c>
      <c r="P173" s="39">
        <v>6.1937311719999997</v>
      </c>
      <c r="Q173" s="39" t="s">
        <v>28</v>
      </c>
      <c r="R173" s="39" t="s">
        <v>29</v>
      </c>
      <c r="S173" s="39" t="s">
        <v>38</v>
      </c>
    </row>
    <row r="174" spans="1:19" x14ac:dyDescent="0.25">
      <c r="A174" s="40" t="s">
        <v>1499</v>
      </c>
      <c r="B174" s="40" t="s">
        <v>1530</v>
      </c>
      <c r="C174" s="40" t="s">
        <v>1082</v>
      </c>
      <c r="D174" s="40">
        <v>340000</v>
      </c>
      <c r="E174" s="40">
        <v>340582.08</v>
      </c>
      <c r="F174" s="40">
        <v>339576.44</v>
      </c>
      <c r="G174" s="40" t="s">
        <v>297</v>
      </c>
      <c r="H174" s="40">
        <v>8.0870999999999995</v>
      </c>
      <c r="I174" s="40" t="s">
        <v>1083</v>
      </c>
      <c r="J174" s="44">
        <v>49237</v>
      </c>
      <c r="K174" s="40">
        <v>376.161</v>
      </c>
      <c r="L174" s="40">
        <v>1</v>
      </c>
      <c r="M174" s="40" t="s">
        <v>1484</v>
      </c>
      <c r="N174" s="40" t="s">
        <v>1082</v>
      </c>
      <c r="O174" s="40" t="s">
        <v>106</v>
      </c>
      <c r="P174" s="40">
        <v>6.1937311719999997</v>
      </c>
      <c r="Q174" s="40" t="s">
        <v>28</v>
      </c>
      <c r="R174" s="40" t="s">
        <v>29</v>
      </c>
      <c r="S174" s="40" t="s">
        <v>38</v>
      </c>
    </row>
    <row r="175" spans="1:19" x14ac:dyDescent="0.25">
      <c r="A175" s="39" t="s">
        <v>1499</v>
      </c>
      <c r="B175" s="39"/>
      <c r="C175" s="39" t="s">
        <v>1082</v>
      </c>
      <c r="D175" s="39">
        <v>370000</v>
      </c>
      <c r="E175" s="39">
        <v>370633.44</v>
      </c>
      <c r="F175" s="39">
        <v>370847.27</v>
      </c>
      <c r="G175" s="39" t="s">
        <v>297</v>
      </c>
      <c r="H175" s="39">
        <v>8.0870999999999995</v>
      </c>
      <c r="I175" s="39" t="s">
        <v>1083</v>
      </c>
      <c r="J175" s="43">
        <v>49237</v>
      </c>
      <c r="K175" s="39">
        <v>376.161</v>
      </c>
      <c r="L175" s="39">
        <v>1</v>
      </c>
      <c r="M175" s="39" t="s">
        <v>1484</v>
      </c>
      <c r="N175" s="39" t="s">
        <v>1082</v>
      </c>
      <c r="O175" s="39" t="s">
        <v>106</v>
      </c>
      <c r="P175" s="39">
        <v>6.1937311719999997</v>
      </c>
      <c r="Q175" s="39" t="s">
        <v>28</v>
      </c>
      <c r="R175" s="39" t="s">
        <v>29</v>
      </c>
      <c r="S175" s="39" t="s">
        <v>38</v>
      </c>
    </row>
    <row r="176" spans="1:19" x14ac:dyDescent="0.25">
      <c r="A176" s="40" t="s">
        <v>1499</v>
      </c>
      <c r="B176" s="40" t="s">
        <v>1530</v>
      </c>
      <c r="C176" s="40" t="s">
        <v>1078</v>
      </c>
      <c r="D176" s="40">
        <v>3500000</v>
      </c>
      <c r="E176" s="40">
        <v>3401090</v>
      </c>
      <c r="F176" s="40">
        <v>3500000</v>
      </c>
      <c r="G176" s="40" t="s">
        <v>297</v>
      </c>
      <c r="H176" s="40">
        <v>8.1870999999999992</v>
      </c>
      <c r="I176" s="40" t="s">
        <v>1079</v>
      </c>
      <c r="J176" s="44">
        <v>49329</v>
      </c>
      <c r="K176" s="40">
        <v>386.161</v>
      </c>
      <c r="L176" s="40">
        <v>1</v>
      </c>
      <c r="M176" s="40" t="s">
        <v>1484</v>
      </c>
      <c r="N176" s="40" t="s">
        <v>1078</v>
      </c>
      <c r="O176" s="40" t="s">
        <v>106</v>
      </c>
      <c r="P176" s="40">
        <v>6.4876421239999997</v>
      </c>
      <c r="Q176" s="40" t="s">
        <v>28</v>
      </c>
      <c r="R176" s="40" t="s">
        <v>29</v>
      </c>
      <c r="S176" s="40" t="s">
        <v>38</v>
      </c>
    </row>
    <row r="177" spans="1:19" x14ac:dyDescent="0.25">
      <c r="A177" s="39" t="s">
        <v>1499</v>
      </c>
      <c r="B177" s="39" t="s">
        <v>1530</v>
      </c>
      <c r="C177" s="39" t="s">
        <v>1080</v>
      </c>
      <c r="D177" s="39">
        <v>5452500</v>
      </c>
      <c r="E177" s="39">
        <v>5340402.05</v>
      </c>
      <c r="F177" s="39">
        <v>5452500</v>
      </c>
      <c r="G177" s="39" t="s">
        <v>297</v>
      </c>
      <c r="H177" s="39">
        <v>7.9840099999999996</v>
      </c>
      <c r="I177" s="39" t="s">
        <v>1081</v>
      </c>
      <c r="J177" s="43">
        <v>49051</v>
      </c>
      <c r="K177" s="39">
        <v>366.161</v>
      </c>
      <c r="L177" s="39">
        <v>1</v>
      </c>
      <c r="M177" s="39" t="s">
        <v>1484</v>
      </c>
      <c r="N177" s="39" t="s">
        <v>1080</v>
      </c>
      <c r="O177" s="39" t="s">
        <v>106</v>
      </c>
      <c r="P177" s="39">
        <v>6.0233941409999998</v>
      </c>
      <c r="Q177" s="39" t="s">
        <v>28</v>
      </c>
      <c r="R177" s="39" t="s">
        <v>29</v>
      </c>
      <c r="S177" s="39" t="s">
        <v>38</v>
      </c>
    </row>
    <row r="178" spans="1:19" x14ac:dyDescent="0.25">
      <c r="A178" s="40" t="s">
        <v>1499</v>
      </c>
      <c r="B178" s="40"/>
      <c r="C178" s="40" t="s">
        <v>1080</v>
      </c>
      <c r="D178" s="40">
        <v>8178750</v>
      </c>
      <c r="E178" s="40">
        <v>8010603.0800000001</v>
      </c>
      <c r="F178" s="40">
        <v>8179633.3099999996</v>
      </c>
      <c r="G178" s="40" t="s">
        <v>297</v>
      </c>
      <c r="H178" s="40">
        <v>7.9840099999999996</v>
      </c>
      <c r="I178" s="40" t="s">
        <v>1081</v>
      </c>
      <c r="J178" s="44">
        <v>49051</v>
      </c>
      <c r="K178" s="40">
        <v>366.161</v>
      </c>
      <c r="L178" s="40">
        <v>1</v>
      </c>
      <c r="M178" s="40" t="s">
        <v>1484</v>
      </c>
      <c r="N178" s="40" t="s">
        <v>1080</v>
      </c>
      <c r="O178" s="40" t="s">
        <v>106</v>
      </c>
      <c r="P178" s="40">
        <v>6.0233941409999998</v>
      </c>
      <c r="Q178" s="40" t="s">
        <v>28</v>
      </c>
      <c r="R178" s="40" t="s">
        <v>29</v>
      </c>
      <c r="S178" s="40" t="s">
        <v>38</v>
      </c>
    </row>
    <row r="179" spans="1:19" x14ac:dyDescent="0.25">
      <c r="A179" s="39" t="s">
        <v>1499</v>
      </c>
      <c r="B179" s="39" t="s">
        <v>1530</v>
      </c>
      <c r="C179" s="39" t="s">
        <v>1080</v>
      </c>
      <c r="D179" s="39">
        <v>520000</v>
      </c>
      <c r="E179" s="39">
        <v>509309.32</v>
      </c>
      <c r="F179" s="39">
        <v>492994.32</v>
      </c>
      <c r="G179" s="39" t="s">
        <v>297</v>
      </c>
      <c r="H179" s="39">
        <v>7.9840099999999996</v>
      </c>
      <c r="I179" s="39" t="s">
        <v>1081</v>
      </c>
      <c r="J179" s="43">
        <v>49051</v>
      </c>
      <c r="K179" s="39">
        <v>366.161</v>
      </c>
      <c r="L179" s="39">
        <v>1</v>
      </c>
      <c r="M179" s="39" t="s">
        <v>1484</v>
      </c>
      <c r="N179" s="39" t="s">
        <v>1080</v>
      </c>
      <c r="O179" s="39" t="s">
        <v>106</v>
      </c>
      <c r="P179" s="39">
        <v>6.0233941409999998</v>
      </c>
      <c r="Q179" s="39" t="s">
        <v>28</v>
      </c>
      <c r="R179" s="39" t="s">
        <v>29</v>
      </c>
      <c r="S179" s="39" t="s">
        <v>38</v>
      </c>
    </row>
    <row r="180" spans="1:19" x14ac:dyDescent="0.25">
      <c r="A180" s="40" t="s">
        <v>1499</v>
      </c>
      <c r="B180" s="40"/>
      <c r="C180" s="40" t="s">
        <v>1088</v>
      </c>
      <c r="D180" s="40">
        <v>9000000</v>
      </c>
      <c r="E180" s="40">
        <v>9069813</v>
      </c>
      <c r="F180" s="40">
        <v>9000000</v>
      </c>
      <c r="G180" s="40" t="s">
        <v>692</v>
      </c>
      <c r="H180" s="40">
        <v>8.1819900000000008</v>
      </c>
      <c r="I180" s="40" t="s">
        <v>1089</v>
      </c>
      <c r="J180" s="44">
        <v>50152</v>
      </c>
      <c r="K180" s="40">
        <v>385</v>
      </c>
      <c r="L180" s="40">
        <v>1</v>
      </c>
      <c r="M180" s="40" t="s">
        <v>1484</v>
      </c>
      <c r="N180" s="40" t="s">
        <v>1088</v>
      </c>
      <c r="O180" s="40" t="s">
        <v>116</v>
      </c>
      <c r="P180" s="40">
        <v>8.754830321</v>
      </c>
      <c r="Q180" s="40" t="s">
        <v>28</v>
      </c>
      <c r="R180" s="40" t="s">
        <v>33</v>
      </c>
      <c r="S180" s="40" t="s">
        <v>38</v>
      </c>
    </row>
    <row r="181" spans="1:19" x14ac:dyDescent="0.25">
      <c r="A181" s="39" t="s">
        <v>1499</v>
      </c>
      <c r="B181" s="39"/>
      <c r="C181" s="39" t="s">
        <v>1084</v>
      </c>
      <c r="D181" s="39">
        <v>2750000</v>
      </c>
      <c r="E181" s="39">
        <v>2758159.25</v>
      </c>
      <c r="F181" s="39">
        <v>2543750</v>
      </c>
      <c r="G181" s="39" t="s">
        <v>692</v>
      </c>
      <c r="H181" s="39">
        <v>7.5936000000000003</v>
      </c>
      <c r="I181" s="39" t="s">
        <v>1085</v>
      </c>
      <c r="J181" s="43">
        <v>49239</v>
      </c>
      <c r="K181" s="39">
        <v>326.161</v>
      </c>
      <c r="L181" s="39">
        <v>1</v>
      </c>
      <c r="M181" s="39" t="s">
        <v>1484</v>
      </c>
      <c r="N181" s="39" t="s">
        <v>1084</v>
      </c>
      <c r="O181" s="39" t="s">
        <v>116</v>
      </c>
      <c r="P181" s="39">
        <v>6.3391075299999997</v>
      </c>
      <c r="Q181" s="39" t="s">
        <v>28</v>
      </c>
      <c r="R181" s="39" t="s">
        <v>29</v>
      </c>
      <c r="S181" s="39" t="s">
        <v>38</v>
      </c>
    </row>
    <row r="182" spans="1:19" x14ac:dyDescent="0.25">
      <c r="A182" s="40" t="s">
        <v>1499</v>
      </c>
      <c r="B182" s="40"/>
      <c r="C182" s="40" t="s">
        <v>1086</v>
      </c>
      <c r="D182" s="40">
        <v>1500000</v>
      </c>
      <c r="E182" s="40">
        <v>1503357</v>
      </c>
      <c r="F182" s="40">
        <v>1500000</v>
      </c>
      <c r="G182" s="40" t="s">
        <v>692</v>
      </c>
      <c r="H182" s="40">
        <v>7.5319900000000004</v>
      </c>
      <c r="I182" s="40" t="s">
        <v>1087</v>
      </c>
      <c r="J182" s="44">
        <v>50335</v>
      </c>
      <c r="K182" s="40">
        <v>320</v>
      </c>
      <c r="L182" s="40">
        <v>1</v>
      </c>
      <c r="M182" s="40" t="s">
        <v>1484</v>
      </c>
      <c r="N182" s="40" t="s">
        <v>1086</v>
      </c>
      <c r="O182" s="40" t="s">
        <v>116</v>
      </c>
      <c r="P182" s="40">
        <v>9.1435837269999993</v>
      </c>
      <c r="Q182" s="40" t="s">
        <v>28</v>
      </c>
      <c r="R182" s="40" t="s">
        <v>33</v>
      </c>
      <c r="S182" s="40" t="s">
        <v>38</v>
      </c>
    </row>
    <row r="183" spans="1:19" x14ac:dyDescent="0.25">
      <c r="A183" s="39" t="s">
        <v>1499</v>
      </c>
      <c r="B183" s="39"/>
      <c r="C183" s="39" t="s">
        <v>691</v>
      </c>
      <c r="D183" s="39">
        <v>2000000</v>
      </c>
      <c r="E183" s="39">
        <v>2016694</v>
      </c>
      <c r="F183" s="39">
        <v>2000000</v>
      </c>
      <c r="G183" s="39" t="s">
        <v>692</v>
      </c>
      <c r="H183" s="39">
        <v>6.7175500000000001</v>
      </c>
      <c r="I183" s="39" t="s">
        <v>693</v>
      </c>
      <c r="J183" s="43">
        <v>50236</v>
      </c>
      <c r="K183" s="39">
        <v>240</v>
      </c>
      <c r="L183" s="39">
        <v>1</v>
      </c>
      <c r="M183" s="39" t="s">
        <v>1484</v>
      </c>
      <c r="N183" s="39" t="s">
        <v>691</v>
      </c>
      <c r="O183" s="39" t="s">
        <v>116</v>
      </c>
      <c r="P183" s="39">
        <v>8.3316300539999997</v>
      </c>
      <c r="Q183" s="39" t="s">
        <v>24</v>
      </c>
      <c r="R183" s="39" t="s">
        <v>33</v>
      </c>
      <c r="S183" s="39" t="s">
        <v>34</v>
      </c>
    </row>
    <row r="184" spans="1:19" x14ac:dyDescent="0.25">
      <c r="A184" s="40" t="s">
        <v>1499</v>
      </c>
      <c r="B184" s="40"/>
      <c r="C184" s="40" t="s">
        <v>1090</v>
      </c>
      <c r="D184" s="40">
        <v>2000000</v>
      </c>
      <c r="E184" s="40">
        <v>2018016</v>
      </c>
      <c r="F184" s="40">
        <v>2000000</v>
      </c>
      <c r="G184" s="40" t="s">
        <v>692</v>
      </c>
      <c r="H184" s="40">
        <v>7.9175500000000003</v>
      </c>
      <c r="I184" s="40" t="s">
        <v>1091</v>
      </c>
      <c r="J184" s="44">
        <v>50236</v>
      </c>
      <c r="K184" s="40">
        <v>360</v>
      </c>
      <c r="L184" s="40">
        <v>1</v>
      </c>
      <c r="M184" s="40" t="s">
        <v>1484</v>
      </c>
      <c r="N184" s="40" t="s">
        <v>1090</v>
      </c>
      <c r="O184" s="40" t="s">
        <v>116</v>
      </c>
      <c r="P184" s="40">
        <v>8.8945877759999998</v>
      </c>
      <c r="Q184" s="40" t="s">
        <v>28</v>
      </c>
      <c r="R184" s="40" t="s">
        <v>33</v>
      </c>
      <c r="S184" s="40" t="s">
        <v>38</v>
      </c>
    </row>
    <row r="185" spans="1:19" x14ac:dyDescent="0.25">
      <c r="A185" s="39" t="s">
        <v>1499</v>
      </c>
      <c r="B185" s="39"/>
      <c r="C185" s="39" t="s">
        <v>1094</v>
      </c>
      <c r="D185" s="39">
        <v>1681000</v>
      </c>
      <c r="E185" s="39">
        <v>1681084.05</v>
      </c>
      <c r="F185" s="39">
        <v>1681000</v>
      </c>
      <c r="G185" s="39" t="s">
        <v>1095</v>
      </c>
      <c r="H185" s="39">
        <v>8.4800699999999996</v>
      </c>
      <c r="I185" s="39" t="s">
        <v>1096</v>
      </c>
      <c r="J185" s="43">
        <v>49150</v>
      </c>
      <c r="K185" s="39">
        <v>416.161</v>
      </c>
      <c r="L185" s="39">
        <v>1</v>
      </c>
      <c r="M185" s="39" t="s">
        <v>1484</v>
      </c>
      <c r="N185" s="39" t="s">
        <v>1094</v>
      </c>
      <c r="O185" s="39" t="s">
        <v>103</v>
      </c>
      <c r="P185" s="39">
        <v>5.5992404479999998</v>
      </c>
      <c r="Q185" s="39" t="s">
        <v>28</v>
      </c>
      <c r="R185" s="39" t="s">
        <v>25</v>
      </c>
      <c r="S185" s="39" t="s">
        <v>38</v>
      </c>
    </row>
    <row r="186" spans="1:19" x14ac:dyDescent="0.25">
      <c r="A186" s="40" t="s">
        <v>1499</v>
      </c>
      <c r="B186" s="40" t="s">
        <v>1532</v>
      </c>
      <c r="C186" s="40" t="s">
        <v>1094</v>
      </c>
      <c r="D186" s="40">
        <v>2074104</v>
      </c>
      <c r="E186" s="40">
        <v>2074207.71</v>
      </c>
      <c r="F186" s="40">
        <v>2074104</v>
      </c>
      <c r="G186" s="40" t="s">
        <v>1095</v>
      </c>
      <c r="H186" s="40">
        <v>8.4800699999999996</v>
      </c>
      <c r="I186" s="40" t="s">
        <v>1096</v>
      </c>
      <c r="J186" s="44">
        <v>49150</v>
      </c>
      <c r="K186" s="40">
        <v>416.161</v>
      </c>
      <c r="L186" s="40">
        <v>1</v>
      </c>
      <c r="M186" s="40" t="s">
        <v>1484</v>
      </c>
      <c r="N186" s="40" t="s">
        <v>1094</v>
      </c>
      <c r="O186" s="40" t="s">
        <v>103</v>
      </c>
      <c r="P186" s="40">
        <v>5.5992404479999998</v>
      </c>
      <c r="Q186" s="40" t="s">
        <v>28</v>
      </c>
      <c r="R186" s="40" t="s">
        <v>25</v>
      </c>
      <c r="S186" s="40" t="s">
        <v>38</v>
      </c>
    </row>
    <row r="187" spans="1:19" x14ac:dyDescent="0.25">
      <c r="A187" s="39" t="s">
        <v>1499</v>
      </c>
      <c r="B187" s="39"/>
      <c r="C187" s="39" t="s">
        <v>1094</v>
      </c>
      <c r="D187" s="39">
        <v>120001</v>
      </c>
      <c r="E187" s="39">
        <v>120007</v>
      </c>
      <c r="F187" s="39">
        <v>120500.56</v>
      </c>
      <c r="G187" s="39" t="s">
        <v>1095</v>
      </c>
      <c r="H187" s="39">
        <v>8.4800699999999996</v>
      </c>
      <c r="I187" s="39" t="s">
        <v>1096</v>
      </c>
      <c r="J187" s="43">
        <v>49150</v>
      </c>
      <c r="K187" s="39">
        <v>416.161</v>
      </c>
      <c r="L187" s="39">
        <v>1</v>
      </c>
      <c r="M187" s="39" t="s">
        <v>1484</v>
      </c>
      <c r="N187" s="39" t="s">
        <v>1094</v>
      </c>
      <c r="O187" s="39" t="s">
        <v>103</v>
      </c>
      <c r="P187" s="39">
        <v>5.5992404479999998</v>
      </c>
      <c r="Q187" s="39" t="s">
        <v>28</v>
      </c>
      <c r="R187" s="39" t="s">
        <v>25</v>
      </c>
      <c r="S187" s="39" t="s">
        <v>38</v>
      </c>
    </row>
    <row r="188" spans="1:19" x14ac:dyDescent="0.25">
      <c r="A188" s="40" t="s">
        <v>1499</v>
      </c>
      <c r="B188" s="40"/>
      <c r="C188" s="40" t="s">
        <v>1094</v>
      </c>
      <c r="D188" s="40">
        <v>220000</v>
      </c>
      <c r="E188" s="40">
        <v>220011</v>
      </c>
      <c r="F188" s="40">
        <v>220896.12</v>
      </c>
      <c r="G188" s="40" t="s">
        <v>1095</v>
      </c>
      <c r="H188" s="40">
        <v>8.4800699999999996</v>
      </c>
      <c r="I188" s="40" t="s">
        <v>1096</v>
      </c>
      <c r="J188" s="44">
        <v>49150</v>
      </c>
      <c r="K188" s="40">
        <v>416.161</v>
      </c>
      <c r="L188" s="40">
        <v>1</v>
      </c>
      <c r="M188" s="40" t="s">
        <v>1484</v>
      </c>
      <c r="N188" s="40" t="s">
        <v>1094</v>
      </c>
      <c r="O188" s="40" t="s">
        <v>103</v>
      </c>
      <c r="P188" s="40">
        <v>5.5992404479999998</v>
      </c>
      <c r="Q188" s="40" t="s">
        <v>28</v>
      </c>
      <c r="R188" s="40" t="s">
        <v>25</v>
      </c>
      <c r="S188" s="40" t="s">
        <v>38</v>
      </c>
    </row>
    <row r="189" spans="1:19" x14ac:dyDescent="0.25">
      <c r="A189" s="39" t="s">
        <v>1499</v>
      </c>
      <c r="B189" s="39" t="s">
        <v>1532</v>
      </c>
      <c r="C189" s="39" t="s">
        <v>1094</v>
      </c>
      <c r="D189" s="39">
        <v>320000</v>
      </c>
      <c r="E189" s="39">
        <v>320016</v>
      </c>
      <c r="F189" s="39">
        <v>320943.46000000002</v>
      </c>
      <c r="G189" s="39" t="s">
        <v>1095</v>
      </c>
      <c r="H189" s="39">
        <v>8.4800699999999996</v>
      </c>
      <c r="I189" s="39" t="s">
        <v>1096</v>
      </c>
      <c r="J189" s="43">
        <v>49150</v>
      </c>
      <c r="K189" s="39">
        <v>416.161</v>
      </c>
      <c r="L189" s="39">
        <v>1</v>
      </c>
      <c r="M189" s="39" t="s">
        <v>1484</v>
      </c>
      <c r="N189" s="39" t="s">
        <v>1094</v>
      </c>
      <c r="O189" s="39" t="s">
        <v>103</v>
      </c>
      <c r="P189" s="39">
        <v>5.5992404479999998</v>
      </c>
      <c r="Q189" s="39" t="s">
        <v>28</v>
      </c>
      <c r="R189" s="39" t="s">
        <v>25</v>
      </c>
      <c r="S189" s="39" t="s">
        <v>38</v>
      </c>
    </row>
    <row r="190" spans="1:19" x14ac:dyDescent="0.25">
      <c r="A190" s="40" t="s">
        <v>1499</v>
      </c>
      <c r="B190" s="40" t="s">
        <v>1530</v>
      </c>
      <c r="C190" s="40" t="s">
        <v>1097</v>
      </c>
      <c r="D190" s="40">
        <v>8750000</v>
      </c>
      <c r="E190" s="40">
        <v>8766213.75</v>
      </c>
      <c r="F190" s="40">
        <v>8750778.75</v>
      </c>
      <c r="G190" s="40" t="s">
        <v>1095</v>
      </c>
      <c r="H190" s="40">
        <v>7.83188</v>
      </c>
      <c r="I190" s="40" t="s">
        <v>1098</v>
      </c>
      <c r="J190" s="44">
        <v>48043</v>
      </c>
      <c r="K190" s="40">
        <v>351.161</v>
      </c>
      <c r="L190" s="40">
        <v>1</v>
      </c>
      <c r="M190" s="40" t="s">
        <v>1484</v>
      </c>
      <c r="N190" s="40" t="s">
        <v>1097</v>
      </c>
      <c r="O190" s="40" t="s">
        <v>170</v>
      </c>
      <c r="P190" s="40">
        <v>3.2610679070000002</v>
      </c>
      <c r="Q190" s="40" t="s">
        <v>28</v>
      </c>
      <c r="R190" s="40" t="s">
        <v>22</v>
      </c>
      <c r="S190" s="40" t="s">
        <v>38</v>
      </c>
    </row>
    <row r="191" spans="1:19" x14ac:dyDescent="0.25">
      <c r="A191" s="39" t="s">
        <v>1499</v>
      </c>
      <c r="B191" s="39"/>
      <c r="C191" s="39" t="s">
        <v>1116</v>
      </c>
      <c r="D191" s="39">
        <v>3000000</v>
      </c>
      <c r="E191" s="39">
        <v>3040104</v>
      </c>
      <c r="F191" s="39">
        <v>3000000</v>
      </c>
      <c r="G191" s="39" t="s">
        <v>568</v>
      </c>
      <c r="H191" s="39">
        <v>9.3254900000000003</v>
      </c>
      <c r="I191" s="39" t="s">
        <v>1117</v>
      </c>
      <c r="J191" s="43">
        <v>49694</v>
      </c>
      <c r="K191" s="39">
        <v>500</v>
      </c>
      <c r="L191" s="39">
        <v>1</v>
      </c>
      <c r="M191" s="39" t="s">
        <v>1484</v>
      </c>
      <c r="N191" s="39" t="s">
        <v>1116</v>
      </c>
      <c r="O191" s="39" t="s">
        <v>121</v>
      </c>
      <c r="P191" s="39">
        <v>6.781422032</v>
      </c>
      <c r="Q191" s="39" t="s">
        <v>28</v>
      </c>
      <c r="R191" s="39" t="s">
        <v>29</v>
      </c>
      <c r="S191" s="39" t="s">
        <v>38</v>
      </c>
    </row>
    <row r="192" spans="1:19" x14ac:dyDescent="0.25">
      <c r="A192" s="40" t="s">
        <v>1499</v>
      </c>
      <c r="B192" s="40"/>
      <c r="C192" s="40" t="s">
        <v>508</v>
      </c>
      <c r="D192" s="40">
        <v>11000000</v>
      </c>
      <c r="E192" s="40">
        <v>11026323</v>
      </c>
      <c r="F192" s="40">
        <v>11000000</v>
      </c>
      <c r="G192" s="40" t="s">
        <v>568</v>
      </c>
      <c r="H192" s="40">
        <v>7.7284499999999996</v>
      </c>
      <c r="I192" s="40" t="s">
        <v>507</v>
      </c>
      <c r="J192" s="44">
        <v>50601</v>
      </c>
      <c r="K192" s="40">
        <v>345</v>
      </c>
      <c r="L192" s="40">
        <v>1</v>
      </c>
      <c r="M192" s="40" t="s">
        <v>1484</v>
      </c>
      <c r="N192" s="40" t="s">
        <v>508</v>
      </c>
      <c r="O192" s="40" t="s">
        <v>121</v>
      </c>
      <c r="P192" s="40">
        <v>9.7071232500000004</v>
      </c>
      <c r="Q192" s="40" t="s">
        <v>28</v>
      </c>
      <c r="R192" s="40" t="s">
        <v>33</v>
      </c>
      <c r="S192" s="40" t="s">
        <v>38</v>
      </c>
    </row>
    <row r="193" spans="1:19" x14ac:dyDescent="0.25">
      <c r="A193" s="39" t="s">
        <v>1499</v>
      </c>
      <c r="B193" s="39"/>
      <c r="C193" s="39" t="s">
        <v>694</v>
      </c>
      <c r="D193" s="39">
        <v>4751228</v>
      </c>
      <c r="E193" s="39">
        <v>4775549.54</v>
      </c>
      <c r="F193" s="39">
        <v>4751228</v>
      </c>
      <c r="G193" s="39" t="s">
        <v>695</v>
      </c>
      <c r="H193" s="39">
        <v>6.1754899999999999</v>
      </c>
      <c r="I193" s="39" t="s">
        <v>696</v>
      </c>
      <c r="J193" s="43">
        <v>49876</v>
      </c>
      <c r="K193" s="39">
        <v>185</v>
      </c>
      <c r="L193" s="39">
        <v>1</v>
      </c>
      <c r="M193" s="39" t="s">
        <v>1484</v>
      </c>
      <c r="N193" s="39" t="s">
        <v>694</v>
      </c>
      <c r="O193" s="39" t="s">
        <v>104</v>
      </c>
      <c r="P193" s="39">
        <v>6.2482040679999997</v>
      </c>
      <c r="Q193" s="39" t="s">
        <v>24</v>
      </c>
      <c r="R193" s="39" t="s">
        <v>29</v>
      </c>
      <c r="S193" s="39" t="s">
        <v>34</v>
      </c>
    </row>
    <row r="194" spans="1:19" x14ac:dyDescent="0.25">
      <c r="A194" s="40" t="s">
        <v>1499</v>
      </c>
      <c r="B194" s="40"/>
      <c r="C194" s="40" t="s">
        <v>1092</v>
      </c>
      <c r="D194" s="40">
        <v>5902147</v>
      </c>
      <c r="E194" s="40">
        <v>5908692.4800000004</v>
      </c>
      <c r="F194" s="40">
        <v>5902147</v>
      </c>
      <c r="G194" s="40" t="s">
        <v>695</v>
      </c>
      <c r="H194" s="40">
        <v>7.1754899999999999</v>
      </c>
      <c r="I194" s="40" t="s">
        <v>1093</v>
      </c>
      <c r="J194" s="44">
        <v>49876</v>
      </c>
      <c r="K194" s="40">
        <v>285</v>
      </c>
      <c r="L194" s="40">
        <v>1</v>
      </c>
      <c r="M194" s="40" t="s">
        <v>1484</v>
      </c>
      <c r="N194" s="40" t="s">
        <v>1092</v>
      </c>
      <c r="O194" s="40" t="s">
        <v>104</v>
      </c>
      <c r="P194" s="40">
        <v>6.6129483889999996</v>
      </c>
      <c r="Q194" s="40" t="s">
        <v>28</v>
      </c>
      <c r="R194" s="40" t="s">
        <v>29</v>
      </c>
      <c r="S194" s="40" t="s">
        <v>38</v>
      </c>
    </row>
    <row r="195" spans="1:19" x14ac:dyDescent="0.25">
      <c r="A195" s="39" t="s">
        <v>1499</v>
      </c>
      <c r="B195" s="39"/>
      <c r="C195" s="39" t="s">
        <v>567</v>
      </c>
      <c r="D195" s="39">
        <v>247037</v>
      </c>
      <c r="E195" s="39">
        <v>247766.99</v>
      </c>
      <c r="F195" s="39">
        <v>247428.55</v>
      </c>
      <c r="G195" s="39" t="s">
        <v>568</v>
      </c>
      <c r="H195" s="39">
        <v>6.8291599999999999</v>
      </c>
      <c r="I195" s="39" t="s">
        <v>569</v>
      </c>
      <c r="J195" s="43">
        <v>47771</v>
      </c>
      <c r="K195" s="39">
        <v>251.161</v>
      </c>
      <c r="L195" s="39">
        <v>1</v>
      </c>
      <c r="M195" s="39" t="s">
        <v>1484</v>
      </c>
      <c r="N195" s="39" t="s">
        <v>567</v>
      </c>
      <c r="O195" s="39" t="s">
        <v>121</v>
      </c>
      <c r="P195" s="39">
        <v>2.6001600630000001</v>
      </c>
      <c r="Q195" s="39" t="s">
        <v>21</v>
      </c>
      <c r="R195" s="39" t="s">
        <v>22</v>
      </c>
      <c r="S195" s="39" t="s">
        <v>34</v>
      </c>
    </row>
    <row r="196" spans="1:19" x14ac:dyDescent="0.25">
      <c r="A196" s="40" t="s">
        <v>1499</v>
      </c>
      <c r="B196" s="40" t="s">
        <v>1530</v>
      </c>
      <c r="C196" s="40" t="s">
        <v>1099</v>
      </c>
      <c r="D196" s="40">
        <v>15600000</v>
      </c>
      <c r="E196" s="40">
        <v>15338341.199999999</v>
      </c>
      <c r="F196" s="40">
        <v>15600000</v>
      </c>
      <c r="G196" s="40" t="s">
        <v>568</v>
      </c>
      <c r="H196" s="40">
        <v>7.8871000000000002</v>
      </c>
      <c r="I196" s="40" t="s">
        <v>1100</v>
      </c>
      <c r="J196" s="44">
        <v>49237</v>
      </c>
      <c r="K196" s="40">
        <v>356.161</v>
      </c>
      <c r="L196" s="40">
        <v>1</v>
      </c>
      <c r="M196" s="40" t="s">
        <v>1484</v>
      </c>
      <c r="N196" s="40" t="s">
        <v>1099</v>
      </c>
      <c r="O196" s="40" t="s">
        <v>121</v>
      </c>
      <c r="P196" s="40">
        <v>6.2040991590000001</v>
      </c>
      <c r="Q196" s="40" t="s">
        <v>28</v>
      </c>
      <c r="R196" s="40" t="s">
        <v>29</v>
      </c>
      <c r="S196" s="40" t="s">
        <v>38</v>
      </c>
    </row>
    <row r="197" spans="1:19" x14ac:dyDescent="0.25">
      <c r="A197" s="39" t="s">
        <v>1499</v>
      </c>
      <c r="B197" s="39"/>
      <c r="C197" s="39" t="s">
        <v>1101</v>
      </c>
      <c r="D197" s="39">
        <v>14400000</v>
      </c>
      <c r="E197" s="39">
        <v>14451696</v>
      </c>
      <c r="F197" s="39">
        <v>14328000</v>
      </c>
      <c r="G197" s="39" t="s">
        <v>568</v>
      </c>
      <c r="H197" s="39">
        <v>8.0191599999999994</v>
      </c>
      <c r="I197" s="39" t="s">
        <v>1102</v>
      </c>
      <c r="J197" s="43">
        <v>49049</v>
      </c>
      <c r="K197" s="39">
        <v>370.161</v>
      </c>
      <c r="L197" s="39">
        <v>1</v>
      </c>
      <c r="M197" s="39" t="s">
        <v>1484</v>
      </c>
      <c r="N197" s="39" t="s">
        <v>1101</v>
      </c>
      <c r="O197" s="39" t="s">
        <v>121</v>
      </c>
      <c r="P197" s="39">
        <v>5.521120314</v>
      </c>
      <c r="Q197" s="39" t="s">
        <v>28</v>
      </c>
      <c r="R197" s="39" t="s">
        <v>25</v>
      </c>
      <c r="S197" s="39" t="s">
        <v>38</v>
      </c>
    </row>
    <row r="198" spans="1:19" x14ac:dyDescent="0.25">
      <c r="A198" s="40" t="s">
        <v>1499</v>
      </c>
      <c r="B198" s="40"/>
      <c r="C198" s="40" t="s">
        <v>1101</v>
      </c>
      <c r="D198" s="40">
        <v>950000</v>
      </c>
      <c r="E198" s="40">
        <v>953410.5</v>
      </c>
      <c r="F198" s="40">
        <v>952260.05</v>
      </c>
      <c r="G198" s="40" t="s">
        <v>568</v>
      </c>
      <c r="H198" s="40">
        <v>8.0191599999999994</v>
      </c>
      <c r="I198" s="40" t="s">
        <v>1102</v>
      </c>
      <c r="J198" s="44">
        <v>49049</v>
      </c>
      <c r="K198" s="40">
        <v>370.161</v>
      </c>
      <c r="L198" s="40">
        <v>1</v>
      </c>
      <c r="M198" s="40" t="s">
        <v>1484</v>
      </c>
      <c r="N198" s="40" t="s">
        <v>1101</v>
      </c>
      <c r="O198" s="40" t="s">
        <v>121</v>
      </c>
      <c r="P198" s="40">
        <v>5.521120314</v>
      </c>
      <c r="Q198" s="40" t="s">
        <v>28</v>
      </c>
      <c r="R198" s="40" t="s">
        <v>25</v>
      </c>
      <c r="S198" s="40" t="s">
        <v>38</v>
      </c>
    </row>
    <row r="199" spans="1:19" x14ac:dyDescent="0.25">
      <c r="A199" s="39" t="s">
        <v>1499</v>
      </c>
      <c r="B199" s="39" t="s">
        <v>1530</v>
      </c>
      <c r="C199" s="39" t="s">
        <v>1105</v>
      </c>
      <c r="D199" s="39">
        <v>1500000</v>
      </c>
      <c r="E199" s="39">
        <v>1503703.5</v>
      </c>
      <c r="F199" s="39">
        <v>1500000</v>
      </c>
      <c r="G199" s="39" t="s">
        <v>568</v>
      </c>
      <c r="H199" s="39">
        <v>7.8371000000000004</v>
      </c>
      <c r="I199" s="39" t="s">
        <v>1106</v>
      </c>
      <c r="J199" s="43">
        <v>48324</v>
      </c>
      <c r="K199" s="39">
        <v>351.161</v>
      </c>
      <c r="L199" s="39">
        <v>1</v>
      </c>
      <c r="M199" s="39" t="s">
        <v>1484</v>
      </c>
      <c r="N199" s="39" t="s">
        <v>1105</v>
      </c>
      <c r="O199" s="39" t="s">
        <v>121</v>
      </c>
      <c r="P199" s="39">
        <v>3.863254907</v>
      </c>
      <c r="Q199" s="39" t="s">
        <v>28</v>
      </c>
      <c r="R199" s="39" t="s">
        <v>22</v>
      </c>
      <c r="S199" s="39" t="s">
        <v>38</v>
      </c>
    </row>
    <row r="200" spans="1:19" x14ac:dyDescent="0.25">
      <c r="A200" s="40" t="s">
        <v>1499</v>
      </c>
      <c r="B200" s="40" t="s">
        <v>1530</v>
      </c>
      <c r="C200" s="40" t="s">
        <v>1112</v>
      </c>
      <c r="D200" s="40">
        <v>5000000</v>
      </c>
      <c r="E200" s="40">
        <v>5017740</v>
      </c>
      <c r="F200" s="40">
        <v>5000000</v>
      </c>
      <c r="G200" s="40" t="s">
        <v>568</v>
      </c>
      <c r="H200" s="40">
        <v>7.8791599999999997</v>
      </c>
      <c r="I200" s="40" t="s">
        <v>1113</v>
      </c>
      <c r="J200" s="44">
        <v>49140</v>
      </c>
      <c r="K200" s="40">
        <v>356.161</v>
      </c>
      <c r="L200" s="40">
        <v>1</v>
      </c>
      <c r="M200" s="40" t="s">
        <v>1484</v>
      </c>
      <c r="N200" s="40" t="s">
        <v>1112</v>
      </c>
      <c r="O200" s="40" t="s">
        <v>121</v>
      </c>
      <c r="P200" s="40">
        <v>5.8499582019999998</v>
      </c>
      <c r="Q200" s="40" t="s">
        <v>28</v>
      </c>
      <c r="R200" s="40" t="s">
        <v>25</v>
      </c>
      <c r="S200" s="40" t="s">
        <v>38</v>
      </c>
    </row>
    <row r="201" spans="1:19" x14ac:dyDescent="0.25">
      <c r="A201" s="39" t="s">
        <v>1499</v>
      </c>
      <c r="B201" s="39"/>
      <c r="C201" s="39" t="s">
        <v>1114</v>
      </c>
      <c r="D201" s="39">
        <v>7270000</v>
      </c>
      <c r="E201" s="39">
        <v>7208095.9500000002</v>
      </c>
      <c r="F201" s="39">
        <v>7270000</v>
      </c>
      <c r="G201" s="39" t="s">
        <v>568</v>
      </c>
      <c r="H201" s="39">
        <v>7.0754900000000003</v>
      </c>
      <c r="I201" s="39" t="s">
        <v>1115</v>
      </c>
      <c r="J201" s="43">
        <v>50425</v>
      </c>
      <c r="K201" s="39">
        <v>275</v>
      </c>
      <c r="L201" s="39">
        <v>1</v>
      </c>
      <c r="M201" s="39" t="s">
        <v>1484</v>
      </c>
      <c r="N201" s="39" t="s">
        <v>1114</v>
      </c>
      <c r="O201" s="39" t="s">
        <v>121</v>
      </c>
      <c r="P201" s="39">
        <v>9.2727847259999994</v>
      </c>
      <c r="Q201" s="39" t="s">
        <v>28</v>
      </c>
      <c r="R201" s="39" t="s">
        <v>33</v>
      </c>
      <c r="S201" s="39" t="s">
        <v>38</v>
      </c>
    </row>
    <row r="202" spans="1:19" x14ac:dyDescent="0.25">
      <c r="A202" s="40" t="s">
        <v>1499</v>
      </c>
      <c r="B202" s="40" t="s">
        <v>1530</v>
      </c>
      <c r="C202" s="40" t="s">
        <v>1107</v>
      </c>
      <c r="D202" s="40">
        <v>6500000</v>
      </c>
      <c r="E202" s="40">
        <v>6510900.5</v>
      </c>
      <c r="F202" s="40">
        <v>6321250</v>
      </c>
      <c r="G202" s="40" t="s">
        <v>568</v>
      </c>
      <c r="H202" s="40">
        <v>7.3871000000000002</v>
      </c>
      <c r="I202" s="40" t="s">
        <v>1108</v>
      </c>
      <c r="J202" s="44">
        <v>49054</v>
      </c>
      <c r="K202" s="40">
        <v>306.161</v>
      </c>
      <c r="L202" s="40">
        <v>1</v>
      </c>
      <c r="M202" s="40" t="s">
        <v>1484</v>
      </c>
      <c r="N202" s="40" t="s">
        <v>1107</v>
      </c>
      <c r="O202" s="40" t="s">
        <v>121</v>
      </c>
      <c r="P202" s="40">
        <v>5.8098248950000002</v>
      </c>
      <c r="Q202" s="40" t="s">
        <v>28</v>
      </c>
      <c r="R202" s="40" t="s">
        <v>25</v>
      </c>
      <c r="S202" s="40" t="s">
        <v>38</v>
      </c>
    </row>
    <row r="203" spans="1:19" x14ac:dyDescent="0.25">
      <c r="A203" s="39" t="s">
        <v>1499</v>
      </c>
      <c r="B203" s="39" t="s">
        <v>1530</v>
      </c>
      <c r="C203" s="39" t="s">
        <v>1110</v>
      </c>
      <c r="D203" s="39">
        <v>1500000</v>
      </c>
      <c r="E203" s="39">
        <v>1457308.5</v>
      </c>
      <c r="F203" s="39">
        <v>1500000</v>
      </c>
      <c r="G203" s="39" t="s">
        <v>568</v>
      </c>
      <c r="H203" s="39">
        <v>7.6871</v>
      </c>
      <c r="I203" s="39" t="s">
        <v>1111</v>
      </c>
      <c r="J203" s="43">
        <v>49145</v>
      </c>
      <c r="K203" s="39">
        <v>336.161</v>
      </c>
      <c r="L203" s="39">
        <v>1</v>
      </c>
      <c r="M203" s="39" t="s">
        <v>1484</v>
      </c>
      <c r="N203" s="39" t="s">
        <v>1110</v>
      </c>
      <c r="O203" s="39" t="s">
        <v>121</v>
      </c>
      <c r="P203" s="39">
        <v>5.9997397049999996</v>
      </c>
      <c r="Q203" s="39" t="s">
        <v>28</v>
      </c>
      <c r="R203" s="39" t="s">
        <v>25</v>
      </c>
      <c r="S203" s="39" t="s">
        <v>38</v>
      </c>
    </row>
    <row r="204" spans="1:19" x14ac:dyDescent="0.25">
      <c r="A204" s="40" t="s">
        <v>1499</v>
      </c>
      <c r="B204" s="40" t="s">
        <v>1530</v>
      </c>
      <c r="C204" s="40" t="s">
        <v>1110</v>
      </c>
      <c r="D204" s="40">
        <v>480000</v>
      </c>
      <c r="E204" s="40">
        <v>466338.72</v>
      </c>
      <c r="F204" s="40">
        <v>481297.68</v>
      </c>
      <c r="G204" s="40" t="s">
        <v>568</v>
      </c>
      <c r="H204" s="40">
        <v>7.6871</v>
      </c>
      <c r="I204" s="40" t="s">
        <v>1111</v>
      </c>
      <c r="J204" s="44">
        <v>49145</v>
      </c>
      <c r="K204" s="40">
        <v>336.161</v>
      </c>
      <c r="L204" s="40">
        <v>1</v>
      </c>
      <c r="M204" s="40" t="s">
        <v>1484</v>
      </c>
      <c r="N204" s="40" t="s">
        <v>1110</v>
      </c>
      <c r="O204" s="40" t="s">
        <v>121</v>
      </c>
      <c r="P204" s="40">
        <v>5.9997397049999996</v>
      </c>
      <c r="Q204" s="40" t="s">
        <v>28</v>
      </c>
      <c r="R204" s="40" t="s">
        <v>25</v>
      </c>
      <c r="S204" s="40" t="s">
        <v>38</v>
      </c>
    </row>
    <row r="205" spans="1:19" x14ac:dyDescent="0.25">
      <c r="A205" s="39" t="s">
        <v>1499</v>
      </c>
      <c r="B205" s="39"/>
      <c r="C205" s="39" t="s">
        <v>1110</v>
      </c>
      <c r="D205" s="39">
        <v>720000</v>
      </c>
      <c r="E205" s="39">
        <v>699508.08</v>
      </c>
      <c r="F205" s="39">
        <v>722286.24</v>
      </c>
      <c r="G205" s="39" t="s">
        <v>568</v>
      </c>
      <c r="H205" s="39">
        <v>7.6871</v>
      </c>
      <c r="I205" s="39" t="s">
        <v>1111</v>
      </c>
      <c r="J205" s="43">
        <v>49145</v>
      </c>
      <c r="K205" s="39">
        <v>336.161</v>
      </c>
      <c r="L205" s="39">
        <v>1</v>
      </c>
      <c r="M205" s="39" t="s">
        <v>1484</v>
      </c>
      <c r="N205" s="39" t="s">
        <v>1110</v>
      </c>
      <c r="O205" s="39" t="s">
        <v>121</v>
      </c>
      <c r="P205" s="39">
        <v>5.9997397049999996</v>
      </c>
      <c r="Q205" s="39" t="s">
        <v>28</v>
      </c>
      <c r="R205" s="39" t="s">
        <v>25</v>
      </c>
      <c r="S205" s="39" t="s">
        <v>38</v>
      </c>
    </row>
    <row r="206" spans="1:19" x14ac:dyDescent="0.25">
      <c r="A206" s="40" t="s">
        <v>1499</v>
      </c>
      <c r="B206" s="40"/>
      <c r="C206" s="40" t="s">
        <v>1103</v>
      </c>
      <c r="D206" s="40">
        <v>6000000</v>
      </c>
      <c r="E206" s="40">
        <v>6025794</v>
      </c>
      <c r="F206" s="40">
        <v>6000000</v>
      </c>
      <c r="G206" s="40" t="s">
        <v>568</v>
      </c>
      <c r="H206" s="40">
        <v>7.4754899999999997</v>
      </c>
      <c r="I206" s="40" t="s">
        <v>1104</v>
      </c>
      <c r="J206" s="44">
        <v>50333</v>
      </c>
      <c r="K206" s="40">
        <v>315</v>
      </c>
      <c r="L206" s="40">
        <v>1</v>
      </c>
      <c r="M206" s="40" t="s">
        <v>1484</v>
      </c>
      <c r="N206" s="40" t="s">
        <v>1103</v>
      </c>
      <c r="O206" s="40" t="s">
        <v>121</v>
      </c>
      <c r="P206" s="40">
        <v>9.1014795799999995</v>
      </c>
      <c r="Q206" s="40" t="s">
        <v>28</v>
      </c>
      <c r="R206" s="40" t="s">
        <v>33</v>
      </c>
      <c r="S206" s="40" t="s">
        <v>38</v>
      </c>
    </row>
    <row r="207" spans="1:19" x14ac:dyDescent="0.25">
      <c r="A207" s="39" t="s">
        <v>1499</v>
      </c>
      <c r="B207" s="39"/>
      <c r="C207" s="39" t="s">
        <v>510</v>
      </c>
      <c r="D207" s="39">
        <v>2400000</v>
      </c>
      <c r="E207" s="39">
        <v>2418295.2000000002</v>
      </c>
      <c r="F207" s="39">
        <v>2400000</v>
      </c>
      <c r="G207" s="39" t="s">
        <v>568</v>
      </c>
      <c r="H207" s="39">
        <v>7.4857899999999997</v>
      </c>
      <c r="I207" s="39" t="s">
        <v>509</v>
      </c>
      <c r="J207" s="43">
        <v>50602</v>
      </c>
      <c r="K207" s="39">
        <v>310</v>
      </c>
      <c r="L207" s="39">
        <v>1</v>
      </c>
      <c r="M207" s="39" t="s">
        <v>1484</v>
      </c>
      <c r="N207" s="39" t="s">
        <v>510</v>
      </c>
      <c r="O207" s="39" t="s">
        <v>121</v>
      </c>
      <c r="P207" s="39">
        <v>9.6372363389999993</v>
      </c>
      <c r="Q207" s="39" t="s">
        <v>28</v>
      </c>
      <c r="R207" s="39" t="s">
        <v>33</v>
      </c>
      <c r="S207" s="39" t="s">
        <v>38</v>
      </c>
    </row>
    <row r="208" spans="1:19" x14ac:dyDescent="0.25">
      <c r="A208" s="40" t="s">
        <v>1499</v>
      </c>
      <c r="B208" s="40"/>
      <c r="C208" s="40" t="s">
        <v>513</v>
      </c>
      <c r="D208" s="40">
        <v>6300000</v>
      </c>
      <c r="E208" s="40">
        <v>6342739.2000000002</v>
      </c>
      <c r="F208" s="40">
        <v>6300000</v>
      </c>
      <c r="G208" s="40" t="s">
        <v>568</v>
      </c>
      <c r="H208" s="40">
        <v>8.1449099999999994</v>
      </c>
      <c r="I208" s="40" t="s">
        <v>512</v>
      </c>
      <c r="J208" s="44">
        <v>50236</v>
      </c>
      <c r="K208" s="40">
        <v>385</v>
      </c>
      <c r="L208" s="40">
        <v>1</v>
      </c>
      <c r="M208" s="40" t="s">
        <v>1484</v>
      </c>
      <c r="N208" s="40" t="s">
        <v>513</v>
      </c>
      <c r="O208" s="40" t="s">
        <v>121</v>
      </c>
      <c r="P208" s="40">
        <v>7.6881911079999998</v>
      </c>
      <c r="Q208" s="40" t="s">
        <v>28</v>
      </c>
      <c r="R208" s="40" t="s">
        <v>29</v>
      </c>
      <c r="S208" s="40" t="s">
        <v>38</v>
      </c>
    </row>
    <row r="209" spans="1:19" x14ac:dyDescent="0.25">
      <c r="A209" s="39" t="s">
        <v>1499</v>
      </c>
      <c r="B209" s="39"/>
      <c r="C209" s="39" t="s">
        <v>697</v>
      </c>
      <c r="D209" s="39">
        <v>4800000</v>
      </c>
      <c r="E209" s="39">
        <v>4749676.8</v>
      </c>
      <c r="F209" s="39">
        <v>4800000</v>
      </c>
      <c r="G209" s="39" t="s">
        <v>698</v>
      </c>
      <c r="H209" s="39">
        <v>6.7175500000000001</v>
      </c>
      <c r="I209" s="39" t="s">
        <v>699</v>
      </c>
      <c r="J209" s="43">
        <v>50055</v>
      </c>
      <c r="K209" s="39">
        <v>240</v>
      </c>
      <c r="L209" s="39">
        <v>1</v>
      </c>
      <c r="M209" s="39" t="s">
        <v>1484</v>
      </c>
      <c r="N209" s="39" t="s">
        <v>697</v>
      </c>
      <c r="O209" s="39" t="s">
        <v>154</v>
      </c>
      <c r="P209" s="39">
        <v>7.0637563669999999</v>
      </c>
      <c r="Q209" s="39" t="s">
        <v>24</v>
      </c>
      <c r="R209" s="39" t="s">
        <v>29</v>
      </c>
      <c r="S209" s="39" t="s">
        <v>34</v>
      </c>
    </row>
    <row r="210" spans="1:19" x14ac:dyDescent="0.25">
      <c r="A210" s="40" t="s">
        <v>1499</v>
      </c>
      <c r="B210" s="40"/>
      <c r="C210" s="40" t="s">
        <v>1118</v>
      </c>
      <c r="D210" s="40">
        <v>10136000</v>
      </c>
      <c r="E210" s="40">
        <v>10300385.65</v>
      </c>
      <c r="F210" s="40">
        <v>10136000</v>
      </c>
      <c r="G210" s="40" t="s">
        <v>698</v>
      </c>
      <c r="H210" s="40">
        <v>8.5675500000000007</v>
      </c>
      <c r="I210" s="40" t="s">
        <v>1119</v>
      </c>
      <c r="J210" s="44">
        <v>50055</v>
      </c>
      <c r="K210" s="40">
        <v>425</v>
      </c>
      <c r="L210" s="40">
        <v>1</v>
      </c>
      <c r="M210" s="40" t="s">
        <v>1484</v>
      </c>
      <c r="N210" s="40" t="s">
        <v>1118</v>
      </c>
      <c r="O210" s="40" t="s">
        <v>154</v>
      </c>
      <c r="P210" s="40">
        <v>7.5288223990000001</v>
      </c>
      <c r="Q210" s="40" t="s">
        <v>28</v>
      </c>
      <c r="R210" s="40" t="s">
        <v>29</v>
      </c>
      <c r="S210" s="40" t="s">
        <v>38</v>
      </c>
    </row>
    <row r="211" spans="1:19" x14ac:dyDescent="0.25">
      <c r="A211" s="39" t="s">
        <v>1499</v>
      </c>
      <c r="B211" s="39"/>
      <c r="C211" s="39" t="s">
        <v>1120</v>
      </c>
      <c r="D211" s="39">
        <v>11300000</v>
      </c>
      <c r="E211" s="39">
        <v>11347166.199999999</v>
      </c>
      <c r="F211" s="39">
        <v>11300000</v>
      </c>
      <c r="G211" s="39" t="s">
        <v>698</v>
      </c>
      <c r="H211" s="39">
        <v>8.4675499999999992</v>
      </c>
      <c r="I211" s="39" t="s">
        <v>1121</v>
      </c>
      <c r="J211" s="43">
        <v>50055</v>
      </c>
      <c r="K211" s="39">
        <v>415</v>
      </c>
      <c r="L211" s="39">
        <v>1</v>
      </c>
      <c r="M211" s="39" t="s">
        <v>1484</v>
      </c>
      <c r="N211" s="39" t="s">
        <v>1120</v>
      </c>
      <c r="O211" s="39" t="s">
        <v>154</v>
      </c>
      <c r="P211" s="39">
        <v>7.200714971</v>
      </c>
      <c r="Q211" s="39" t="s">
        <v>28</v>
      </c>
      <c r="R211" s="39" t="s">
        <v>29</v>
      </c>
      <c r="S211" s="39" t="s">
        <v>38</v>
      </c>
    </row>
    <row r="212" spans="1:19" x14ac:dyDescent="0.25">
      <c r="A212" s="40" t="s">
        <v>1499</v>
      </c>
      <c r="B212" s="40" t="s">
        <v>1530</v>
      </c>
      <c r="C212" s="40" t="s">
        <v>749</v>
      </c>
      <c r="D212" s="40">
        <v>4800000</v>
      </c>
      <c r="E212" s="40">
        <v>4808678.4000000004</v>
      </c>
      <c r="F212" s="40">
        <v>4800000</v>
      </c>
      <c r="G212" s="40" t="s">
        <v>698</v>
      </c>
      <c r="H212" s="40">
        <v>7.5791599999999999</v>
      </c>
      <c r="I212" s="40" t="s">
        <v>750</v>
      </c>
      <c r="J212" s="44">
        <v>48684</v>
      </c>
      <c r="K212" s="40">
        <v>326.161</v>
      </c>
      <c r="L212" s="40">
        <v>1</v>
      </c>
      <c r="M212" s="40" t="s">
        <v>1484</v>
      </c>
      <c r="N212" s="40" t="s">
        <v>749</v>
      </c>
      <c r="O212" s="40" t="s">
        <v>154</v>
      </c>
      <c r="P212" s="40">
        <v>3.132243033</v>
      </c>
      <c r="Q212" s="40" t="s">
        <v>24</v>
      </c>
      <c r="R212" s="40" t="s">
        <v>22</v>
      </c>
      <c r="S212" s="40" t="s">
        <v>38</v>
      </c>
    </row>
    <row r="213" spans="1:19" x14ac:dyDescent="0.25">
      <c r="A213" s="39" t="s">
        <v>1499</v>
      </c>
      <c r="B213" s="39"/>
      <c r="C213" s="39" t="s">
        <v>749</v>
      </c>
      <c r="D213" s="39">
        <v>240000</v>
      </c>
      <c r="E213" s="39">
        <v>240433.92000000001</v>
      </c>
      <c r="F213" s="39">
        <v>240473.76</v>
      </c>
      <c r="G213" s="39" t="s">
        <v>698</v>
      </c>
      <c r="H213" s="39">
        <v>7.5791599999999999</v>
      </c>
      <c r="I213" s="39" t="s">
        <v>750</v>
      </c>
      <c r="J213" s="43">
        <v>48684</v>
      </c>
      <c r="K213" s="39">
        <v>326.161</v>
      </c>
      <c r="L213" s="39">
        <v>1</v>
      </c>
      <c r="M213" s="39" t="s">
        <v>1484</v>
      </c>
      <c r="N213" s="39" t="s">
        <v>749</v>
      </c>
      <c r="O213" s="39" t="s">
        <v>154</v>
      </c>
      <c r="P213" s="39">
        <v>3.132243033</v>
      </c>
      <c r="Q213" s="39" t="s">
        <v>24</v>
      </c>
      <c r="R213" s="39" t="s">
        <v>22</v>
      </c>
      <c r="S213" s="39" t="s">
        <v>38</v>
      </c>
    </row>
    <row r="214" spans="1:19" x14ac:dyDescent="0.25">
      <c r="A214" s="40" t="s">
        <v>1499</v>
      </c>
      <c r="B214" s="40"/>
      <c r="C214" s="40" t="s">
        <v>749</v>
      </c>
      <c r="D214" s="40">
        <v>480000</v>
      </c>
      <c r="E214" s="40">
        <v>480867.84000000003</v>
      </c>
      <c r="F214" s="40">
        <v>480783.84</v>
      </c>
      <c r="G214" s="40" t="s">
        <v>698</v>
      </c>
      <c r="H214" s="40">
        <v>7.5791599999999999</v>
      </c>
      <c r="I214" s="40" t="s">
        <v>750</v>
      </c>
      <c r="J214" s="44">
        <v>48684</v>
      </c>
      <c r="K214" s="40">
        <v>326.161</v>
      </c>
      <c r="L214" s="40">
        <v>1</v>
      </c>
      <c r="M214" s="40" t="s">
        <v>1484</v>
      </c>
      <c r="N214" s="40" t="s">
        <v>749</v>
      </c>
      <c r="O214" s="40" t="s">
        <v>154</v>
      </c>
      <c r="P214" s="40">
        <v>3.132243033</v>
      </c>
      <c r="Q214" s="40" t="s">
        <v>24</v>
      </c>
      <c r="R214" s="40" t="s">
        <v>22</v>
      </c>
      <c r="S214" s="40" t="s">
        <v>38</v>
      </c>
    </row>
    <row r="215" spans="1:19" x14ac:dyDescent="0.25">
      <c r="A215" s="39" t="s">
        <v>1499</v>
      </c>
      <c r="B215" s="39" t="s">
        <v>1530</v>
      </c>
      <c r="C215" s="39" t="s">
        <v>749</v>
      </c>
      <c r="D215" s="39">
        <v>480000</v>
      </c>
      <c r="E215" s="39">
        <v>480867.84000000003</v>
      </c>
      <c r="F215" s="39">
        <v>480951.12</v>
      </c>
      <c r="G215" s="39" t="s">
        <v>698</v>
      </c>
      <c r="H215" s="39">
        <v>7.5791599999999999</v>
      </c>
      <c r="I215" s="39" t="s">
        <v>750</v>
      </c>
      <c r="J215" s="43">
        <v>48684</v>
      </c>
      <c r="K215" s="39">
        <v>326.161</v>
      </c>
      <c r="L215" s="39">
        <v>1</v>
      </c>
      <c r="M215" s="39" t="s">
        <v>1484</v>
      </c>
      <c r="N215" s="39" t="s">
        <v>749</v>
      </c>
      <c r="O215" s="39" t="s">
        <v>154</v>
      </c>
      <c r="P215" s="39">
        <v>3.132243033</v>
      </c>
      <c r="Q215" s="39" t="s">
        <v>24</v>
      </c>
      <c r="R215" s="39" t="s">
        <v>22</v>
      </c>
      <c r="S215" s="39" t="s">
        <v>38</v>
      </c>
    </row>
    <row r="216" spans="1:19" x14ac:dyDescent="0.25">
      <c r="A216" s="40" t="s">
        <v>1499</v>
      </c>
      <c r="B216" s="40" t="s">
        <v>1530</v>
      </c>
      <c r="C216" s="40" t="s">
        <v>1316</v>
      </c>
      <c r="D216" s="40">
        <v>2250000</v>
      </c>
      <c r="E216" s="40">
        <v>2254218.75</v>
      </c>
      <c r="F216" s="40">
        <v>2250000</v>
      </c>
      <c r="G216" s="40" t="s">
        <v>698</v>
      </c>
      <c r="H216" s="40">
        <v>8.8291599999999999</v>
      </c>
      <c r="I216" s="40" t="s">
        <v>1317</v>
      </c>
      <c r="J216" s="44">
        <v>48684</v>
      </c>
      <c r="K216" s="40">
        <v>451.161</v>
      </c>
      <c r="L216" s="40">
        <v>1</v>
      </c>
      <c r="M216" s="40" t="s">
        <v>1484</v>
      </c>
      <c r="N216" s="40" t="s">
        <v>1316</v>
      </c>
      <c r="O216" s="40" t="s">
        <v>154</v>
      </c>
      <c r="P216" s="40">
        <v>3.6029312029999998</v>
      </c>
      <c r="Q216" s="40" t="s">
        <v>28</v>
      </c>
      <c r="R216" s="40" t="s">
        <v>22</v>
      </c>
      <c r="S216" s="40" t="s">
        <v>38</v>
      </c>
    </row>
    <row r="217" spans="1:19" x14ac:dyDescent="0.25">
      <c r="A217" s="39" t="s">
        <v>1499</v>
      </c>
      <c r="B217" s="39" t="s">
        <v>1530</v>
      </c>
      <c r="C217" s="39" t="s">
        <v>1316</v>
      </c>
      <c r="D217" s="39">
        <v>240000</v>
      </c>
      <c r="E217" s="39">
        <v>240450</v>
      </c>
      <c r="F217" s="39">
        <v>240371.16</v>
      </c>
      <c r="G217" s="39" t="s">
        <v>698</v>
      </c>
      <c r="H217" s="39">
        <v>8.8291599999999999</v>
      </c>
      <c r="I217" s="39" t="s">
        <v>1317</v>
      </c>
      <c r="J217" s="43">
        <v>48684</v>
      </c>
      <c r="K217" s="39">
        <v>451.161</v>
      </c>
      <c r="L217" s="39">
        <v>1</v>
      </c>
      <c r="M217" s="39" t="s">
        <v>1484</v>
      </c>
      <c r="N217" s="39" t="s">
        <v>1316</v>
      </c>
      <c r="O217" s="39" t="s">
        <v>154</v>
      </c>
      <c r="P217" s="39">
        <v>3.6029312029999998</v>
      </c>
      <c r="Q217" s="39" t="s">
        <v>28</v>
      </c>
      <c r="R217" s="39" t="s">
        <v>22</v>
      </c>
      <c r="S217" s="39" t="s">
        <v>38</v>
      </c>
    </row>
    <row r="218" spans="1:19" x14ac:dyDescent="0.25">
      <c r="A218" s="40" t="s">
        <v>1499</v>
      </c>
      <c r="B218" s="40"/>
      <c r="C218" s="40" t="s">
        <v>1316</v>
      </c>
      <c r="D218" s="40">
        <v>360000</v>
      </c>
      <c r="E218" s="40">
        <v>360675</v>
      </c>
      <c r="F218" s="40">
        <v>360570.72</v>
      </c>
      <c r="G218" s="40" t="s">
        <v>698</v>
      </c>
      <c r="H218" s="40">
        <v>8.8291599999999999</v>
      </c>
      <c r="I218" s="40" t="s">
        <v>1317</v>
      </c>
      <c r="J218" s="44">
        <v>48684</v>
      </c>
      <c r="K218" s="40">
        <v>451.161</v>
      </c>
      <c r="L218" s="40">
        <v>1</v>
      </c>
      <c r="M218" s="40" t="s">
        <v>1484</v>
      </c>
      <c r="N218" s="40" t="s">
        <v>1316</v>
      </c>
      <c r="O218" s="40" t="s">
        <v>154</v>
      </c>
      <c r="P218" s="40">
        <v>3.6029312029999998</v>
      </c>
      <c r="Q218" s="40" t="s">
        <v>28</v>
      </c>
      <c r="R218" s="40" t="s">
        <v>22</v>
      </c>
      <c r="S218" s="40" t="s">
        <v>38</v>
      </c>
    </row>
    <row r="219" spans="1:19" x14ac:dyDescent="0.25">
      <c r="A219" s="39" t="s">
        <v>1499</v>
      </c>
      <c r="B219" s="39" t="s">
        <v>1530</v>
      </c>
      <c r="C219" s="39" t="s">
        <v>310</v>
      </c>
      <c r="D219" s="39">
        <v>970000</v>
      </c>
      <c r="E219" s="39">
        <v>974692.86</v>
      </c>
      <c r="F219" s="39">
        <v>971746.97</v>
      </c>
      <c r="G219" s="39" t="s">
        <v>576</v>
      </c>
      <c r="H219" s="39">
        <v>6.2840100000000003</v>
      </c>
      <c r="I219" s="39" t="s">
        <v>309</v>
      </c>
      <c r="J219" s="43">
        <v>47500</v>
      </c>
      <c r="K219" s="39">
        <v>196.161</v>
      </c>
      <c r="L219" s="39">
        <v>1</v>
      </c>
      <c r="M219" s="39" t="s">
        <v>1484</v>
      </c>
      <c r="N219" s="39" t="s">
        <v>310</v>
      </c>
      <c r="O219" s="39" t="s">
        <v>122</v>
      </c>
      <c r="P219" s="39">
        <v>2.337350518</v>
      </c>
      <c r="Q219" s="39" t="s">
        <v>21</v>
      </c>
      <c r="R219" s="39" t="s">
        <v>22</v>
      </c>
      <c r="S219" s="39" t="s">
        <v>34</v>
      </c>
    </row>
    <row r="220" spans="1:19" x14ac:dyDescent="0.25">
      <c r="A220" s="40" t="s">
        <v>1499</v>
      </c>
      <c r="B220" s="40"/>
      <c r="C220" s="40" t="s">
        <v>1126</v>
      </c>
      <c r="D220" s="40">
        <v>5050000</v>
      </c>
      <c r="E220" s="40">
        <v>5038789</v>
      </c>
      <c r="F220" s="40">
        <v>5050000</v>
      </c>
      <c r="G220" s="40" t="s">
        <v>1127</v>
      </c>
      <c r="H220" s="40">
        <v>8.4754900000000006</v>
      </c>
      <c r="I220" s="40" t="s">
        <v>1128</v>
      </c>
      <c r="J220" s="44">
        <v>50333</v>
      </c>
      <c r="K220" s="40">
        <v>415</v>
      </c>
      <c r="L220" s="40">
        <v>1</v>
      </c>
      <c r="M220" s="40" t="s">
        <v>1484</v>
      </c>
      <c r="N220" s="40" t="s">
        <v>1126</v>
      </c>
      <c r="O220" s="40" t="s">
        <v>171</v>
      </c>
      <c r="P220" s="40">
        <v>8.5290392379999993</v>
      </c>
      <c r="Q220" s="40" t="s">
        <v>28</v>
      </c>
      <c r="R220" s="40" t="s">
        <v>33</v>
      </c>
      <c r="S220" s="40" t="s">
        <v>38</v>
      </c>
    </row>
    <row r="221" spans="1:19" x14ac:dyDescent="0.25">
      <c r="A221" s="39" t="s">
        <v>1499</v>
      </c>
      <c r="B221" s="39"/>
      <c r="C221" s="39" t="s">
        <v>704</v>
      </c>
      <c r="D221" s="39">
        <v>5000000</v>
      </c>
      <c r="E221" s="39">
        <v>5015820</v>
      </c>
      <c r="F221" s="39">
        <v>5000000</v>
      </c>
      <c r="G221" s="39" t="s">
        <v>312</v>
      </c>
      <c r="H221" s="39">
        <v>6.31846</v>
      </c>
      <c r="I221" s="39" t="s">
        <v>705</v>
      </c>
      <c r="J221" s="43">
        <v>50338</v>
      </c>
      <c r="K221" s="39">
        <v>200</v>
      </c>
      <c r="L221" s="39">
        <v>1</v>
      </c>
      <c r="M221" s="39" t="s">
        <v>1484</v>
      </c>
      <c r="N221" s="39" t="s">
        <v>704</v>
      </c>
      <c r="O221" s="39" t="s">
        <v>123</v>
      </c>
      <c r="P221" s="39">
        <v>8.5133252590000001</v>
      </c>
      <c r="Q221" s="39" t="s">
        <v>24</v>
      </c>
      <c r="R221" s="39" t="s">
        <v>33</v>
      </c>
      <c r="S221" s="39" t="s">
        <v>34</v>
      </c>
    </row>
    <row r="222" spans="1:19" x14ac:dyDescent="0.25">
      <c r="A222" s="40" t="s">
        <v>1499</v>
      </c>
      <c r="B222" s="40"/>
      <c r="C222" s="40" t="s">
        <v>1153</v>
      </c>
      <c r="D222" s="40">
        <v>7000000</v>
      </c>
      <c r="E222" s="40">
        <v>7070021</v>
      </c>
      <c r="F222" s="40">
        <v>7047250</v>
      </c>
      <c r="G222" s="40" t="s">
        <v>312</v>
      </c>
      <c r="H222" s="40">
        <v>7.3684599999999998</v>
      </c>
      <c r="I222" s="40" t="s">
        <v>1154</v>
      </c>
      <c r="J222" s="44">
        <v>50338</v>
      </c>
      <c r="K222" s="40">
        <v>305</v>
      </c>
      <c r="L222" s="40">
        <v>1</v>
      </c>
      <c r="M222" s="40" t="s">
        <v>1484</v>
      </c>
      <c r="N222" s="40" t="s">
        <v>1153</v>
      </c>
      <c r="O222" s="40" t="s">
        <v>123</v>
      </c>
      <c r="P222" s="40">
        <v>9.0307088929999999</v>
      </c>
      <c r="Q222" s="40" t="s">
        <v>28</v>
      </c>
      <c r="R222" s="40" t="s">
        <v>33</v>
      </c>
      <c r="S222" s="40" t="s">
        <v>38</v>
      </c>
    </row>
    <row r="223" spans="1:19" x14ac:dyDescent="0.25">
      <c r="A223" s="39" t="s">
        <v>1499</v>
      </c>
      <c r="B223" s="39"/>
      <c r="C223" s="39" t="s">
        <v>1137</v>
      </c>
      <c r="D223" s="39">
        <v>4000000</v>
      </c>
      <c r="E223" s="39">
        <v>3999852</v>
      </c>
      <c r="F223" s="39">
        <v>4000000</v>
      </c>
      <c r="G223" s="39" t="s">
        <v>312</v>
      </c>
      <c r="H223" s="39">
        <v>7.7319899999999997</v>
      </c>
      <c r="I223" s="39" t="s">
        <v>1138</v>
      </c>
      <c r="J223" s="43">
        <v>50243</v>
      </c>
      <c r="K223" s="39">
        <v>340</v>
      </c>
      <c r="L223" s="39">
        <v>1</v>
      </c>
      <c r="M223" s="39" t="s">
        <v>1484</v>
      </c>
      <c r="N223" s="39" t="s">
        <v>1137</v>
      </c>
      <c r="O223" s="39" t="s">
        <v>123</v>
      </c>
      <c r="P223" s="39">
        <v>9.0513523520000003</v>
      </c>
      <c r="Q223" s="39" t="s">
        <v>28</v>
      </c>
      <c r="R223" s="39" t="s">
        <v>33</v>
      </c>
      <c r="S223" s="39" t="s">
        <v>38</v>
      </c>
    </row>
    <row r="224" spans="1:19" x14ac:dyDescent="0.25">
      <c r="A224" s="40" t="s">
        <v>1499</v>
      </c>
      <c r="B224" s="40"/>
      <c r="C224" s="40" t="s">
        <v>517</v>
      </c>
      <c r="D224" s="40">
        <v>5200000</v>
      </c>
      <c r="E224" s="40">
        <v>5228579.2</v>
      </c>
      <c r="F224" s="40">
        <v>5200000</v>
      </c>
      <c r="G224" s="40" t="s">
        <v>312</v>
      </c>
      <c r="H224" s="40">
        <v>7.4754899999999997</v>
      </c>
      <c r="I224" s="40" t="s">
        <v>516</v>
      </c>
      <c r="J224" s="44">
        <v>50607</v>
      </c>
      <c r="K224" s="40">
        <v>315</v>
      </c>
      <c r="L224" s="40">
        <v>1</v>
      </c>
      <c r="M224" s="40" t="s">
        <v>1484</v>
      </c>
      <c r="N224" s="40" t="s">
        <v>517</v>
      </c>
      <c r="O224" s="40" t="s">
        <v>123</v>
      </c>
      <c r="P224" s="40">
        <v>9.6369096289999998</v>
      </c>
      <c r="Q224" s="40" t="s">
        <v>28</v>
      </c>
      <c r="R224" s="40" t="s">
        <v>33</v>
      </c>
      <c r="S224" s="40" t="s">
        <v>38</v>
      </c>
    </row>
    <row r="225" spans="1:19" x14ac:dyDescent="0.25">
      <c r="A225" s="39" t="s">
        <v>1499</v>
      </c>
      <c r="B225" s="39"/>
      <c r="C225" s="39" t="s">
        <v>1149</v>
      </c>
      <c r="D225" s="39">
        <v>5250000</v>
      </c>
      <c r="E225" s="39">
        <v>5258279.25</v>
      </c>
      <c r="F225" s="39">
        <v>4893000</v>
      </c>
      <c r="G225" s="39" t="s">
        <v>312</v>
      </c>
      <c r="H225" s="39">
        <v>7.5254899999999996</v>
      </c>
      <c r="I225" s="39" t="s">
        <v>1150</v>
      </c>
      <c r="J225" s="43">
        <v>49420</v>
      </c>
      <c r="K225" s="39">
        <v>320</v>
      </c>
      <c r="L225" s="39">
        <v>1</v>
      </c>
      <c r="M225" s="39" t="s">
        <v>1484</v>
      </c>
      <c r="N225" s="39" t="s">
        <v>1149</v>
      </c>
      <c r="O225" s="39" t="s">
        <v>124</v>
      </c>
      <c r="P225" s="39">
        <v>6.578649038</v>
      </c>
      <c r="Q225" s="39" t="s">
        <v>28</v>
      </c>
      <c r="R225" s="39" t="s">
        <v>29</v>
      </c>
      <c r="S225" s="39" t="s">
        <v>38</v>
      </c>
    </row>
    <row r="226" spans="1:19" x14ac:dyDescent="0.25">
      <c r="A226" s="40" t="s">
        <v>1499</v>
      </c>
      <c r="B226" s="40"/>
      <c r="C226" s="40" t="s">
        <v>1149</v>
      </c>
      <c r="D226" s="40">
        <v>1854443</v>
      </c>
      <c r="E226" s="40">
        <v>1857367.46</v>
      </c>
      <c r="F226" s="40">
        <v>1727413.65</v>
      </c>
      <c r="G226" s="40" t="s">
        <v>312</v>
      </c>
      <c r="H226" s="40">
        <v>7.5254899999999996</v>
      </c>
      <c r="I226" s="40" t="s">
        <v>1150</v>
      </c>
      <c r="J226" s="44">
        <v>49420</v>
      </c>
      <c r="K226" s="40">
        <v>320</v>
      </c>
      <c r="L226" s="40">
        <v>1</v>
      </c>
      <c r="M226" s="40" t="s">
        <v>1484</v>
      </c>
      <c r="N226" s="40" t="s">
        <v>1149</v>
      </c>
      <c r="O226" s="40" t="s">
        <v>124</v>
      </c>
      <c r="P226" s="40">
        <v>6.578649038</v>
      </c>
      <c r="Q226" s="40" t="s">
        <v>28</v>
      </c>
      <c r="R226" s="40" t="s">
        <v>29</v>
      </c>
      <c r="S226" s="40" t="s">
        <v>38</v>
      </c>
    </row>
    <row r="227" spans="1:19" x14ac:dyDescent="0.25">
      <c r="A227" s="39" t="s">
        <v>1499</v>
      </c>
      <c r="B227" s="39"/>
      <c r="C227" s="39" t="s">
        <v>702</v>
      </c>
      <c r="D227" s="39">
        <v>4000000</v>
      </c>
      <c r="E227" s="39">
        <v>4020812</v>
      </c>
      <c r="F227" s="39">
        <v>4000000</v>
      </c>
      <c r="G227" s="39" t="s">
        <v>312</v>
      </c>
      <c r="H227" s="39">
        <v>6.4290000000000003</v>
      </c>
      <c r="I227" s="39" t="s">
        <v>703</v>
      </c>
      <c r="J227" s="43">
        <v>50239</v>
      </c>
      <c r="K227" s="39">
        <v>210</v>
      </c>
      <c r="L227" s="39">
        <v>1</v>
      </c>
      <c r="M227" s="39" t="s">
        <v>1484</v>
      </c>
      <c r="N227" s="39" t="s">
        <v>702</v>
      </c>
      <c r="O227" s="39" t="s">
        <v>123</v>
      </c>
      <c r="P227" s="39">
        <v>8.28757375</v>
      </c>
      <c r="Q227" s="39" t="s">
        <v>24</v>
      </c>
      <c r="R227" s="39" t="s">
        <v>33</v>
      </c>
      <c r="S227" s="39" t="s">
        <v>34</v>
      </c>
    </row>
    <row r="228" spans="1:19" x14ac:dyDescent="0.25">
      <c r="A228" s="40" t="s">
        <v>1499</v>
      </c>
      <c r="B228" s="40"/>
      <c r="C228" s="40" t="s">
        <v>1151</v>
      </c>
      <c r="D228" s="40">
        <v>4000000</v>
      </c>
      <c r="E228" s="40">
        <v>4015528</v>
      </c>
      <c r="F228" s="40">
        <v>4000000</v>
      </c>
      <c r="G228" s="40" t="s">
        <v>312</v>
      </c>
      <c r="H228" s="40">
        <v>7.4790000000000001</v>
      </c>
      <c r="I228" s="40" t="s">
        <v>1152</v>
      </c>
      <c r="J228" s="44">
        <v>50239</v>
      </c>
      <c r="K228" s="40">
        <v>315</v>
      </c>
      <c r="L228" s="40">
        <v>1</v>
      </c>
      <c r="M228" s="40" t="s">
        <v>1484</v>
      </c>
      <c r="N228" s="40" t="s">
        <v>1151</v>
      </c>
      <c r="O228" s="40" t="s">
        <v>123</v>
      </c>
      <c r="P228" s="40">
        <v>8.8546129269999998</v>
      </c>
      <c r="Q228" s="40" t="s">
        <v>28</v>
      </c>
      <c r="R228" s="40" t="s">
        <v>33</v>
      </c>
      <c r="S228" s="40" t="s">
        <v>38</v>
      </c>
    </row>
    <row r="229" spans="1:19" x14ac:dyDescent="0.25">
      <c r="A229" s="39" t="s">
        <v>1499</v>
      </c>
      <c r="B229" s="39" t="s">
        <v>1530</v>
      </c>
      <c r="C229" s="39" t="s">
        <v>1139</v>
      </c>
      <c r="D229" s="39">
        <v>6000000</v>
      </c>
      <c r="E229" s="39">
        <v>6021954</v>
      </c>
      <c r="F229" s="39">
        <v>6000000</v>
      </c>
      <c r="G229" s="39" t="s">
        <v>312</v>
      </c>
      <c r="H229" s="39">
        <v>7.4175500000000003</v>
      </c>
      <c r="I229" s="39" t="s">
        <v>1140</v>
      </c>
      <c r="J229" s="43">
        <v>48502</v>
      </c>
      <c r="K229" s="39">
        <v>310</v>
      </c>
      <c r="L229" s="39">
        <v>1</v>
      </c>
      <c r="M229" s="39" t="s">
        <v>1484</v>
      </c>
      <c r="N229" s="39" t="s">
        <v>1139</v>
      </c>
      <c r="O229" s="39" t="s">
        <v>124</v>
      </c>
      <c r="P229" s="39">
        <v>4.8816673740000001</v>
      </c>
      <c r="Q229" s="39" t="s">
        <v>28</v>
      </c>
      <c r="R229" s="39" t="s">
        <v>25</v>
      </c>
      <c r="S229" s="39" t="s">
        <v>38</v>
      </c>
    </row>
    <row r="230" spans="1:19" x14ac:dyDescent="0.25">
      <c r="A230" s="40" t="s">
        <v>1499</v>
      </c>
      <c r="B230" s="40"/>
      <c r="C230" s="40" t="s">
        <v>1141</v>
      </c>
      <c r="D230" s="40">
        <v>6000000</v>
      </c>
      <c r="E230" s="40">
        <v>6018780</v>
      </c>
      <c r="F230" s="40">
        <v>6000000</v>
      </c>
      <c r="G230" s="40" t="s">
        <v>312</v>
      </c>
      <c r="H230" s="40">
        <v>7.5871000000000004</v>
      </c>
      <c r="I230" s="40" t="s">
        <v>1142</v>
      </c>
      <c r="J230" s="44">
        <v>48324</v>
      </c>
      <c r="K230" s="40">
        <v>326.161</v>
      </c>
      <c r="L230" s="40">
        <v>1</v>
      </c>
      <c r="M230" s="40" t="s">
        <v>1484</v>
      </c>
      <c r="N230" s="40" t="s">
        <v>1141</v>
      </c>
      <c r="O230" s="40" t="s">
        <v>124</v>
      </c>
      <c r="P230" s="40">
        <v>4.0759011259999998</v>
      </c>
      <c r="Q230" s="40" t="s">
        <v>28</v>
      </c>
      <c r="R230" s="40" t="s">
        <v>25</v>
      </c>
      <c r="S230" s="40" t="s">
        <v>38</v>
      </c>
    </row>
    <row r="231" spans="1:19" x14ac:dyDescent="0.25">
      <c r="A231" s="39" t="s">
        <v>1499</v>
      </c>
      <c r="B231" s="39"/>
      <c r="C231" s="39" t="s">
        <v>1131</v>
      </c>
      <c r="D231" s="39">
        <v>4300000</v>
      </c>
      <c r="E231" s="39">
        <v>4313080.5999999996</v>
      </c>
      <c r="F231" s="39">
        <v>4300000</v>
      </c>
      <c r="G231" s="39" t="s">
        <v>312</v>
      </c>
      <c r="H231" s="39">
        <v>7.2175500000000001</v>
      </c>
      <c r="I231" s="39" t="s">
        <v>1132</v>
      </c>
      <c r="J231" s="43">
        <v>50420</v>
      </c>
      <c r="K231" s="39">
        <v>290</v>
      </c>
      <c r="L231" s="39">
        <v>1</v>
      </c>
      <c r="M231" s="39" t="s">
        <v>1484</v>
      </c>
      <c r="N231" s="39" t="s">
        <v>1131</v>
      </c>
      <c r="O231" s="39" t="s">
        <v>123</v>
      </c>
      <c r="P231" s="39">
        <v>8.3703028600000007</v>
      </c>
      <c r="Q231" s="39" t="s">
        <v>28</v>
      </c>
      <c r="R231" s="39" t="s">
        <v>33</v>
      </c>
      <c r="S231" s="39" t="s">
        <v>38</v>
      </c>
    </row>
    <row r="232" spans="1:19" x14ac:dyDescent="0.25">
      <c r="A232" s="40" t="s">
        <v>1499</v>
      </c>
      <c r="B232" s="40"/>
      <c r="C232" s="40" t="s">
        <v>1129</v>
      </c>
      <c r="D232" s="40">
        <v>3550000</v>
      </c>
      <c r="E232" s="40">
        <v>3558711.7</v>
      </c>
      <c r="F232" s="40">
        <v>3550912.35</v>
      </c>
      <c r="G232" s="40" t="s">
        <v>312</v>
      </c>
      <c r="H232" s="40">
        <v>7.8291599999999999</v>
      </c>
      <c r="I232" s="40" t="s">
        <v>1130</v>
      </c>
      <c r="J232" s="44">
        <v>48502</v>
      </c>
      <c r="K232" s="40">
        <v>351.161</v>
      </c>
      <c r="L232" s="40">
        <v>1</v>
      </c>
      <c r="M232" s="40" t="s">
        <v>1484</v>
      </c>
      <c r="N232" s="40" t="s">
        <v>1129</v>
      </c>
      <c r="O232" s="40" t="s">
        <v>124</v>
      </c>
      <c r="P232" s="40">
        <v>4.8130989199999998</v>
      </c>
      <c r="Q232" s="40" t="s">
        <v>28</v>
      </c>
      <c r="R232" s="40" t="s">
        <v>25</v>
      </c>
      <c r="S232" s="40" t="s">
        <v>38</v>
      </c>
    </row>
    <row r="233" spans="1:19" x14ac:dyDescent="0.25">
      <c r="A233" s="39" t="s">
        <v>1499</v>
      </c>
      <c r="B233" s="39"/>
      <c r="C233" s="39" t="s">
        <v>700</v>
      </c>
      <c r="D233" s="39">
        <v>4300000</v>
      </c>
      <c r="E233" s="39">
        <v>4328238.0999999996</v>
      </c>
      <c r="F233" s="39">
        <v>4300000</v>
      </c>
      <c r="G233" s="39" t="s">
        <v>312</v>
      </c>
      <c r="H233" s="39">
        <v>6.3175499999999998</v>
      </c>
      <c r="I233" s="39" t="s">
        <v>701</v>
      </c>
      <c r="J233" s="43">
        <v>50420</v>
      </c>
      <c r="K233" s="39">
        <v>200</v>
      </c>
      <c r="L233" s="39">
        <v>1</v>
      </c>
      <c r="M233" s="39" t="s">
        <v>1484</v>
      </c>
      <c r="N233" s="39" t="s">
        <v>700</v>
      </c>
      <c r="O233" s="39" t="s">
        <v>123</v>
      </c>
      <c r="P233" s="39">
        <v>8.7623761210000009</v>
      </c>
      <c r="Q233" s="39" t="s">
        <v>24</v>
      </c>
      <c r="R233" s="39" t="s">
        <v>33</v>
      </c>
      <c r="S233" s="39" t="s">
        <v>34</v>
      </c>
    </row>
    <row r="234" spans="1:19" x14ac:dyDescent="0.25">
      <c r="A234" s="40" t="s">
        <v>1499</v>
      </c>
      <c r="B234" s="40"/>
      <c r="C234" s="40" t="s">
        <v>1133</v>
      </c>
      <c r="D234" s="40">
        <v>8600000</v>
      </c>
      <c r="E234" s="40">
        <v>8643086</v>
      </c>
      <c r="F234" s="40">
        <v>8600000</v>
      </c>
      <c r="G234" s="40" t="s">
        <v>312</v>
      </c>
      <c r="H234" s="40">
        <v>7.26755</v>
      </c>
      <c r="I234" s="40" t="s">
        <v>1134</v>
      </c>
      <c r="J234" s="44">
        <v>50420</v>
      </c>
      <c r="K234" s="40">
        <v>295</v>
      </c>
      <c r="L234" s="40">
        <v>1</v>
      </c>
      <c r="M234" s="40" t="s">
        <v>1484</v>
      </c>
      <c r="N234" s="40" t="s">
        <v>1133</v>
      </c>
      <c r="O234" s="40" t="s">
        <v>123</v>
      </c>
      <c r="P234" s="40">
        <v>9.2316113739999999</v>
      </c>
      <c r="Q234" s="40" t="s">
        <v>28</v>
      </c>
      <c r="R234" s="40" t="s">
        <v>33</v>
      </c>
      <c r="S234" s="40" t="s">
        <v>38</v>
      </c>
    </row>
    <row r="235" spans="1:19" x14ac:dyDescent="0.25">
      <c r="A235" s="39" t="s">
        <v>1499</v>
      </c>
      <c r="B235" s="39"/>
      <c r="C235" s="39" t="s">
        <v>623</v>
      </c>
      <c r="D235" s="39">
        <v>4662000</v>
      </c>
      <c r="E235" s="39">
        <v>4670759.9000000004</v>
      </c>
      <c r="F235" s="39">
        <v>4667361.3</v>
      </c>
      <c r="G235" s="39" t="s">
        <v>312</v>
      </c>
      <c r="H235" s="39">
        <v>6.5915499999999998</v>
      </c>
      <c r="I235" s="39" t="s">
        <v>624</v>
      </c>
      <c r="J235" s="43">
        <v>47631</v>
      </c>
      <c r="K235" s="39">
        <v>226.161</v>
      </c>
      <c r="L235" s="39">
        <v>1</v>
      </c>
      <c r="M235" s="39" t="s">
        <v>1484</v>
      </c>
      <c r="N235" s="39" t="s">
        <v>623</v>
      </c>
      <c r="O235" s="39" t="s">
        <v>124</v>
      </c>
      <c r="P235" s="39">
        <v>2.9017850269999999</v>
      </c>
      <c r="Q235" s="39" t="s">
        <v>24</v>
      </c>
      <c r="R235" s="39" t="s">
        <v>22</v>
      </c>
      <c r="S235" s="39" t="s">
        <v>34</v>
      </c>
    </row>
    <row r="236" spans="1:19" x14ac:dyDescent="0.25">
      <c r="A236" s="40" t="s">
        <v>1499</v>
      </c>
      <c r="B236" s="40"/>
      <c r="C236" s="40" t="s">
        <v>1145</v>
      </c>
      <c r="D236" s="40">
        <v>3000000</v>
      </c>
      <c r="E236" s="40">
        <v>3013839</v>
      </c>
      <c r="F236" s="40">
        <v>2997210</v>
      </c>
      <c r="G236" s="40" t="s">
        <v>312</v>
      </c>
      <c r="H236" s="40">
        <v>7.6371000000000002</v>
      </c>
      <c r="I236" s="40" t="s">
        <v>1146</v>
      </c>
      <c r="J236" s="44">
        <v>49144</v>
      </c>
      <c r="K236" s="40">
        <v>331.161</v>
      </c>
      <c r="L236" s="40">
        <v>1</v>
      </c>
      <c r="M236" s="40" t="s">
        <v>1484</v>
      </c>
      <c r="N236" s="40" t="s">
        <v>1145</v>
      </c>
      <c r="O236" s="40" t="s">
        <v>124</v>
      </c>
      <c r="P236" s="40">
        <v>6.0841395240000002</v>
      </c>
      <c r="Q236" s="40" t="s">
        <v>28</v>
      </c>
      <c r="R236" s="40" t="s">
        <v>29</v>
      </c>
      <c r="S236" s="40" t="s">
        <v>38</v>
      </c>
    </row>
    <row r="237" spans="1:19" x14ac:dyDescent="0.25">
      <c r="A237" s="39" t="s">
        <v>1499</v>
      </c>
      <c r="B237" s="39"/>
      <c r="C237" s="39" t="s">
        <v>1135</v>
      </c>
      <c r="D237" s="39">
        <v>3000000</v>
      </c>
      <c r="E237" s="39">
        <v>3028512</v>
      </c>
      <c r="F237" s="39">
        <v>3000000</v>
      </c>
      <c r="G237" s="39" t="s">
        <v>312</v>
      </c>
      <c r="H237" s="39">
        <v>7.5177699999999996</v>
      </c>
      <c r="I237" s="39" t="s">
        <v>1136</v>
      </c>
      <c r="J237" s="43">
        <v>50237</v>
      </c>
      <c r="K237" s="39">
        <v>320</v>
      </c>
      <c r="L237" s="39">
        <v>1</v>
      </c>
      <c r="M237" s="39" t="s">
        <v>1484</v>
      </c>
      <c r="N237" s="39" t="s">
        <v>1135</v>
      </c>
      <c r="O237" s="39" t="s">
        <v>123</v>
      </c>
      <c r="P237" s="39">
        <v>8.8334126289999997</v>
      </c>
      <c r="Q237" s="39" t="s">
        <v>28</v>
      </c>
      <c r="R237" s="39" t="s">
        <v>33</v>
      </c>
      <c r="S237" s="39" t="s">
        <v>38</v>
      </c>
    </row>
    <row r="238" spans="1:19" x14ac:dyDescent="0.25">
      <c r="A238" s="40" t="s">
        <v>1499</v>
      </c>
      <c r="B238" s="40"/>
      <c r="C238" s="40" t="s">
        <v>1143</v>
      </c>
      <c r="D238" s="40">
        <v>2370000</v>
      </c>
      <c r="E238" s="40">
        <v>2380603.38</v>
      </c>
      <c r="F238" s="40">
        <v>2373521.8199999998</v>
      </c>
      <c r="G238" s="40" t="s">
        <v>312</v>
      </c>
      <c r="H238" s="40">
        <v>7.5871000000000004</v>
      </c>
      <c r="I238" s="40" t="s">
        <v>1144</v>
      </c>
      <c r="J238" s="44">
        <v>48688</v>
      </c>
      <c r="K238" s="40">
        <v>326.161</v>
      </c>
      <c r="L238" s="40">
        <v>1</v>
      </c>
      <c r="M238" s="40" t="s">
        <v>1484</v>
      </c>
      <c r="N238" s="40" t="s">
        <v>1143</v>
      </c>
      <c r="O238" s="40" t="s">
        <v>124</v>
      </c>
      <c r="P238" s="40">
        <v>4.0119716089999997</v>
      </c>
      <c r="Q238" s="40" t="s">
        <v>28</v>
      </c>
      <c r="R238" s="40" t="s">
        <v>25</v>
      </c>
      <c r="S238" s="40" t="s">
        <v>38</v>
      </c>
    </row>
    <row r="239" spans="1:19" x14ac:dyDescent="0.25">
      <c r="A239" s="39" t="s">
        <v>1499</v>
      </c>
      <c r="B239" s="39"/>
      <c r="C239" s="39" t="s">
        <v>1147</v>
      </c>
      <c r="D239" s="39">
        <v>3825000</v>
      </c>
      <c r="E239" s="39">
        <v>3812943.6</v>
      </c>
      <c r="F239" s="39">
        <v>3825000</v>
      </c>
      <c r="G239" s="39" t="s">
        <v>312</v>
      </c>
      <c r="H239" s="39">
        <v>7.7435999999999998</v>
      </c>
      <c r="I239" s="39" t="s">
        <v>1148</v>
      </c>
      <c r="J239" s="43">
        <v>49331</v>
      </c>
      <c r="K239" s="39">
        <v>341.161</v>
      </c>
      <c r="L239" s="39">
        <v>1</v>
      </c>
      <c r="M239" s="39" t="s">
        <v>1484</v>
      </c>
      <c r="N239" s="39" t="s">
        <v>1147</v>
      </c>
      <c r="O239" s="39" t="s">
        <v>124</v>
      </c>
      <c r="P239" s="39">
        <v>6.469160821</v>
      </c>
      <c r="Q239" s="39" t="s">
        <v>28</v>
      </c>
      <c r="R239" s="39" t="s">
        <v>29</v>
      </c>
      <c r="S239" s="39" t="s">
        <v>38</v>
      </c>
    </row>
    <row r="240" spans="1:19" x14ac:dyDescent="0.25">
      <c r="A240" s="40" t="s">
        <v>1499</v>
      </c>
      <c r="B240" s="40"/>
      <c r="C240" s="40" t="s">
        <v>1147</v>
      </c>
      <c r="D240" s="40">
        <v>110000</v>
      </c>
      <c r="E240" s="40">
        <v>109653.28</v>
      </c>
      <c r="F240" s="40">
        <v>110481.91</v>
      </c>
      <c r="G240" s="40" t="s">
        <v>312</v>
      </c>
      <c r="H240" s="40">
        <v>7.7435999999999998</v>
      </c>
      <c r="I240" s="40" t="s">
        <v>1148</v>
      </c>
      <c r="J240" s="44">
        <v>49331</v>
      </c>
      <c r="K240" s="40">
        <v>341.161</v>
      </c>
      <c r="L240" s="40">
        <v>1</v>
      </c>
      <c r="M240" s="40" t="s">
        <v>1484</v>
      </c>
      <c r="N240" s="40" t="s">
        <v>1147</v>
      </c>
      <c r="O240" s="40" t="s">
        <v>124</v>
      </c>
      <c r="P240" s="40">
        <v>6.469160821</v>
      </c>
      <c r="Q240" s="40" t="s">
        <v>28</v>
      </c>
      <c r="R240" s="40" t="s">
        <v>29</v>
      </c>
      <c r="S240" s="40" t="s">
        <v>38</v>
      </c>
    </row>
    <row r="241" spans="1:19" x14ac:dyDescent="0.25">
      <c r="A241" s="39" t="s">
        <v>1499</v>
      </c>
      <c r="B241" s="39"/>
      <c r="C241" s="39" t="s">
        <v>1147</v>
      </c>
      <c r="D241" s="39">
        <v>160000</v>
      </c>
      <c r="E241" s="39">
        <v>159495.67999999999</v>
      </c>
      <c r="F241" s="39">
        <v>160574.04</v>
      </c>
      <c r="G241" s="39" t="s">
        <v>312</v>
      </c>
      <c r="H241" s="39">
        <v>7.7435999999999998</v>
      </c>
      <c r="I241" s="39" t="s">
        <v>1148</v>
      </c>
      <c r="J241" s="43">
        <v>49331</v>
      </c>
      <c r="K241" s="39">
        <v>341.161</v>
      </c>
      <c r="L241" s="39">
        <v>1</v>
      </c>
      <c r="M241" s="39" t="s">
        <v>1484</v>
      </c>
      <c r="N241" s="39" t="s">
        <v>1147</v>
      </c>
      <c r="O241" s="39" t="s">
        <v>124</v>
      </c>
      <c r="P241" s="39">
        <v>6.469160821</v>
      </c>
      <c r="Q241" s="39" t="s">
        <v>28</v>
      </c>
      <c r="R241" s="39" t="s">
        <v>29</v>
      </c>
      <c r="S241" s="39" t="s">
        <v>38</v>
      </c>
    </row>
    <row r="242" spans="1:19" x14ac:dyDescent="0.25">
      <c r="A242" s="40" t="s">
        <v>1499</v>
      </c>
      <c r="B242" s="40"/>
      <c r="C242" s="40" t="s">
        <v>1147</v>
      </c>
      <c r="D242" s="40">
        <v>290000</v>
      </c>
      <c r="E242" s="40">
        <v>289085.92</v>
      </c>
      <c r="F242" s="40">
        <v>291180.65999999997</v>
      </c>
      <c r="G242" s="40" t="s">
        <v>312</v>
      </c>
      <c r="H242" s="40">
        <v>7.7435999999999998</v>
      </c>
      <c r="I242" s="40" t="s">
        <v>1148</v>
      </c>
      <c r="J242" s="44">
        <v>49331</v>
      </c>
      <c r="K242" s="40">
        <v>341.161</v>
      </c>
      <c r="L242" s="40">
        <v>1</v>
      </c>
      <c r="M242" s="40" t="s">
        <v>1484</v>
      </c>
      <c r="N242" s="40" t="s">
        <v>1147</v>
      </c>
      <c r="O242" s="40" t="s">
        <v>124</v>
      </c>
      <c r="P242" s="40">
        <v>6.469160821</v>
      </c>
      <c r="Q242" s="40" t="s">
        <v>28</v>
      </c>
      <c r="R242" s="40" t="s">
        <v>29</v>
      </c>
      <c r="S242" s="40" t="s">
        <v>38</v>
      </c>
    </row>
    <row r="243" spans="1:19" x14ac:dyDescent="0.25">
      <c r="A243" s="39" t="s">
        <v>1499</v>
      </c>
      <c r="B243" s="39"/>
      <c r="C243" s="39" t="s">
        <v>706</v>
      </c>
      <c r="D243" s="39">
        <v>2000000</v>
      </c>
      <c r="E243" s="39">
        <v>2009390</v>
      </c>
      <c r="F243" s="39">
        <v>2000000</v>
      </c>
      <c r="G243" s="39" t="s">
        <v>312</v>
      </c>
      <c r="H243" s="39">
        <v>6.1254900000000001</v>
      </c>
      <c r="I243" s="39" t="s">
        <v>707</v>
      </c>
      <c r="J243" s="43">
        <v>50425</v>
      </c>
      <c r="K243" s="39">
        <v>180</v>
      </c>
      <c r="L243" s="39">
        <v>1</v>
      </c>
      <c r="M243" s="39" t="s">
        <v>1484</v>
      </c>
      <c r="N243" s="39" t="s">
        <v>706</v>
      </c>
      <c r="O243" s="39" t="s">
        <v>123</v>
      </c>
      <c r="P243" s="39">
        <v>8.6338724459999998</v>
      </c>
      <c r="Q243" s="39" t="s">
        <v>24</v>
      </c>
      <c r="R243" s="39" t="s">
        <v>33</v>
      </c>
      <c r="S243" s="39" t="s">
        <v>34</v>
      </c>
    </row>
    <row r="244" spans="1:19" x14ac:dyDescent="0.25">
      <c r="A244" s="40" t="s">
        <v>1499</v>
      </c>
      <c r="B244" s="40"/>
      <c r="C244" s="40" t="s">
        <v>1155</v>
      </c>
      <c r="D244" s="40">
        <v>8200000</v>
      </c>
      <c r="E244" s="40">
        <v>8232135.7999999998</v>
      </c>
      <c r="F244" s="40">
        <v>8200000</v>
      </c>
      <c r="G244" s="40" t="s">
        <v>312</v>
      </c>
      <c r="H244" s="40">
        <v>7.0254899999999996</v>
      </c>
      <c r="I244" s="40" t="s">
        <v>1156</v>
      </c>
      <c r="J244" s="44">
        <v>50425</v>
      </c>
      <c r="K244" s="40">
        <v>270</v>
      </c>
      <c r="L244" s="40">
        <v>1</v>
      </c>
      <c r="M244" s="40" t="s">
        <v>1484</v>
      </c>
      <c r="N244" s="40" t="s">
        <v>1155</v>
      </c>
      <c r="O244" s="40" t="s">
        <v>123</v>
      </c>
      <c r="P244" s="40">
        <v>9.1776957479999997</v>
      </c>
      <c r="Q244" s="40" t="s">
        <v>28</v>
      </c>
      <c r="R244" s="40" t="s">
        <v>33</v>
      </c>
      <c r="S244" s="40" t="s">
        <v>38</v>
      </c>
    </row>
    <row r="245" spans="1:19" x14ac:dyDescent="0.25">
      <c r="A245" s="39" t="s">
        <v>1499</v>
      </c>
      <c r="B245" s="39"/>
      <c r="C245" s="39" t="s">
        <v>1122</v>
      </c>
      <c r="D245" s="39">
        <v>4000000</v>
      </c>
      <c r="E245" s="39">
        <v>4024420</v>
      </c>
      <c r="F245" s="39">
        <v>4002200</v>
      </c>
      <c r="G245" s="39" t="s">
        <v>317</v>
      </c>
      <c r="H245" s="39">
        <v>7.6300699999999999</v>
      </c>
      <c r="I245" s="39" t="s">
        <v>1123</v>
      </c>
      <c r="J245" s="43">
        <v>49334</v>
      </c>
      <c r="K245" s="39">
        <v>331.161</v>
      </c>
      <c r="L245" s="39">
        <v>1</v>
      </c>
      <c r="M245" s="39" t="s">
        <v>1484</v>
      </c>
      <c r="N245" s="39" t="s">
        <v>1122</v>
      </c>
      <c r="O245" s="39" t="s">
        <v>125</v>
      </c>
      <c r="P245" s="39">
        <v>6.4531112080000002</v>
      </c>
      <c r="Q245" s="39" t="s">
        <v>28</v>
      </c>
      <c r="R245" s="39" t="s">
        <v>29</v>
      </c>
      <c r="S245" s="39" t="s">
        <v>38</v>
      </c>
    </row>
    <row r="246" spans="1:19" x14ac:dyDescent="0.25">
      <c r="A246" s="40" t="s">
        <v>1499</v>
      </c>
      <c r="B246" s="40" t="s">
        <v>1530</v>
      </c>
      <c r="C246" s="40" t="s">
        <v>1124</v>
      </c>
      <c r="D246" s="40">
        <v>3500000</v>
      </c>
      <c r="E246" s="40">
        <v>3514353.5</v>
      </c>
      <c r="F246" s="40">
        <v>3500000</v>
      </c>
      <c r="G246" s="40" t="s">
        <v>317</v>
      </c>
      <c r="H246" s="40">
        <v>7.3675499999999996</v>
      </c>
      <c r="I246" s="40" t="s">
        <v>1125</v>
      </c>
      <c r="J246" s="44">
        <v>49414</v>
      </c>
      <c r="K246" s="40">
        <v>305</v>
      </c>
      <c r="L246" s="40">
        <v>1</v>
      </c>
      <c r="M246" s="40" t="s">
        <v>1484</v>
      </c>
      <c r="N246" s="40" t="s">
        <v>1124</v>
      </c>
      <c r="O246" s="40" t="s">
        <v>125</v>
      </c>
      <c r="P246" s="40">
        <v>6.3546943980000004</v>
      </c>
      <c r="Q246" s="40" t="s">
        <v>28</v>
      </c>
      <c r="R246" s="40" t="s">
        <v>29</v>
      </c>
      <c r="S246" s="40" t="s">
        <v>38</v>
      </c>
    </row>
    <row r="247" spans="1:19" x14ac:dyDescent="0.25">
      <c r="A247" s="39" t="s">
        <v>1499</v>
      </c>
      <c r="B247" s="39" t="s">
        <v>1530</v>
      </c>
      <c r="C247" s="39" t="s">
        <v>712</v>
      </c>
      <c r="D247" s="39">
        <v>16383270</v>
      </c>
      <c r="E247" s="39">
        <v>16428553.359999999</v>
      </c>
      <c r="F247" s="39">
        <v>16383073.4</v>
      </c>
      <c r="G247" s="39" t="s">
        <v>321</v>
      </c>
      <c r="H247" s="39">
        <v>7.6791600000000004</v>
      </c>
      <c r="I247" s="39" t="s">
        <v>713</v>
      </c>
      <c r="J247" s="43">
        <v>48775</v>
      </c>
      <c r="K247" s="39">
        <v>336.161</v>
      </c>
      <c r="L247" s="39">
        <v>1</v>
      </c>
      <c r="M247" s="39" t="s">
        <v>1484</v>
      </c>
      <c r="N247" s="39" t="s">
        <v>712</v>
      </c>
      <c r="O247" s="39" t="s">
        <v>127</v>
      </c>
      <c r="P247" s="39">
        <v>2.6334108020000002</v>
      </c>
      <c r="Q247" s="39" t="s">
        <v>24</v>
      </c>
      <c r="R247" s="39" t="s">
        <v>22</v>
      </c>
      <c r="S247" s="39" t="s">
        <v>38</v>
      </c>
    </row>
    <row r="248" spans="1:19" x14ac:dyDescent="0.25">
      <c r="A248" s="40" t="s">
        <v>1499</v>
      </c>
      <c r="B248" s="40" t="s">
        <v>1530</v>
      </c>
      <c r="C248" s="40" t="s">
        <v>708</v>
      </c>
      <c r="D248" s="40">
        <v>3100000</v>
      </c>
      <c r="E248" s="40">
        <v>3106020.2</v>
      </c>
      <c r="F248" s="40">
        <v>3100000</v>
      </c>
      <c r="G248" s="40" t="s">
        <v>321</v>
      </c>
      <c r="H248" s="40">
        <v>7.7791600000000001</v>
      </c>
      <c r="I248" s="40" t="s">
        <v>709</v>
      </c>
      <c r="J248" s="44">
        <v>49140</v>
      </c>
      <c r="K248" s="40">
        <v>346.161</v>
      </c>
      <c r="L248" s="40">
        <v>1</v>
      </c>
      <c r="M248" s="40" t="s">
        <v>1484</v>
      </c>
      <c r="N248" s="40" t="s">
        <v>708</v>
      </c>
      <c r="O248" s="40" t="s">
        <v>126</v>
      </c>
      <c r="P248" s="40">
        <v>2.5174412940000002</v>
      </c>
      <c r="Q248" s="40" t="s">
        <v>24</v>
      </c>
      <c r="R248" s="40" t="s">
        <v>22</v>
      </c>
      <c r="S248" s="40" t="s">
        <v>38</v>
      </c>
    </row>
    <row r="249" spans="1:19" x14ac:dyDescent="0.25">
      <c r="A249" s="39" t="s">
        <v>1499</v>
      </c>
      <c r="B249" s="39" t="s">
        <v>1530</v>
      </c>
      <c r="C249" s="39" t="s">
        <v>1165</v>
      </c>
      <c r="D249" s="39">
        <v>479368</v>
      </c>
      <c r="E249" s="39">
        <v>480726.53</v>
      </c>
      <c r="F249" s="39">
        <v>479368</v>
      </c>
      <c r="G249" s="39" t="s">
        <v>1163</v>
      </c>
      <c r="H249" s="39">
        <v>7.8806000000000003</v>
      </c>
      <c r="I249" s="39" t="s">
        <v>1166</v>
      </c>
      <c r="J249" s="43">
        <v>49057</v>
      </c>
      <c r="K249" s="39">
        <v>356.161</v>
      </c>
      <c r="L249" s="39">
        <v>1</v>
      </c>
      <c r="M249" s="39" t="s">
        <v>1484</v>
      </c>
      <c r="N249" s="39" t="s">
        <v>1165</v>
      </c>
      <c r="O249" s="39" t="s">
        <v>172</v>
      </c>
      <c r="P249" s="39">
        <v>5.8098467229999997</v>
      </c>
      <c r="Q249" s="39" t="s">
        <v>28</v>
      </c>
      <c r="R249" s="39" t="s">
        <v>25</v>
      </c>
      <c r="S249" s="39" t="s">
        <v>38</v>
      </c>
    </row>
    <row r="250" spans="1:19" x14ac:dyDescent="0.25">
      <c r="A250" s="40" t="s">
        <v>1499</v>
      </c>
      <c r="B250" s="40"/>
      <c r="C250" s="40" t="s">
        <v>1165</v>
      </c>
      <c r="D250" s="40">
        <v>1044000</v>
      </c>
      <c r="E250" s="40">
        <v>1046958.7</v>
      </c>
      <c r="F250" s="40">
        <v>1044000</v>
      </c>
      <c r="G250" s="40" t="s">
        <v>1163</v>
      </c>
      <c r="H250" s="40">
        <v>7.8806000000000003</v>
      </c>
      <c r="I250" s="40" t="s">
        <v>1166</v>
      </c>
      <c r="J250" s="44">
        <v>49057</v>
      </c>
      <c r="K250" s="40">
        <v>356.161</v>
      </c>
      <c r="L250" s="40">
        <v>1</v>
      </c>
      <c r="M250" s="40" t="s">
        <v>1484</v>
      </c>
      <c r="N250" s="40" t="s">
        <v>1165</v>
      </c>
      <c r="O250" s="40" t="s">
        <v>172</v>
      </c>
      <c r="P250" s="40">
        <v>5.8098467229999997</v>
      </c>
      <c r="Q250" s="40" t="s">
        <v>28</v>
      </c>
      <c r="R250" s="40" t="s">
        <v>25</v>
      </c>
      <c r="S250" s="40" t="s">
        <v>38</v>
      </c>
    </row>
    <row r="251" spans="1:19" x14ac:dyDescent="0.25">
      <c r="A251" s="39" t="s">
        <v>1499</v>
      </c>
      <c r="B251" s="39"/>
      <c r="C251" s="39" t="s">
        <v>1165</v>
      </c>
      <c r="D251" s="39">
        <v>290000</v>
      </c>
      <c r="E251" s="39">
        <v>290821.86</v>
      </c>
      <c r="F251" s="39">
        <v>290216.05</v>
      </c>
      <c r="G251" s="39" t="s">
        <v>1163</v>
      </c>
      <c r="H251" s="39">
        <v>7.8806000000000003</v>
      </c>
      <c r="I251" s="39" t="s">
        <v>1166</v>
      </c>
      <c r="J251" s="43">
        <v>49057</v>
      </c>
      <c r="K251" s="39">
        <v>356.161</v>
      </c>
      <c r="L251" s="39">
        <v>1</v>
      </c>
      <c r="M251" s="39" t="s">
        <v>1484</v>
      </c>
      <c r="N251" s="39" t="s">
        <v>1165</v>
      </c>
      <c r="O251" s="39" t="s">
        <v>172</v>
      </c>
      <c r="P251" s="39">
        <v>5.8098467229999997</v>
      </c>
      <c r="Q251" s="39" t="s">
        <v>28</v>
      </c>
      <c r="R251" s="39" t="s">
        <v>25</v>
      </c>
      <c r="S251" s="39" t="s">
        <v>38</v>
      </c>
    </row>
    <row r="252" spans="1:19" x14ac:dyDescent="0.25">
      <c r="A252" s="40" t="s">
        <v>1499</v>
      </c>
      <c r="B252" s="40"/>
      <c r="C252" s="40" t="s">
        <v>1165</v>
      </c>
      <c r="D252" s="40">
        <v>300000</v>
      </c>
      <c r="E252" s="40">
        <v>300850.2</v>
      </c>
      <c r="F252" s="40">
        <v>301156.28999999998</v>
      </c>
      <c r="G252" s="40" t="s">
        <v>1163</v>
      </c>
      <c r="H252" s="40">
        <v>7.8806000000000003</v>
      </c>
      <c r="I252" s="40" t="s">
        <v>1166</v>
      </c>
      <c r="J252" s="44">
        <v>49057</v>
      </c>
      <c r="K252" s="40">
        <v>356.161</v>
      </c>
      <c r="L252" s="40">
        <v>1</v>
      </c>
      <c r="M252" s="40" t="s">
        <v>1484</v>
      </c>
      <c r="N252" s="40" t="s">
        <v>1165</v>
      </c>
      <c r="O252" s="40" t="s">
        <v>172</v>
      </c>
      <c r="P252" s="40">
        <v>5.8098467229999997</v>
      </c>
      <c r="Q252" s="40" t="s">
        <v>28</v>
      </c>
      <c r="R252" s="40" t="s">
        <v>25</v>
      </c>
      <c r="S252" s="40" t="s">
        <v>38</v>
      </c>
    </row>
    <row r="253" spans="1:19" x14ac:dyDescent="0.25">
      <c r="A253" s="39" t="s">
        <v>1499</v>
      </c>
      <c r="B253" s="39" t="s">
        <v>1530</v>
      </c>
      <c r="C253" s="39" t="s">
        <v>1165</v>
      </c>
      <c r="D253" s="39">
        <v>350000</v>
      </c>
      <c r="E253" s="39">
        <v>350991.9</v>
      </c>
      <c r="F253" s="39">
        <v>350386.67</v>
      </c>
      <c r="G253" s="39" t="s">
        <v>1163</v>
      </c>
      <c r="H253" s="39">
        <v>7.8806000000000003</v>
      </c>
      <c r="I253" s="39" t="s">
        <v>1166</v>
      </c>
      <c r="J253" s="43">
        <v>49057</v>
      </c>
      <c r="K253" s="39">
        <v>356.161</v>
      </c>
      <c r="L253" s="39">
        <v>1</v>
      </c>
      <c r="M253" s="39" t="s">
        <v>1484</v>
      </c>
      <c r="N253" s="39" t="s">
        <v>1165</v>
      </c>
      <c r="O253" s="39" t="s">
        <v>172</v>
      </c>
      <c r="P253" s="39">
        <v>5.8098467229999997</v>
      </c>
      <c r="Q253" s="39" t="s">
        <v>28</v>
      </c>
      <c r="R253" s="39" t="s">
        <v>25</v>
      </c>
      <c r="S253" s="39" t="s">
        <v>38</v>
      </c>
    </row>
    <row r="254" spans="1:19" x14ac:dyDescent="0.25">
      <c r="A254" s="40" t="s">
        <v>1499</v>
      </c>
      <c r="B254" s="40" t="s">
        <v>1530</v>
      </c>
      <c r="C254" s="40" t="s">
        <v>1162</v>
      </c>
      <c r="D254" s="40">
        <v>3825000</v>
      </c>
      <c r="E254" s="40">
        <v>3835293.08</v>
      </c>
      <c r="F254" s="40">
        <v>3825000</v>
      </c>
      <c r="G254" s="40" t="s">
        <v>1163</v>
      </c>
      <c r="H254" s="40">
        <v>7.9870999999999999</v>
      </c>
      <c r="I254" s="40" t="s">
        <v>1164</v>
      </c>
      <c r="J254" s="44">
        <v>49264</v>
      </c>
      <c r="K254" s="40">
        <v>366.161</v>
      </c>
      <c r="L254" s="40">
        <v>1</v>
      </c>
      <c r="M254" s="40" t="s">
        <v>1484</v>
      </c>
      <c r="N254" s="40" t="s">
        <v>1162</v>
      </c>
      <c r="O254" s="40" t="s">
        <v>172</v>
      </c>
      <c r="P254" s="40">
        <v>6.1676719709999999</v>
      </c>
      <c r="Q254" s="40" t="s">
        <v>28</v>
      </c>
      <c r="R254" s="40" t="s">
        <v>29</v>
      </c>
      <c r="S254" s="40" t="s">
        <v>38</v>
      </c>
    </row>
    <row r="255" spans="1:19" x14ac:dyDescent="0.25">
      <c r="A255" s="39" t="s">
        <v>1499</v>
      </c>
      <c r="B255" s="39"/>
      <c r="C255" s="39" t="s">
        <v>1162</v>
      </c>
      <c r="D255" s="39">
        <v>110000</v>
      </c>
      <c r="E255" s="39">
        <v>110296.01</v>
      </c>
      <c r="F255" s="39">
        <v>110178.31</v>
      </c>
      <c r="G255" s="39" t="s">
        <v>1163</v>
      </c>
      <c r="H255" s="39">
        <v>7.9870999999999999</v>
      </c>
      <c r="I255" s="39" t="s">
        <v>1164</v>
      </c>
      <c r="J255" s="43">
        <v>49264</v>
      </c>
      <c r="K255" s="39">
        <v>366.161</v>
      </c>
      <c r="L255" s="39">
        <v>1</v>
      </c>
      <c r="M255" s="39" t="s">
        <v>1484</v>
      </c>
      <c r="N255" s="39" t="s">
        <v>1162</v>
      </c>
      <c r="O255" s="39" t="s">
        <v>172</v>
      </c>
      <c r="P255" s="39">
        <v>6.1676719709999999</v>
      </c>
      <c r="Q255" s="39" t="s">
        <v>28</v>
      </c>
      <c r="R255" s="39" t="s">
        <v>29</v>
      </c>
      <c r="S255" s="39" t="s">
        <v>38</v>
      </c>
    </row>
    <row r="256" spans="1:19" x14ac:dyDescent="0.25">
      <c r="A256" s="40" t="s">
        <v>1499</v>
      </c>
      <c r="B256" s="40"/>
      <c r="C256" s="40" t="s">
        <v>1162</v>
      </c>
      <c r="D256" s="40">
        <v>160000</v>
      </c>
      <c r="E256" s="40">
        <v>160430.56</v>
      </c>
      <c r="F256" s="40">
        <v>160117.35</v>
      </c>
      <c r="G256" s="40" t="s">
        <v>1163</v>
      </c>
      <c r="H256" s="40">
        <v>7.9870999999999999</v>
      </c>
      <c r="I256" s="40" t="s">
        <v>1164</v>
      </c>
      <c r="J256" s="44">
        <v>49264</v>
      </c>
      <c r="K256" s="40">
        <v>366.161</v>
      </c>
      <c r="L256" s="40">
        <v>1</v>
      </c>
      <c r="M256" s="40" t="s">
        <v>1484</v>
      </c>
      <c r="N256" s="40" t="s">
        <v>1162</v>
      </c>
      <c r="O256" s="40" t="s">
        <v>172</v>
      </c>
      <c r="P256" s="40">
        <v>6.1676719709999999</v>
      </c>
      <c r="Q256" s="40" t="s">
        <v>28</v>
      </c>
      <c r="R256" s="40" t="s">
        <v>29</v>
      </c>
      <c r="S256" s="40" t="s">
        <v>38</v>
      </c>
    </row>
    <row r="257" spans="1:19" x14ac:dyDescent="0.25">
      <c r="A257" s="39" t="s">
        <v>1499</v>
      </c>
      <c r="B257" s="39" t="s">
        <v>1530</v>
      </c>
      <c r="C257" s="39" t="s">
        <v>1162</v>
      </c>
      <c r="D257" s="39">
        <v>290000</v>
      </c>
      <c r="E257" s="39">
        <v>290780.39</v>
      </c>
      <c r="F257" s="39">
        <v>290359.84999999998</v>
      </c>
      <c r="G257" s="39" t="s">
        <v>1163</v>
      </c>
      <c r="H257" s="39">
        <v>7.9870999999999999</v>
      </c>
      <c r="I257" s="39" t="s">
        <v>1164</v>
      </c>
      <c r="J257" s="43">
        <v>49264</v>
      </c>
      <c r="K257" s="39">
        <v>366.161</v>
      </c>
      <c r="L257" s="39">
        <v>1</v>
      </c>
      <c r="M257" s="39" t="s">
        <v>1484</v>
      </c>
      <c r="N257" s="39" t="s">
        <v>1162</v>
      </c>
      <c r="O257" s="39" t="s">
        <v>172</v>
      </c>
      <c r="P257" s="39">
        <v>6.1676719709999999</v>
      </c>
      <c r="Q257" s="39" t="s">
        <v>28</v>
      </c>
      <c r="R257" s="39" t="s">
        <v>29</v>
      </c>
      <c r="S257" s="39" t="s">
        <v>38</v>
      </c>
    </row>
    <row r="258" spans="1:19" x14ac:dyDescent="0.25">
      <c r="A258" s="40" t="s">
        <v>1499</v>
      </c>
      <c r="B258" s="40" t="s">
        <v>1530</v>
      </c>
      <c r="C258" s="40" t="s">
        <v>607</v>
      </c>
      <c r="D258" s="40">
        <v>6750000</v>
      </c>
      <c r="E258" s="40">
        <v>6771687.75</v>
      </c>
      <c r="F258" s="40">
        <v>6682500</v>
      </c>
      <c r="G258" s="40" t="s">
        <v>608</v>
      </c>
      <c r="H258" s="40">
        <v>7.3371000000000004</v>
      </c>
      <c r="I258" s="40" t="s">
        <v>609</v>
      </c>
      <c r="J258" s="44">
        <v>49237</v>
      </c>
      <c r="K258" s="40">
        <v>301.161</v>
      </c>
      <c r="L258" s="40">
        <v>1</v>
      </c>
      <c r="M258" s="40" t="s">
        <v>1484</v>
      </c>
      <c r="N258" s="40" t="s">
        <v>607</v>
      </c>
      <c r="O258" s="40" t="s">
        <v>173</v>
      </c>
      <c r="P258" s="40">
        <v>5.3737713730000003</v>
      </c>
      <c r="Q258" s="40" t="s">
        <v>24</v>
      </c>
      <c r="R258" s="40" t="s">
        <v>25</v>
      </c>
      <c r="S258" s="40" t="s">
        <v>38</v>
      </c>
    </row>
    <row r="259" spans="1:19" x14ac:dyDescent="0.25">
      <c r="A259" s="39" t="s">
        <v>1499</v>
      </c>
      <c r="B259" s="39"/>
      <c r="C259" s="39" t="s">
        <v>1157</v>
      </c>
      <c r="D259" s="39">
        <v>7500000</v>
      </c>
      <c r="E259" s="39">
        <v>7508340</v>
      </c>
      <c r="F259" s="39">
        <v>7500000</v>
      </c>
      <c r="G259" s="39"/>
      <c r="H259" s="39">
        <v>7.7689899999999996</v>
      </c>
      <c r="I259" s="39" t="s">
        <v>1158</v>
      </c>
      <c r="J259" s="43">
        <v>49240</v>
      </c>
      <c r="K259" s="39">
        <v>345</v>
      </c>
      <c r="L259" s="39">
        <v>1</v>
      </c>
      <c r="M259" s="39" t="s">
        <v>1484</v>
      </c>
      <c r="N259" s="39" t="s">
        <v>1157</v>
      </c>
      <c r="O259" s="39" t="s">
        <v>174</v>
      </c>
      <c r="P259" s="39">
        <v>6.3799806710000002</v>
      </c>
      <c r="Q259" s="39" t="s">
        <v>28</v>
      </c>
      <c r="R259" s="39" t="s">
        <v>29</v>
      </c>
      <c r="S259" s="39" t="s">
        <v>38</v>
      </c>
    </row>
    <row r="260" spans="1:19" x14ac:dyDescent="0.25">
      <c r="A260" s="40" t="s">
        <v>1499</v>
      </c>
      <c r="B260" s="40"/>
      <c r="C260" s="40" t="s">
        <v>1172</v>
      </c>
      <c r="D260" s="40">
        <v>1880000</v>
      </c>
      <c r="E260" s="40">
        <v>1887290.64</v>
      </c>
      <c r="F260" s="40">
        <v>1880000</v>
      </c>
      <c r="G260" s="40" t="s">
        <v>331</v>
      </c>
      <c r="H260" s="40">
        <v>7.2254899999999997</v>
      </c>
      <c r="I260" s="40" t="s">
        <v>1173</v>
      </c>
      <c r="J260" s="44">
        <v>50790</v>
      </c>
      <c r="K260" s="40">
        <v>290</v>
      </c>
      <c r="L260" s="40">
        <v>1</v>
      </c>
      <c r="M260" s="40" t="s">
        <v>1484</v>
      </c>
      <c r="N260" s="40" t="s">
        <v>1172</v>
      </c>
      <c r="O260" s="40" t="s">
        <v>175</v>
      </c>
      <c r="P260" s="40">
        <v>8.4864670370000006</v>
      </c>
      <c r="Q260" s="40" t="s">
        <v>28</v>
      </c>
      <c r="R260" s="40" t="s">
        <v>33</v>
      </c>
      <c r="S260" s="40" t="s">
        <v>38</v>
      </c>
    </row>
    <row r="261" spans="1:19" x14ac:dyDescent="0.25">
      <c r="A261" s="39" t="s">
        <v>1499</v>
      </c>
      <c r="B261" s="39"/>
      <c r="C261" s="39" t="s">
        <v>1170</v>
      </c>
      <c r="D261" s="39">
        <v>1612474</v>
      </c>
      <c r="E261" s="39">
        <v>1605335.58</v>
      </c>
      <c r="F261" s="39">
        <v>1612474</v>
      </c>
      <c r="G261" s="39" t="s">
        <v>331</v>
      </c>
      <c r="H261" s="39">
        <v>6.9675500000000001</v>
      </c>
      <c r="I261" s="39" t="s">
        <v>1171</v>
      </c>
      <c r="J261" s="43">
        <v>50875</v>
      </c>
      <c r="K261" s="39">
        <v>265</v>
      </c>
      <c r="L261" s="39">
        <v>1</v>
      </c>
      <c r="M261" s="39" t="s">
        <v>1484</v>
      </c>
      <c r="N261" s="39" t="s">
        <v>1170</v>
      </c>
      <c r="O261" s="39" t="s">
        <v>175</v>
      </c>
      <c r="P261" s="39">
        <v>9.4796255479999996</v>
      </c>
      <c r="Q261" s="39" t="s">
        <v>28</v>
      </c>
      <c r="R261" s="39" t="s">
        <v>33</v>
      </c>
      <c r="S261" s="39" t="s">
        <v>34</v>
      </c>
    </row>
    <row r="262" spans="1:19" x14ac:dyDescent="0.25">
      <c r="A262" s="40" t="s">
        <v>1499</v>
      </c>
      <c r="B262" s="40"/>
      <c r="C262" s="40" t="s">
        <v>1174</v>
      </c>
      <c r="D262" s="40">
        <v>8500000</v>
      </c>
      <c r="E262" s="40">
        <v>8547430</v>
      </c>
      <c r="F262" s="40">
        <v>8500000</v>
      </c>
      <c r="G262" s="40" t="s">
        <v>331</v>
      </c>
      <c r="H262" s="40">
        <v>7.2754899999999996</v>
      </c>
      <c r="I262" s="40" t="s">
        <v>1175</v>
      </c>
      <c r="J262" s="44">
        <v>50789</v>
      </c>
      <c r="K262" s="40">
        <v>295</v>
      </c>
      <c r="L262" s="40">
        <v>1</v>
      </c>
      <c r="M262" s="40" t="s">
        <v>1484</v>
      </c>
      <c r="N262" s="40" t="s">
        <v>1174</v>
      </c>
      <c r="O262" s="40" t="s">
        <v>129</v>
      </c>
      <c r="P262" s="40">
        <v>9.2279649789999993</v>
      </c>
      <c r="Q262" s="40" t="s">
        <v>28</v>
      </c>
      <c r="R262" s="40" t="s">
        <v>33</v>
      </c>
      <c r="S262" s="40" t="s">
        <v>38</v>
      </c>
    </row>
    <row r="263" spans="1:19" x14ac:dyDescent="0.25">
      <c r="A263" s="39" t="s">
        <v>1499</v>
      </c>
      <c r="B263" s="39"/>
      <c r="C263" s="39" t="s">
        <v>1176</v>
      </c>
      <c r="D263" s="39">
        <v>3830000</v>
      </c>
      <c r="E263" s="39">
        <v>3838326.42</v>
      </c>
      <c r="F263" s="39">
        <v>3830000</v>
      </c>
      <c r="G263" s="39" t="s">
        <v>331</v>
      </c>
      <c r="H263" s="39">
        <v>7.02027</v>
      </c>
      <c r="I263" s="39" t="s">
        <v>1177</v>
      </c>
      <c r="J263" s="43">
        <v>49962</v>
      </c>
      <c r="K263" s="39">
        <v>270</v>
      </c>
      <c r="L263" s="39">
        <v>1</v>
      </c>
      <c r="M263" s="39" t="s">
        <v>1484</v>
      </c>
      <c r="N263" s="39" t="s">
        <v>1176</v>
      </c>
      <c r="O263" s="39" t="s">
        <v>176</v>
      </c>
      <c r="P263" s="39">
        <v>6.1742103999999998</v>
      </c>
      <c r="Q263" s="39" t="s">
        <v>28</v>
      </c>
      <c r="R263" s="39" t="s">
        <v>29</v>
      </c>
      <c r="S263" s="39" t="s">
        <v>38</v>
      </c>
    </row>
    <row r="264" spans="1:19" x14ac:dyDescent="0.25">
      <c r="A264" s="40" t="s">
        <v>1499</v>
      </c>
      <c r="B264" s="40" t="s">
        <v>1530</v>
      </c>
      <c r="C264" s="40" t="s">
        <v>1167</v>
      </c>
      <c r="D264" s="40">
        <v>4000000</v>
      </c>
      <c r="E264" s="40">
        <v>4017824</v>
      </c>
      <c r="F264" s="40">
        <v>4000000</v>
      </c>
      <c r="G264" s="40" t="s">
        <v>1168</v>
      </c>
      <c r="H264" s="40">
        <v>7.7300700000000004</v>
      </c>
      <c r="I264" s="40" t="s">
        <v>1169</v>
      </c>
      <c r="J264" s="44">
        <v>47689</v>
      </c>
      <c r="K264" s="40">
        <v>341.161</v>
      </c>
      <c r="L264" s="40">
        <v>1</v>
      </c>
      <c r="M264" s="40" t="s">
        <v>1484</v>
      </c>
      <c r="N264" s="40" t="s">
        <v>1167</v>
      </c>
      <c r="O264" s="40" t="s">
        <v>80</v>
      </c>
      <c r="P264" s="40">
        <v>3.3646189909999999</v>
      </c>
      <c r="Q264" s="40" t="s">
        <v>28</v>
      </c>
      <c r="R264" s="40" t="s">
        <v>22</v>
      </c>
      <c r="S264" s="40" t="s">
        <v>38</v>
      </c>
    </row>
    <row r="265" spans="1:19" x14ac:dyDescent="0.25">
      <c r="A265" s="39" t="s">
        <v>1499</v>
      </c>
      <c r="B265" s="39"/>
      <c r="C265" s="39" t="s">
        <v>1167</v>
      </c>
      <c r="D265" s="39">
        <v>240000</v>
      </c>
      <c r="E265" s="39">
        <v>241069.44</v>
      </c>
      <c r="F265" s="39">
        <v>240978</v>
      </c>
      <c r="G265" s="39" t="s">
        <v>1168</v>
      </c>
      <c r="H265" s="39">
        <v>7.7300700000000004</v>
      </c>
      <c r="I265" s="39" t="s">
        <v>1169</v>
      </c>
      <c r="J265" s="43">
        <v>47689</v>
      </c>
      <c r="K265" s="39">
        <v>341.161</v>
      </c>
      <c r="L265" s="39">
        <v>1</v>
      </c>
      <c r="M265" s="39" t="s">
        <v>1484</v>
      </c>
      <c r="N265" s="39" t="s">
        <v>1167</v>
      </c>
      <c r="O265" s="39" t="s">
        <v>80</v>
      </c>
      <c r="P265" s="39">
        <v>3.3646189909999999</v>
      </c>
      <c r="Q265" s="39" t="s">
        <v>28</v>
      </c>
      <c r="R265" s="39" t="s">
        <v>22</v>
      </c>
      <c r="S265" s="39" t="s">
        <v>38</v>
      </c>
    </row>
    <row r="266" spans="1:19" x14ac:dyDescent="0.25">
      <c r="A266" s="40" t="s">
        <v>1499</v>
      </c>
      <c r="B266" s="40" t="s">
        <v>1530</v>
      </c>
      <c r="C266" s="40" t="s">
        <v>1358</v>
      </c>
      <c r="D266" s="40">
        <v>900000</v>
      </c>
      <c r="E266" s="40">
        <v>901836</v>
      </c>
      <c r="F266" s="40">
        <v>900000</v>
      </c>
      <c r="G266" s="40" t="s">
        <v>768</v>
      </c>
      <c r="H266" s="40">
        <v>8.3370999999999995</v>
      </c>
      <c r="I266" s="40" t="s">
        <v>1359</v>
      </c>
      <c r="J266" s="44">
        <v>49145</v>
      </c>
      <c r="K266" s="40">
        <v>401.161</v>
      </c>
      <c r="L266" s="40">
        <v>1</v>
      </c>
      <c r="M266" s="40" t="s">
        <v>1484</v>
      </c>
      <c r="N266" s="40" t="s">
        <v>1358</v>
      </c>
      <c r="O266" s="40" t="s">
        <v>144</v>
      </c>
      <c r="P266" s="40">
        <v>5.9432115760000004</v>
      </c>
      <c r="Q266" s="40" t="s">
        <v>28</v>
      </c>
      <c r="R266" s="40" t="s">
        <v>25</v>
      </c>
      <c r="S266" s="40" t="s">
        <v>38</v>
      </c>
    </row>
    <row r="267" spans="1:19" x14ac:dyDescent="0.25">
      <c r="A267" s="39" t="s">
        <v>1499</v>
      </c>
      <c r="B267" s="39"/>
      <c r="C267" s="39" t="s">
        <v>1358</v>
      </c>
      <c r="D267" s="39">
        <v>140000</v>
      </c>
      <c r="E267" s="39">
        <v>140285.6</v>
      </c>
      <c r="F267" s="39">
        <v>140295.82</v>
      </c>
      <c r="G267" s="39" t="s">
        <v>768</v>
      </c>
      <c r="H267" s="39">
        <v>8.3370999999999995</v>
      </c>
      <c r="I267" s="39" t="s">
        <v>1359</v>
      </c>
      <c r="J267" s="43">
        <v>49145</v>
      </c>
      <c r="K267" s="39">
        <v>401.161</v>
      </c>
      <c r="L267" s="39">
        <v>1</v>
      </c>
      <c r="M267" s="39" t="s">
        <v>1484</v>
      </c>
      <c r="N267" s="39" t="s">
        <v>1358</v>
      </c>
      <c r="O267" s="39" t="s">
        <v>144</v>
      </c>
      <c r="P267" s="39">
        <v>5.9432115760000004</v>
      </c>
      <c r="Q267" s="39" t="s">
        <v>28</v>
      </c>
      <c r="R267" s="39" t="s">
        <v>25</v>
      </c>
      <c r="S267" s="39" t="s">
        <v>38</v>
      </c>
    </row>
    <row r="268" spans="1:19" x14ac:dyDescent="0.25">
      <c r="A268" s="40" t="s">
        <v>1499</v>
      </c>
      <c r="B268" s="40" t="s">
        <v>1530</v>
      </c>
      <c r="C268" s="40" t="s">
        <v>1358</v>
      </c>
      <c r="D268" s="40">
        <v>140000</v>
      </c>
      <c r="E268" s="40">
        <v>140285.6</v>
      </c>
      <c r="F268" s="40">
        <v>140610.4</v>
      </c>
      <c r="G268" s="40" t="s">
        <v>768</v>
      </c>
      <c r="H268" s="40">
        <v>8.3370999999999995</v>
      </c>
      <c r="I268" s="40" t="s">
        <v>1359</v>
      </c>
      <c r="J268" s="44">
        <v>49145</v>
      </c>
      <c r="K268" s="40">
        <v>401.161</v>
      </c>
      <c r="L268" s="40">
        <v>1</v>
      </c>
      <c r="M268" s="40" t="s">
        <v>1484</v>
      </c>
      <c r="N268" s="40" t="s">
        <v>1358</v>
      </c>
      <c r="O268" s="40" t="s">
        <v>144</v>
      </c>
      <c r="P268" s="40">
        <v>5.9432115760000004</v>
      </c>
      <c r="Q268" s="40" t="s">
        <v>28</v>
      </c>
      <c r="R268" s="40" t="s">
        <v>25</v>
      </c>
      <c r="S268" s="40" t="s">
        <v>38</v>
      </c>
    </row>
    <row r="269" spans="1:19" x14ac:dyDescent="0.25">
      <c r="A269" s="39" t="s">
        <v>1499</v>
      </c>
      <c r="B269" s="39"/>
      <c r="C269" s="39" t="s">
        <v>767</v>
      </c>
      <c r="D269" s="39">
        <v>1850000</v>
      </c>
      <c r="E269" s="39">
        <v>1850092.5</v>
      </c>
      <c r="F269" s="39">
        <v>1850000</v>
      </c>
      <c r="G269" s="39" t="s">
        <v>768</v>
      </c>
      <c r="H269" s="39">
        <v>6.9340099999999998</v>
      </c>
      <c r="I269" s="39" t="s">
        <v>769</v>
      </c>
      <c r="J269" s="43">
        <v>49234</v>
      </c>
      <c r="K269" s="39">
        <v>261.161</v>
      </c>
      <c r="L269" s="39">
        <v>1</v>
      </c>
      <c r="M269" s="39" t="s">
        <v>1484</v>
      </c>
      <c r="N269" s="39" t="s">
        <v>767</v>
      </c>
      <c r="O269" s="39" t="s">
        <v>144</v>
      </c>
      <c r="P269" s="39">
        <v>5.7796780969999997</v>
      </c>
      <c r="Q269" s="39" t="s">
        <v>24</v>
      </c>
      <c r="R269" s="39" t="s">
        <v>25</v>
      </c>
      <c r="S269" s="39" t="s">
        <v>34</v>
      </c>
    </row>
    <row r="270" spans="1:19" x14ac:dyDescent="0.25">
      <c r="A270" s="40" t="s">
        <v>1499</v>
      </c>
      <c r="B270" s="40" t="s">
        <v>1530</v>
      </c>
      <c r="C270" s="40" t="s">
        <v>1360</v>
      </c>
      <c r="D270" s="40">
        <v>4850000</v>
      </c>
      <c r="E270" s="40">
        <v>4838059.3</v>
      </c>
      <c r="F270" s="40">
        <v>4850000</v>
      </c>
      <c r="G270" s="40" t="s">
        <v>768</v>
      </c>
      <c r="H270" s="40">
        <v>8.0840099999999993</v>
      </c>
      <c r="I270" s="40" t="s">
        <v>1361</v>
      </c>
      <c r="J270" s="44">
        <v>49234</v>
      </c>
      <c r="K270" s="40">
        <v>376.161</v>
      </c>
      <c r="L270" s="40">
        <v>1</v>
      </c>
      <c r="M270" s="40" t="s">
        <v>1484</v>
      </c>
      <c r="N270" s="40" t="s">
        <v>1360</v>
      </c>
      <c r="O270" s="40" t="s">
        <v>144</v>
      </c>
      <c r="P270" s="40">
        <v>6.218061413</v>
      </c>
      <c r="Q270" s="40" t="s">
        <v>28</v>
      </c>
      <c r="R270" s="40" t="s">
        <v>29</v>
      </c>
      <c r="S270" s="40" t="s">
        <v>38</v>
      </c>
    </row>
    <row r="271" spans="1:19" x14ac:dyDescent="0.25">
      <c r="A271" s="39" t="s">
        <v>1499</v>
      </c>
      <c r="B271" s="39" t="s">
        <v>1530</v>
      </c>
      <c r="C271" s="39" t="s">
        <v>1360</v>
      </c>
      <c r="D271" s="39">
        <v>110000</v>
      </c>
      <c r="E271" s="39">
        <v>109729.18</v>
      </c>
      <c r="F271" s="39">
        <v>110107.69</v>
      </c>
      <c r="G271" s="39" t="s">
        <v>768</v>
      </c>
      <c r="H271" s="39">
        <v>8.0840099999999993</v>
      </c>
      <c r="I271" s="39" t="s">
        <v>1361</v>
      </c>
      <c r="J271" s="43">
        <v>49234</v>
      </c>
      <c r="K271" s="39">
        <v>376.161</v>
      </c>
      <c r="L271" s="39">
        <v>1</v>
      </c>
      <c r="M271" s="39" t="s">
        <v>1484</v>
      </c>
      <c r="N271" s="39" t="s">
        <v>1360</v>
      </c>
      <c r="O271" s="39" t="s">
        <v>144</v>
      </c>
      <c r="P271" s="39">
        <v>6.218061413</v>
      </c>
      <c r="Q271" s="39" t="s">
        <v>28</v>
      </c>
      <c r="R271" s="39" t="s">
        <v>29</v>
      </c>
      <c r="S271" s="39" t="s">
        <v>38</v>
      </c>
    </row>
    <row r="272" spans="1:19" x14ac:dyDescent="0.25">
      <c r="A272" s="40" t="s">
        <v>1499</v>
      </c>
      <c r="B272" s="40"/>
      <c r="C272" s="40" t="s">
        <v>1360</v>
      </c>
      <c r="D272" s="40">
        <v>130000</v>
      </c>
      <c r="E272" s="40">
        <v>129679.94</v>
      </c>
      <c r="F272" s="40">
        <v>130182.52</v>
      </c>
      <c r="G272" s="40" t="s">
        <v>768</v>
      </c>
      <c r="H272" s="40">
        <v>8.0840099999999993</v>
      </c>
      <c r="I272" s="40" t="s">
        <v>1361</v>
      </c>
      <c r="J272" s="44">
        <v>49234</v>
      </c>
      <c r="K272" s="40">
        <v>376.161</v>
      </c>
      <c r="L272" s="40">
        <v>1</v>
      </c>
      <c r="M272" s="40" t="s">
        <v>1484</v>
      </c>
      <c r="N272" s="40" t="s">
        <v>1360</v>
      </c>
      <c r="O272" s="40" t="s">
        <v>144</v>
      </c>
      <c r="P272" s="40">
        <v>6.218061413</v>
      </c>
      <c r="Q272" s="40" t="s">
        <v>28</v>
      </c>
      <c r="R272" s="40" t="s">
        <v>29</v>
      </c>
      <c r="S272" s="40" t="s">
        <v>38</v>
      </c>
    </row>
    <row r="273" spans="1:19" x14ac:dyDescent="0.25">
      <c r="A273" s="39" t="s">
        <v>1499</v>
      </c>
      <c r="B273" s="39"/>
      <c r="C273" s="39" t="s">
        <v>1360</v>
      </c>
      <c r="D273" s="39">
        <v>230000</v>
      </c>
      <c r="E273" s="39">
        <v>229433.74</v>
      </c>
      <c r="F273" s="39">
        <v>228967.74</v>
      </c>
      <c r="G273" s="39" t="s">
        <v>768</v>
      </c>
      <c r="H273" s="39">
        <v>8.0840099999999993</v>
      </c>
      <c r="I273" s="39" t="s">
        <v>1361</v>
      </c>
      <c r="J273" s="43">
        <v>49234</v>
      </c>
      <c r="K273" s="39">
        <v>376.161</v>
      </c>
      <c r="L273" s="39">
        <v>1</v>
      </c>
      <c r="M273" s="39" t="s">
        <v>1484</v>
      </c>
      <c r="N273" s="39" t="s">
        <v>1360</v>
      </c>
      <c r="O273" s="39" t="s">
        <v>144</v>
      </c>
      <c r="P273" s="39">
        <v>6.218061413</v>
      </c>
      <c r="Q273" s="39" t="s">
        <v>28</v>
      </c>
      <c r="R273" s="39" t="s">
        <v>29</v>
      </c>
      <c r="S273" s="39" t="s">
        <v>38</v>
      </c>
    </row>
    <row r="274" spans="1:19" x14ac:dyDescent="0.25">
      <c r="A274" s="40" t="s">
        <v>1499</v>
      </c>
      <c r="B274" s="40"/>
      <c r="C274" s="40" t="s">
        <v>1360</v>
      </c>
      <c r="D274" s="40">
        <v>250000</v>
      </c>
      <c r="E274" s="40">
        <v>249384.5</v>
      </c>
      <c r="F274" s="40">
        <v>249836.33</v>
      </c>
      <c r="G274" s="40" t="s">
        <v>768</v>
      </c>
      <c r="H274" s="40">
        <v>8.0840099999999993</v>
      </c>
      <c r="I274" s="40" t="s">
        <v>1361</v>
      </c>
      <c r="J274" s="44">
        <v>49234</v>
      </c>
      <c r="K274" s="40">
        <v>376.161</v>
      </c>
      <c r="L274" s="40">
        <v>1</v>
      </c>
      <c r="M274" s="40" t="s">
        <v>1484</v>
      </c>
      <c r="N274" s="40" t="s">
        <v>1360</v>
      </c>
      <c r="O274" s="40" t="s">
        <v>144</v>
      </c>
      <c r="P274" s="40">
        <v>6.218061413</v>
      </c>
      <c r="Q274" s="40" t="s">
        <v>28</v>
      </c>
      <c r="R274" s="40" t="s">
        <v>29</v>
      </c>
      <c r="S274" s="40" t="s">
        <v>38</v>
      </c>
    </row>
    <row r="275" spans="1:19" x14ac:dyDescent="0.25">
      <c r="A275" s="39" t="s">
        <v>1499</v>
      </c>
      <c r="B275" s="39"/>
      <c r="C275" s="39" t="s">
        <v>1189</v>
      </c>
      <c r="D275" s="39">
        <v>9300000</v>
      </c>
      <c r="E275" s="39">
        <v>9339348.3000000007</v>
      </c>
      <c r="F275" s="39">
        <v>9300000</v>
      </c>
      <c r="G275" s="39" t="s">
        <v>716</v>
      </c>
      <c r="H275" s="39">
        <v>7.0319900000000004</v>
      </c>
      <c r="I275" s="39" t="s">
        <v>1190</v>
      </c>
      <c r="J275" s="43">
        <v>50427</v>
      </c>
      <c r="K275" s="39">
        <v>270</v>
      </c>
      <c r="L275" s="39">
        <v>1</v>
      </c>
      <c r="M275" s="39" t="s">
        <v>1484</v>
      </c>
      <c r="N275" s="39" t="s">
        <v>1189</v>
      </c>
      <c r="O275" s="39" t="s">
        <v>130</v>
      </c>
      <c r="P275" s="39">
        <v>9.2708154139999994</v>
      </c>
      <c r="Q275" s="39" t="s">
        <v>28</v>
      </c>
      <c r="R275" s="39" t="s">
        <v>33</v>
      </c>
      <c r="S275" s="39" t="s">
        <v>38</v>
      </c>
    </row>
    <row r="276" spans="1:19" x14ac:dyDescent="0.25">
      <c r="A276" s="40" t="s">
        <v>1499</v>
      </c>
      <c r="B276" s="40"/>
      <c r="C276" s="40" t="s">
        <v>1194</v>
      </c>
      <c r="D276" s="40">
        <v>3500000</v>
      </c>
      <c r="E276" s="40">
        <v>3511644.5</v>
      </c>
      <c r="F276" s="40">
        <v>3500000</v>
      </c>
      <c r="G276" s="40" t="s">
        <v>716</v>
      </c>
      <c r="H276" s="40">
        <v>7.2254899999999997</v>
      </c>
      <c r="I276" s="40" t="s">
        <v>1195</v>
      </c>
      <c r="J276" s="44">
        <v>50241</v>
      </c>
      <c r="K276" s="40">
        <v>290</v>
      </c>
      <c r="L276" s="40">
        <v>1</v>
      </c>
      <c r="M276" s="40" t="s">
        <v>1484</v>
      </c>
      <c r="N276" s="40" t="s">
        <v>1194</v>
      </c>
      <c r="O276" s="40" t="s">
        <v>130</v>
      </c>
      <c r="P276" s="40">
        <v>8.8050649920000001</v>
      </c>
      <c r="Q276" s="40" t="s">
        <v>28</v>
      </c>
      <c r="R276" s="40" t="s">
        <v>33</v>
      </c>
      <c r="S276" s="40" t="s">
        <v>38</v>
      </c>
    </row>
    <row r="277" spans="1:19" x14ac:dyDescent="0.25">
      <c r="A277" s="39" t="s">
        <v>1499</v>
      </c>
      <c r="B277" s="39"/>
      <c r="C277" s="39" t="s">
        <v>715</v>
      </c>
      <c r="D277" s="39">
        <v>3400000</v>
      </c>
      <c r="E277" s="39">
        <v>3418635.4</v>
      </c>
      <c r="F277" s="39">
        <v>3400000</v>
      </c>
      <c r="G277" s="39" t="s">
        <v>716</v>
      </c>
      <c r="H277" s="39">
        <v>6.3254900000000003</v>
      </c>
      <c r="I277" s="39" t="s">
        <v>717</v>
      </c>
      <c r="J277" s="43">
        <v>50241</v>
      </c>
      <c r="K277" s="39">
        <v>200</v>
      </c>
      <c r="L277" s="39">
        <v>1</v>
      </c>
      <c r="M277" s="39" t="s">
        <v>1484</v>
      </c>
      <c r="N277" s="39" t="s">
        <v>715</v>
      </c>
      <c r="O277" s="39" t="s">
        <v>130</v>
      </c>
      <c r="P277" s="39">
        <v>8.2209395460000003</v>
      </c>
      <c r="Q277" s="39" t="s">
        <v>24</v>
      </c>
      <c r="R277" s="39" t="s">
        <v>33</v>
      </c>
      <c r="S277" s="39" t="s">
        <v>34</v>
      </c>
    </row>
    <row r="278" spans="1:19" x14ac:dyDescent="0.25">
      <c r="A278" s="40" t="s">
        <v>1499</v>
      </c>
      <c r="B278" s="40"/>
      <c r="C278" s="40" t="s">
        <v>1211</v>
      </c>
      <c r="D278" s="40">
        <v>9000000</v>
      </c>
      <c r="E278" s="40">
        <v>9071433</v>
      </c>
      <c r="F278" s="40">
        <v>9000000</v>
      </c>
      <c r="G278" s="40" t="s">
        <v>724</v>
      </c>
      <c r="H278" s="40">
        <v>7.4184599999999996</v>
      </c>
      <c r="I278" s="40" t="s">
        <v>1212</v>
      </c>
      <c r="J278" s="44">
        <v>50338</v>
      </c>
      <c r="K278" s="40">
        <v>310</v>
      </c>
      <c r="L278" s="40">
        <v>1</v>
      </c>
      <c r="M278" s="40" t="s">
        <v>1484</v>
      </c>
      <c r="N278" s="40" t="s">
        <v>1211</v>
      </c>
      <c r="O278" s="40" t="s">
        <v>177</v>
      </c>
      <c r="P278" s="40">
        <v>9.0507018559999999</v>
      </c>
      <c r="Q278" s="40" t="s">
        <v>28</v>
      </c>
      <c r="R278" s="40" t="s">
        <v>33</v>
      </c>
      <c r="S278" s="40" t="s">
        <v>38</v>
      </c>
    </row>
    <row r="279" spans="1:19" x14ac:dyDescent="0.25">
      <c r="A279" s="39" t="s">
        <v>1499</v>
      </c>
      <c r="B279" s="39"/>
      <c r="C279" s="39" t="s">
        <v>1233</v>
      </c>
      <c r="D279" s="39">
        <v>4000000</v>
      </c>
      <c r="E279" s="39">
        <v>4016452</v>
      </c>
      <c r="F279" s="39">
        <v>4006800</v>
      </c>
      <c r="G279" s="39"/>
      <c r="H279" s="39">
        <v>7.7870999999999997</v>
      </c>
      <c r="I279" s="39" t="s">
        <v>1234</v>
      </c>
      <c r="J279" s="43">
        <v>50059</v>
      </c>
      <c r="K279" s="39">
        <v>346.161</v>
      </c>
      <c r="L279" s="39">
        <v>1</v>
      </c>
      <c r="M279" s="39" t="s">
        <v>1484</v>
      </c>
      <c r="N279" s="39" t="s">
        <v>1233</v>
      </c>
      <c r="O279" s="39" t="s">
        <v>130</v>
      </c>
      <c r="P279" s="39">
        <v>6.3401163809999996</v>
      </c>
      <c r="Q279" s="39" t="s">
        <v>28</v>
      </c>
      <c r="R279" s="39" t="s">
        <v>29</v>
      </c>
      <c r="S279" s="39" t="s">
        <v>38</v>
      </c>
    </row>
    <row r="280" spans="1:19" x14ac:dyDescent="0.25">
      <c r="A280" s="40" t="s">
        <v>1499</v>
      </c>
      <c r="B280" s="40"/>
      <c r="C280" s="40" t="s">
        <v>1181</v>
      </c>
      <c r="D280" s="40">
        <v>3750000</v>
      </c>
      <c r="E280" s="40">
        <v>3766293.75</v>
      </c>
      <c r="F280" s="40">
        <v>3750000</v>
      </c>
      <c r="G280" s="40" t="s">
        <v>1179</v>
      </c>
      <c r="H280" s="40">
        <v>7.4254899999999999</v>
      </c>
      <c r="I280" s="40" t="s">
        <v>1182</v>
      </c>
      <c r="J280" s="44">
        <v>50150</v>
      </c>
      <c r="K280" s="40">
        <v>310</v>
      </c>
      <c r="L280" s="40">
        <v>1</v>
      </c>
      <c r="M280" s="40" t="s">
        <v>1484</v>
      </c>
      <c r="N280" s="40" t="s">
        <v>1181</v>
      </c>
      <c r="O280" s="40" t="s">
        <v>130</v>
      </c>
      <c r="P280" s="40">
        <v>7.8614500129999998</v>
      </c>
      <c r="Q280" s="40" t="s">
        <v>28</v>
      </c>
      <c r="R280" s="40" t="s">
        <v>29</v>
      </c>
      <c r="S280" s="40" t="s">
        <v>38</v>
      </c>
    </row>
    <row r="281" spans="1:19" x14ac:dyDescent="0.25">
      <c r="A281" s="39" t="s">
        <v>1499</v>
      </c>
      <c r="B281" s="39"/>
      <c r="C281" s="39" t="s">
        <v>1235</v>
      </c>
      <c r="D281" s="39">
        <v>5400000</v>
      </c>
      <c r="E281" s="39">
        <v>5424111</v>
      </c>
      <c r="F281" s="39">
        <v>5400000</v>
      </c>
      <c r="G281" s="39" t="s">
        <v>1236</v>
      </c>
      <c r="H281" s="39">
        <v>7.3754900000000001</v>
      </c>
      <c r="I281" s="39" t="s">
        <v>1237</v>
      </c>
      <c r="J281" s="43">
        <v>50241</v>
      </c>
      <c r="K281" s="39">
        <v>305</v>
      </c>
      <c r="L281" s="39">
        <v>1</v>
      </c>
      <c r="M281" s="39" t="s">
        <v>1484</v>
      </c>
      <c r="N281" s="39" t="s">
        <v>1235</v>
      </c>
      <c r="O281" s="39" t="s">
        <v>130</v>
      </c>
      <c r="P281" s="39">
        <v>8.8457775000000005</v>
      </c>
      <c r="Q281" s="39" t="s">
        <v>28</v>
      </c>
      <c r="R281" s="39" t="s">
        <v>33</v>
      </c>
      <c r="S281" s="39" t="s">
        <v>38</v>
      </c>
    </row>
    <row r="282" spans="1:19" x14ac:dyDescent="0.25">
      <c r="A282" s="40" t="s">
        <v>1499</v>
      </c>
      <c r="B282" s="40"/>
      <c r="C282" s="40" t="s">
        <v>1187</v>
      </c>
      <c r="D282" s="40">
        <v>3000000</v>
      </c>
      <c r="E282" s="40">
        <v>3018558</v>
      </c>
      <c r="F282" s="40">
        <v>3000000</v>
      </c>
      <c r="G282" s="40" t="s">
        <v>716</v>
      </c>
      <c r="H282" s="40">
        <v>7.9254899999999999</v>
      </c>
      <c r="I282" s="40" t="s">
        <v>1188</v>
      </c>
      <c r="J282" s="44">
        <v>50150</v>
      </c>
      <c r="K282" s="40">
        <v>360</v>
      </c>
      <c r="L282" s="40">
        <v>1</v>
      </c>
      <c r="M282" s="40" t="s">
        <v>1484</v>
      </c>
      <c r="N282" s="40" t="s">
        <v>1187</v>
      </c>
      <c r="O282" s="40" t="s">
        <v>130</v>
      </c>
      <c r="P282" s="40">
        <v>8.6662160539999995</v>
      </c>
      <c r="Q282" s="40" t="s">
        <v>28</v>
      </c>
      <c r="R282" s="40" t="s">
        <v>33</v>
      </c>
      <c r="S282" s="40" t="s">
        <v>38</v>
      </c>
    </row>
    <row r="283" spans="1:19" x14ac:dyDescent="0.25">
      <c r="A283" s="39" t="s">
        <v>1499</v>
      </c>
      <c r="B283" s="39"/>
      <c r="C283" s="39" t="s">
        <v>1209</v>
      </c>
      <c r="D283" s="39">
        <v>5000000</v>
      </c>
      <c r="E283" s="39">
        <v>5044465</v>
      </c>
      <c r="F283" s="39">
        <v>5000000</v>
      </c>
      <c r="G283" s="39" t="s">
        <v>724</v>
      </c>
      <c r="H283" s="39">
        <v>7.4254899999999999</v>
      </c>
      <c r="I283" s="39" t="s">
        <v>1210</v>
      </c>
      <c r="J283" s="43">
        <v>50333</v>
      </c>
      <c r="K283" s="39">
        <v>310</v>
      </c>
      <c r="L283" s="39">
        <v>1</v>
      </c>
      <c r="M283" s="39" t="s">
        <v>1484</v>
      </c>
      <c r="N283" s="39" t="s">
        <v>1209</v>
      </c>
      <c r="O283" s="39" t="s">
        <v>177</v>
      </c>
      <c r="P283" s="39">
        <v>8.8497823130000004</v>
      </c>
      <c r="Q283" s="39" t="s">
        <v>28</v>
      </c>
      <c r="R283" s="39" t="s">
        <v>33</v>
      </c>
      <c r="S283" s="39" t="s">
        <v>38</v>
      </c>
    </row>
    <row r="284" spans="1:19" x14ac:dyDescent="0.25">
      <c r="A284" s="40" t="s">
        <v>1499</v>
      </c>
      <c r="B284" s="40"/>
      <c r="C284" s="40" t="s">
        <v>723</v>
      </c>
      <c r="D284" s="40">
        <v>4650000</v>
      </c>
      <c r="E284" s="40">
        <v>4667995.5</v>
      </c>
      <c r="F284" s="40">
        <v>4650000</v>
      </c>
      <c r="G284" s="40" t="s">
        <v>724</v>
      </c>
      <c r="H284" s="40">
        <v>6.1754899999999999</v>
      </c>
      <c r="I284" s="40" t="s">
        <v>725</v>
      </c>
      <c r="J284" s="44">
        <v>50426</v>
      </c>
      <c r="K284" s="40">
        <v>185</v>
      </c>
      <c r="L284" s="40">
        <v>1</v>
      </c>
      <c r="M284" s="40" t="s">
        <v>1484</v>
      </c>
      <c r="N284" s="40" t="s">
        <v>723</v>
      </c>
      <c r="O284" s="40" t="s">
        <v>177</v>
      </c>
      <c r="P284" s="40">
        <v>8.6996069580000004</v>
      </c>
      <c r="Q284" s="40" t="s">
        <v>24</v>
      </c>
      <c r="R284" s="40" t="s">
        <v>33</v>
      </c>
      <c r="S284" s="40" t="s">
        <v>34</v>
      </c>
    </row>
    <row r="285" spans="1:19" x14ac:dyDescent="0.25">
      <c r="A285" s="39" t="s">
        <v>1499</v>
      </c>
      <c r="B285" s="39"/>
      <c r="C285" s="39" t="s">
        <v>1198</v>
      </c>
      <c r="D285" s="39">
        <v>6300000</v>
      </c>
      <c r="E285" s="39">
        <v>6316650.9000000004</v>
      </c>
      <c r="F285" s="39">
        <v>6300000</v>
      </c>
      <c r="G285" s="39" t="s">
        <v>719</v>
      </c>
      <c r="H285" s="39">
        <v>7.6175499999999996</v>
      </c>
      <c r="I285" s="39" t="s">
        <v>1199</v>
      </c>
      <c r="J285" s="43">
        <v>50328</v>
      </c>
      <c r="K285" s="39">
        <v>330</v>
      </c>
      <c r="L285" s="39">
        <v>1</v>
      </c>
      <c r="M285" s="39" t="s">
        <v>1484</v>
      </c>
      <c r="N285" s="39" t="s">
        <v>1198</v>
      </c>
      <c r="O285" s="39" t="s">
        <v>178</v>
      </c>
      <c r="P285" s="39">
        <v>9.0986853199999995</v>
      </c>
      <c r="Q285" s="39" t="s">
        <v>28</v>
      </c>
      <c r="R285" s="39" t="s">
        <v>33</v>
      </c>
      <c r="S285" s="39" t="s">
        <v>38</v>
      </c>
    </row>
    <row r="286" spans="1:19" x14ac:dyDescent="0.25">
      <c r="A286" s="40" t="s">
        <v>1499</v>
      </c>
      <c r="B286" s="40"/>
      <c r="C286" s="40" t="s">
        <v>718</v>
      </c>
      <c r="D286" s="40">
        <v>4300000</v>
      </c>
      <c r="E286" s="40">
        <v>4308372.0999999996</v>
      </c>
      <c r="F286" s="40">
        <v>4300000</v>
      </c>
      <c r="G286" s="40" t="s">
        <v>719</v>
      </c>
      <c r="H286" s="40">
        <v>6.26755</v>
      </c>
      <c r="I286" s="40" t="s">
        <v>720</v>
      </c>
      <c r="J286" s="44">
        <v>50420</v>
      </c>
      <c r="K286" s="40">
        <v>195</v>
      </c>
      <c r="L286" s="40">
        <v>1</v>
      </c>
      <c r="M286" s="40" t="s">
        <v>1484</v>
      </c>
      <c r="N286" s="40" t="s">
        <v>718</v>
      </c>
      <c r="O286" s="40" t="s">
        <v>178</v>
      </c>
      <c r="P286" s="40">
        <v>8.6967420969999996</v>
      </c>
      <c r="Q286" s="40" t="s">
        <v>24</v>
      </c>
      <c r="R286" s="40" t="s">
        <v>33</v>
      </c>
      <c r="S286" s="40" t="s">
        <v>34</v>
      </c>
    </row>
    <row r="287" spans="1:19" x14ac:dyDescent="0.25">
      <c r="A287" s="39" t="s">
        <v>1499</v>
      </c>
      <c r="B287" s="39"/>
      <c r="C287" s="39" t="s">
        <v>1196</v>
      </c>
      <c r="D287" s="39">
        <v>4300000</v>
      </c>
      <c r="E287" s="39">
        <v>4316572.2</v>
      </c>
      <c r="F287" s="39">
        <v>4300000</v>
      </c>
      <c r="G287" s="39" t="s">
        <v>719</v>
      </c>
      <c r="H287" s="39">
        <v>7.3175499999999998</v>
      </c>
      <c r="I287" s="39" t="s">
        <v>1197</v>
      </c>
      <c r="J287" s="43">
        <v>50420</v>
      </c>
      <c r="K287" s="39">
        <v>300</v>
      </c>
      <c r="L287" s="39">
        <v>1</v>
      </c>
      <c r="M287" s="39" t="s">
        <v>1484</v>
      </c>
      <c r="N287" s="39" t="s">
        <v>1196</v>
      </c>
      <c r="O287" s="39" t="s">
        <v>178</v>
      </c>
      <c r="P287" s="39">
        <v>9.3279796919999995</v>
      </c>
      <c r="Q287" s="39" t="s">
        <v>28</v>
      </c>
      <c r="R287" s="39" t="s">
        <v>33</v>
      </c>
      <c r="S287" s="39" t="s">
        <v>38</v>
      </c>
    </row>
    <row r="288" spans="1:19" x14ac:dyDescent="0.25">
      <c r="A288" s="40" t="s">
        <v>1499</v>
      </c>
      <c r="B288" s="40"/>
      <c r="C288" s="40" t="s">
        <v>721</v>
      </c>
      <c r="D288" s="40">
        <v>3000000</v>
      </c>
      <c r="E288" s="40">
        <v>3015429</v>
      </c>
      <c r="F288" s="40">
        <v>3000000</v>
      </c>
      <c r="G288" s="40" t="s">
        <v>719</v>
      </c>
      <c r="H288" s="40">
        <v>6.2175500000000001</v>
      </c>
      <c r="I288" s="40" t="s">
        <v>722</v>
      </c>
      <c r="J288" s="44">
        <v>50420</v>
      </c>
      <c r="K288" s="40">
        <v>190</v>
      </c>
      <c r="L288" s="40">
        <v>1</v>
      </c>
      <c r="M288" s="40" t="s">
        <v>1484</v>
      </c>
      <c r="N288" s="40" t="s">
        <v>721</v>
      </c>
      <c r="O288" s="40" t="s">
        <v>179</v>
      </c>
      <c r="P288" s="40">
        <v>8.7709917419999996</v>
      </c>
      <c r="Q288" s="40" t="s">
        <v>24</v>
      </c>
      <c r="R288" s="40" t="s">
        <v>33</v>
      </c>
      <c r="S288" s="40" t="s">
        <v>34</v>
      </c>
    </row>
    <row r="289" spans="1:19" x14ac:dyDescent="0.25">
      <c r="A289" s="39" t="s">
        <v>1499</v>
      </c>
      <c r="B289" s="39"/>
      <c r="C289" s="39" t="s">
        <v>519</v>
      </c>
      <c r="D289" s="39">
        <v>10600000</v>
      </c>
      <c r="E289" s="39">
        <v>10691361.4</v>
      </c>
      <c r="F289" s="39">
        <v>10600000</v>
      </c>
      <c r="G289" s="39" t="s">
        <v>1214</v>
      </c>
      <c r="H289" s="39">
        <v>8.2184600000000003</v>
      </c>
      <c r="I289" s="39" t="s">
        <v>518</v>
      </c>
      <c r="J289" s="43">
        <v>50611</v>
      </c>
      <c r="K289" s="39">
        <v>390</v>
      </c>
      <c r="L289" s="39">
        <v>1</v>
      </c>
      <c r="M289" s="39" t="s">
        <v>1484</v>
      </c>
      <c r="N289" s="39" t="s">
        <v>519</v>
      </c>
      <c r="O289" s="39" t="s">
        <v>132</v>
      </c>
      <c r="P289" s="39">
        <v>9.7381478000000001</v>
      </c>
      <c r="Q289" s="39" t="s">
        <v>28</v>
      </c>
      <c r="R289" s="39" t="s">
        <v>33</v>
      </c>
      <c r="S289" s="39" t="s">
        <v>38</v>
      </c>
    </row>
    <row r="290" spans="1:19" x14ac:dyDescent="0.25">
      <c r="A290" s="40" t="s">
        <v>1499</v>
      </c>
      <c r="B290" s="40" t="s">
        <v>1530</v>
      </c>
      <c r="C290" s="40" t="s">
        <v>1216</v>
      </c>
      <c r="D290" s="40">
        <v>423000</v>
      </c>
      <c r="E290" s="40">
        <v>424003.36</v>
      </c>
      <c r="F290" s="40">
        <v>400660.95</v>
      </c>
      <c r="G290" s="40" t="s">
        <v>1214</v>
      </c>
      <c r="H290" s="40">
        <v>8.4800699999999996</v>
      </c>
      <c r="I290" s="40" t="s">
        <v>1217</v>
      </c>
      <c r="J290" s="44">
        <v>48512</v>
      </c>
      <c r="K290" s="40">
        <v>416.161</v>
      </c>
      <c r="L290" s="40">
        <v>1</v>
      </c>
      <c r="M290" s="40" t="s">
        <v>1484</v>
      </c>
      <c r="N290" s="40" t="s">
        <v>1216</v>
      </c>
      <c r="O290" s="40" t="s">
        <v>132</v>
      </c>
      <c r="P290" s="40">
        <v>4.6780564289999997</v>
      </c>
      <c r="Q290" s="40" t="s">
        <v>28</v>
      </c>
      <c r="R290" s="40" t="s">
        <v>25</v>
      </c>
      <c r="S290" s="40" t="s">
        <v>38</v>
      </c>
    </row>
    <row r="291" spans="1:19" x14ac:dyDescent="0.25">
      <c r="A291" s="39" t="s">
        <v>1499</v>
      </c>
      <c r="B291" s="39"/>
      <c r="C291" s="39" t="s">
        <v>1216</v>
      </c>
      <c r="D291" s="39">
        <v>496000</v>
      </c>
      <c r="E291" s="39">
        <v>497176.51</v>
      </c>
      <c r="F291" s="39">
        <v>470942.58</v>
      </c>
      <c r="G291" s="39" t="s">
        <v>1214</v>
      </c>
      <c r="H291" s="39">
        <v>8.4800699999999996</v>
      </c>
      <c r="I291" s="39" t="s">
        <v>1217</v>
      </c>
      <c r="J291" s="43">
        <v>48512</v>
      </c>
      <c r="K291" s="39">
        <v>416.161</v>
      </c>
      <c r="L291" s="39">
        <v>1</v>
      </c>
      <c r="M291" s="39" t="s">
        <v>1484</v>
      </c>
      <c r="N291" s="39" t="s">
        <v>1216</v>
      </c>
      <c r="O291" s="39" t="s">
        <v>132</v>
      </c>
      <c r="P291" s="39">
        <v>4.6780564289999997</v>
      </c>
      <c r="Q291" s="39" t="s">
        <v>28</v>
      </c>
      <c r="R291" s="39" t="s">
        <v>25</v>
      </c>
      <c r="S291" s="39" t="s">
        <v>38</v>
      </c>
    </row>
    <row r="292" spans="1:19" x14ac:dyDescent="0.25">
      <c r="A292" s="40" t="s">
        <v>1499</v>
      </c>
      <c r="B292" s="40"/>
      <c r="C292" s="40" t="s">
        <v>1216</v>
      </c>
      <c r="D292" s="40">
        <v>2960000</v>
      </c>
      <c r="E292" s="40">
        <v>2967021.12</v>
      </c>
      <c r="F292" s="40">
        <v>2964744.88</v>
      </c>
      <c r="G292" s="40" t="s">
        <v>1214</v>
      </c>
      <c r="H292" s="40">
        <v>8.4800699999999996</v>
      </c>
      <c r="I292" s="40" t="s">
        <v>1217</v>
      </c>
      <c r="J292" s="44">
        <v>48512</v>
      </c>
      <c r="K292" s="40">
        <v>416.161</v>
      </c>
      <c r="L292" s="40">
        <v>1</v>
      </c>
      <c r="M292" s="40" t="s">
        <v>1484</v>
      </c>
      <c r="N292" s="40" t="s">
        <v>1216</v>
      </c>
      <c r="O292" s="40" t="s">
        <v>132</v>
      </c>
      <c r="P292" s="40">
        <v>4.6780564289999997</v>
      </c>
      <c r="Q292" s="40" t="s">
        <v>28</v>
      </c>
      <c r="R292" s="40" t="s">
        <v>25</v>
      </c>
      <c r="S292" s="40" t="s">
        <v>38</v>
      </c>
    </row>
    <row r="293" spans="1:19" x14ac:dyDescent="0.25">
      <c r="A293" s="39" t="s">
        <v>1499</v>
      </c>
      <c r="B293" s="39"/>
      <c r="C293" s="39" t="s">
        <v>1220</v>
      </c>
      <c r="D293" s="39">
        <v>8200000</v>
      </c>
      <c r="E293" s="39">
        <v>8238900.7999999998</v>
      </c>
      <c r="F293" s="39">
        <v>8200000</v>
      </c>
      <c r="G293" s="39" t="s">
        <v>1214</v>
      </c>
      <c r="H293" s="39">
        <v>7.2319899999999997</v>
      </c>
      <c r="I293" s="39" t="s">
        <v>1221</v>
      </c>
      <c r="J293" s="43">
        <v>50427</v>
      </c>
      <c r="K293" s="39">
        <v>290</v>
      </c>
      <c r="L293" s="39">
        <v>1</v>
      </c>
      <c r="M293" s="39" t="s">
        <v>1484</v>
      </c>
      <c r="N293" s="39" t="s">
        <v>1220</v>
      </c>
      <c r="O293" s="39" t="s">
        <v>132</v>
      </c>
      <c r="P293" s="39">
        <v>9.3028813039999996</v>
      </c>
      <c r="Q293" s="39" t="s">
        <v>28</v>
      </c>
      <c r="R293" s="39" t="s">
        <v>33</v>
      </c>
      <c r="S293" s="39" t="s">
        <v>38</v>
      </c>
    </row>
    <row r="294" spans="1:19" x14ac:dyDescent="0.25">
      <c r="A294" s="40" t="s">
        <v>1499</v>
      </c>
      <c r="B294" s="40" t="s">
        <v>1530</v>
      </c>
      <c r="C294" s="40" t="s">
        <v>1224</v>
      </c>
      <c r="D294" s="40">
        <v>3500177</v>
      </c>
      <c r="E294" s="40">
        <v>3505588.27</v>
      </c>
      <c r="F294" s="40">
        <v>3498426.91</v>
      </c>
      <c r="G294" s="40" t="s">
        <v>1214</v>
      </c>
      <c r="H294" s="40">
        <v>7.6291599999999997</v>
      </c>
      <c r="I294" s="40" t="s">
        <v>1225</v>
      </c>
      <c r="J294" s="44">
        <v>49140</v>
      </c>
      <c r="K294" s="40">
        <v>331.161</v>
      </c>
      <c r="L294" s="40">
        <v>1</v>
      </c>
      <c r="M294" s="40" t="s">
        <v>1484</v>
      </c>
      <c r="N294" s="40" t="s">
        <v>1224</v>
      </c>
      <c r="O294" s="40" t="s">
        <v>132</v>
      </c>
      <c r="P294" s="40">
        <v>5.9896885720000004</v>
      </c>
      <c r="Q294" s="40" t="s">
        <v>28</v>
      </c>
      <c r="R294" s="40" t="s">
        <v>25</v>
      </c>
      <c r="S294" s="40" t="s">
        <v>38</v>
      </c>
    </row>
    <row r="295" spans="1:19" x14ac:dyDescent="0.25">
      <c r="A295" s="39" t="s">
        <v>1499</v>
      </c>
      <c r="B295" s="39" t="s">
        <v>1530</v>
      </c>
      <c r="C295" s="39" t="s">
        <v>1218</v>
      </c>
      <c r="D295" s="39">
        <v>6250000</v>
      </c>
      <c r="E295" s="39">
        <v>6125906.25</v>
      </c>
      <c r="F295" s="39">
        <v>6250000</v>
      </c>
      <c r="G295" s="39" t="s">
        <v>1214</v>
      </c>
      <c r="H295" s="39">
        <v>7.51755</v>
      </c>
      <c r="I295" s="39" t="s">
        <v>1219</v>
      </c>
      <c r="J295" s="43">
        <v>49414</v>
      </c>
      <c r="K295" s="39">
        <v>320</v>
      </c>
      <c r="L295" s="39">
        <v>1</v>
      </c>
      <c r="M295" s="39" t="s">
        <v>1484</v>
      </c>
      <c r="N295" s="39" t="s">
        <v>1218</v>
      </c>
      <c r="O295" s="39" t="s">
        <v>132</v>
      </c>
      <c r="P295" s="39">
        <v>6.4799685450000002</v>
      </c>
      <c r="Q295" s="39" t="s">
        <v>28</v>
      </c>
      <c r="R295" s="39" t="s">
        <v>29</v>
      </c>
      <c r="S295" s="39" t="s">
        <v>38</v>
      </c>
    </row>
    <row r="296" spans="1:19" x14ac:dyDescent="0.25">
      <c r="A296" s="40" t="s">
        <v>1499</v>
      </c>
      <c r="B296" s="40"/>
      <c r="C296" s="40" t="s">
        <v>1222</v>
      </c>
      <c r="D296" s="40">
        <v>3000000</v>
      </c>
      <c r="E296" s="40">
        <v>3011550</v>
      </c>
      <c r="F296" s="40">
        <v>3000000</v>
      </c>
      <c r="G296" s="40" t="s">
        <v>1214</v>
      </c>
      <c r="H296" s="40">
        <v>8.3675499999999996</v>
      </c>
      <c r="I296" s="40" t="s">
        <v>1223</v>
      </c>
      <c r="J296" s="44">
        <v>50145</v>
      </c>
      <c r="K296" s="40">
        <v>405</v>
      </c>
      <c r="L296" s="40">
        <v>1</v>
      </c>
      <c r="M296" s="40" t="s">
        <v>1484</v>
      </c>
      <c r="N296" s="40" t="s">
        <v>1222</v>
      </c>
      <c r="O296" s="40" t="s">
        <v>132</v>
      </c>
      <c r="P296" s="40">
        <v>8.6634616520000005</v>
      </c>
      <c r="Q296" s="40" t="s">
        <v>28</v>
      </c>
      <c r="R296" s="40" t="s">
        <v>33</v>
      </c>
      <c r="S296" s="40" t="s">
        <v>38</v>
      </c>
    </row>
    <row r="297" spans="1:19" x14ac:dyDescent="0.25">
      <c r="A297" s="39" t="s">
        <v>1499</v>
      </c>
      <c r="B297" s="39"/>
      <c r="C297" s="39" t="s">
        <v>1213</v>
      </c>
      <c r="D297" s="39">
        <v>480000</v>
      </c>
      <c r="E297" s="39">
        <v>482189.28</v>
      </c>
      <c r="F297" s="39">
        <v>473252.88</v>
      </c>
      <c r="G297" s="39" t="s">
        <v>1214</v>
      </c>
      <c r="H297" s="39">
        <v>7.5840100000000001</v>
      </c>
      <c r="I297" s="39" t="s">
        <v>1215</v>
      </c>
      <c r="J297" s="43">
        <v>47681</v>
      </c>
      <c r="K297" s="39">
        <v>326.161</v>
      </c>
      <c r="L297" s="39">
        <v>1</v>
      </c>
      <c r="M297" s="39" t="s">
        <v>1484</v>
      </c>
      <c r="N297" s="39" t="s">
        <v>1213</v>
      </c>
      <c r="O297" s="39" t="s">
        <v>132</v>
      </c>
      <c r="P297" s="39">
        <v>3.242261461</v>
      </c>
      <c r="Q297" s="39" t="s">
        <v>28</v>
      </c>
      <c r="R297" s="39" t="s">
        <v>22</v>
      </c>
      <c r="S297" s="39" t="s">
        <v>38</v>
      </c>
    </row>
    <row r="298" spans="1:19" x14ac:dyDescent="0.25">
      <c r="A298" s="40" t="s">
        <v>1499</v>
      </c>
      <c r="B298" s="40" t="s">
        <v>1530</v>
      </c>
      <c r="C298" s="40" t="s">
        <v>1213</v>
      </c>
      <c r="D298" s="40">
        <v>480000</v>
      </c>
      <c r="E298" s="40">
        <v>482189.28</v>
      </c>
      <c r="F298" s="40">
        <v>476304</v>
      </c>
      <c r="G298" s="40" t="s">
        <v>1214</v>
      </c>
      <c r="H298" s="40">
        <v>7.5840100000000001</v>
      </c>
      <c r="I298" s="40" t="s">
        <v>1215</v>
      </c>
      <c r="J298" s="44">
        <v>47681</v>
      </c>
      <c r="K298" s="40">
        <v>326.161</v>
      </c>
      <c r="L298" s="40">
        <v>1</v>
      </c>
      <c r="M298" s="40" t="s">
        <v>1484</v>
      </c>
      <c r="N298" s="40" t="s">
        <v>1213</v>
      </c>
      <c r="O298" s="40" t="s">
        <v>132</v>
      </c>
      <c r="P298" s="40">
        <v>3.242261461</v>
      </c>
      <c r="Q298" s="40" t="s">
        <v>28</v>
      </c>
      <c r="R298" s="40" t="s">
        <v>22</v>
      </c>
      <c r="S298" s="40" t="s">
        <v>38</v>
      </c>
    </row>
    <row r="299" spans="1:19" x14ac:dyDescent="0.25">
      <c r="A299" s="39" t="s">
        <v>1499</v>
      </c>
      <c r="B299" s="39"/>
      <c r="C299" s="39" t="s">
        <v>1226</v>
      </c>
      <c r="D299" s="39">
        <v>5000000</v>
      </c>
      <c r="E299" s="39">
        <v>4957530</v>
      </c>
      <c r="F299" s="39">
        <v>4680000</v>
      </c>
      <c r="G299" s="39" t="s">
        <v>1214</v>
      </c>
      <c r="H299" s="39">
        <v>8.0263299999999997</v>
      </c>
      <c r="I299" s="39" t="s">
        <v>1227</v>
      </c>
      <c r="J299" s="43">
        <v>49444</v>
      </c>
      <c r="K299" s="39">
        <v>370</v>
      </c>
      <c r="L299" s="39">
        <v>1</v>
      </c>
      <c r="M299" s="39" t="s">
        <v>1484</v>
      </c>
      <c r="N299" s="39" t="s">
        <v>1226</v>
      </c>
      <c r="O299" s="39" t="s">
        <v>132</v>
      </c>
      <c r="P299" s="39">
        <v>6.1606291329999996</v>
      </c>
      <c r="Q299" s="39" t="s">
        <v>28</v>
      </c>
      <c r="R299" s="39" t="s">
        <v>29</v>
      </c>
      <c r="S299" s="39" t="s">
        <v>38</v>
      </c>
    </row>
    <row r="300" spans="1:19" x14ac:dyDescent="0.25">
      <c r="A300" s="40" t="s">
        <v>1499</v>
      </c>
      <c r="B300" s="40"/>
      <c r="C300" s="40" t="s">
        <v>1228</v>
      </c>
      <c r="D300" s="40">
        <v>7500000</v>
      </c>
      <c r="E300" s="40">
        <v>7552785</v>
      </c>
      <c r="F300" s="40">
        <v>7500000</v>
      </c>
      <c r="G300" s="40" t="s">
        <v>1214</v>
      </c>
      <c r="H300" s="40">
        <v>7.4254899999999999</v>
      </c>
      <c r="I300" s="40" t="s">
        <v>1229</v>
      </c>
      <c r="J300" s="44">
        <v>50333</v>
      </c>
      <c r="K300" s="40">
        <v>310</v>
      </c>
      <c r="L300" s="40">
        <v>1</v>
      </c>
      <c r="M300" s="40" t="s">
        <v>1484</v>
      </c>
      <c r="N300" s="40" t="s">
        <v>1228</v>
      </c>
      <c r="O300" s="40" t="s">
        <v>132</v>
      </c>
      <c r="P300" s="40">
        <v>9.0544673150000001</v>
      </c>
      <c r="Q300" s="40" t="s">
        <v>28</v>
      </c>
      <c r="R300" s="40" t="s">
        <v>33</v>
      </c>
      <c r="S300" s="40" t="s">
        <v>38</v>
      </c>
    </row>
    <row r="301" spans="1:19" x14ac:dyDescent="0.25">
      <c r="A301" s="39" t="s">
        <v>1499</v>
      </c>
      <c r="B301" s="39"/>
      <c r="C301" s="39" t="s">
        <v>1230</v>
      </c>
      <c r="D301" s="39">
        <v>3000000</v>
      </c>
      <c r="E301" s="39">
        <v>3015510</v>
      </c>
      <c r="F301" s="39">
        <v>3000000</v>
      </c>
      <c r="G301" s="39" t="s">
        <v>1231</v>
      </c>
      <c r="H301" s="39">
        <v>8.5254899999999996</v>
      </c>
      <c r="I301" s="39" t="s">
        <v>1232</v>
      </c>
      <c r="J301" s="43">
        <v>49968</v>
      </c>
      <c r="K301" s="39">
        <v>420</v>
      </c>
      <c r="L301" s="39">
        <v>1</v>
      </c>
      <c r="M301" s="39" t="s">
        <v>1484</v>
      </c>
      <c r="N301" s="39" t="s">
        <v>1230</v>
      </c>
      <c r="O301" s="39" t="s">
        <v>132</v>
      </c>
      <c r="P301" s="39">
        <v>7.9476811170000001</v>
      </c>
      <c r="Q301" s="39" t="s">
        <v>28</v>
      </c>
      <c r="R301" s="39" t="s">
        <v>29</v>
      </c>
      <c r="S301" s="39" t="s">
        <v>38</v>
      </c>
    </row>
    <row r="302" spans="1:19" x14ac:dyDescent="0.25">
      <c r="A302" s="40" t="s">
        <v>1499</v>
      </c>
      <c r="B302" s="40"/>
      <c r="C302" s="40" t="s">
        <v>1183</v>
      </c>
      <c r="D302" s="40">
        <v>4500000</v>
      </c>
      <c r="E302" s="40">
        <v>4528669.5</v>
      </c>
      <c r="F302" s="40">
        <v>4567500</v>
      </c>
      <c r="G302" s="40" t="s">
        <v>1179</v>
      </c>
      <c r="H302" s="40">
        <v>8.5254899999999996</v>
      </c>
      <c r="I302" s="40" t="s">
        <v>1184</v>
      </c>
      <c r="J302" s="44">
        <v>50242</v>
      </c>
      <c r="K302" s="40">
        <v>420</v>
      </c>
      <c r="L302" s="40">
        <v>1</v>
      </c>
      <c r="M302" s="40" t="s">
        <v>1484</v>
      </c>
      <c r="N302" s="40" t="s">
        <v>1183</v>
      </c>
      <c r="O302" s="40" t="s">
        <v>130</v>
      </c>
      <c r="P302" s="40">
        <v>9.2305555560000005</v>
      </c>
      <c r="Q302" s="40" t="s">
        <v>28</v>
      </c>
      <c r="R302" s="40" t="s">
        <v>33</v>
      </c>
      <c r="S302" s="40" t="s">
        <v>38</v>
      </c>
    </row>
    <row r="303" spans="1:19" x14ac:dyDescent="0.25">
      <c r="A303" s="39" t="s">
        <v>1499</v>
      </c>
      <c r="B303" s="39"/>
      <c r="C303" s="39" t="s">
        <v>1185</v>
      </c>
      <c r="D303" s="39">
        <v>9000000</v>
      </c>
      <c r="E303" s="39">
        <v>9067266</v>
      </c>
      <c r="F303" s="39">
        <v>9000000</v>
      </c>
      <c r="G303" s="39" t="s">
        <v>1179</v>
      </c>
      <c r="H303" s="39">
        <v>7.7754899999999996</v>
      </c>
      <c r="I303" s="39" t="s">
        <v>1186</v>
      </c>
      <c r="J303" s="43">
        <v>50150</v>
      </c>
      <c r="K303" s="39">
        <v>345</v>
      </c>
      <c r="L303" s="39">
        <v>1</v>
      </c>
      <c r="M303" s="39" t="s">
        <v>1484</v>
      </c>
      <c r="N303" s="39" t="s">
        <v>1185</v>
      </c>
      <c r="O303" s="39" t="s">
        <v>130</v>
      </c>
      <c r="P303" s="39">
        <v>8.220652394</v>
      </c>
      <c r="Q303" s="39" t="s">
        <v>28</v>
      </c>
      <c r="R303" s="39" t="s">
        <v>33</v>
      </c>
      <c r="S303" s="39" t="s">
        <v>38</v>
      </c>
    </row>
    <row r="304" spans="1:19" x14ac:dyDescent="0.25">
      <c r="A304" s="40" t="s">
        <v>1499</v>
      </c>
      <c r="B304" s="40"/>
      <c r="C304" s="40" t="s">
        <v>1178</v>
      </c>
      <c r="D304" s="40">
        <v>950000</v>
      </c>
      <c r="E304" s="40">
        <v>947156.65</v>
      </c>
      <c r="F304" s="40">
        <v>950000</v>
      </c>
      <c r="G304" s="40" t="s">
        <v>1179</v>
      </c>
      <c r="H304" s="40">
        <v>6.8254900000000003</v>
      </c>
      <c r="I304" s="40" t="s">
        <v>1180</v>
      </c>
      <c r="J304" s="44">
        <v>50515</v>
      </c>
      <c r="K304" s="40">
        <v>250</v>
      </c>
      <c r="L304" s="40">
        <v>1</v>
      </c>
      <c r="M304" s="40" t="s">
        <v>1484</v>
      </c>
      <c r="N304" s="40" t="s">
        <v>1178</v>
      </c>
      <c r="O304" s="40" t="s">
        <v>130</v>
      </c>
      <c r="P304" s="40">
        <v>9.3192894129999999</v>
      </c>
      <c r="Q304" s="40" t="s">
        <v>28</v>
      </c>
      <c r="R304" s="40" t="s">
        <v>33</v>
      </c>
      <c r="S304" s="40" t="s">
        <v>34</v>
      </c>
    </row>
    <row r="305" spans="1:19" x14ac:dyDescent="0.25">
      <c r="A305" s="39" t="s">
        <v>1499</v>
      </c>
      <c r="B305" s="39"/>
      <c r="C305" s="39" t="s">
        <v>1192</v>
      </c>
      <c r="D305" s="39">
        <v>1000000</v>
      </c>
      <c r="E305" s="39">
        <v>995735</v>
      </c>
      <c r="F305" s="39">
        <v>1000000</v>
      </c>
      <c r="G305" s="39" t="s">
        <v>716</v>
      </c>
      <c r="H305" s="39">
        <v>6.9754899999999997</v>
      </c>
      <c r="I305" s="39" t="s">
        <v>1193</v>
      </c>
      <c r="J305" s="43">
        <v>50425</v>
      </c>
      <c r="K305" s="39">
        <v>265</v>
      </c>
      <c r="L305" s="39">
        <v>1</v>
      </c>
      <c r="M305" s="39" t="s">
        <v>1484</v>
      </c>
      <c r="N305" s="39" t="s">
        <v>1192</v>
      </c>
      <c r="O305" s="39" t="s">
        <v>130</v>
      </c>
      <c r="P305" s="39">
        <v>9.0338301679999997</v>
      </c>
      <c r="Q305" s="39" t="s">
        <v>28</v>
      </c>
      <c r="R305" s="39" t="s">
        <v>33</v>
      </c>
      <c r="S305" s="39" t="s">
        <v>34</v>
      </c>
    </row>
    <row r="306" spans="1:19" x14ac:dyDescent="0.25">
      <c r="A306" s="40" t="s">
        <v>1499</v>
      </c>
      <c r="B306" s="40"/>
      <c r="C306" s="40" t="s">
        <v>352</v>
      </c>
      <c r="D306" s="40">
        <v>2738000</v>
      </c>
      <c r="E306" s="40">
        <v>2750321</v>
      </c>
      <c r="F306" s="40">
        <v>2738000</v>
      </c>
      <c r="G306" s="40" t="s">
        <v>716</v>
      </c>
      <c r="H306" s="40">
        <v>9.0906099999999999</v>
      </c>
      <c r="I306" s="40" t="s">
        <v>351</v>
      </c>
      <c r="J306" s="44">
        <v>49692</v>
      </c>
      <c r="K306" s="40">
        <v>476.161</v>
      </c>
      <c r="L306" s="40">
        <v>1</v>
      </c>
      <c r="M306" s="40" t="s">
        <v>1484</v>
      </c>
      <c r="N306" s="40" t="s">
        <v>352</v>
      </c>
      <c r="O306" s="40" t="s">
        <v>130</v>
      </c>
      <c r="P306" s="40">
        <v>6.4722222220000001</v>
      </c>
      <c r="Q306" s="40" t="s">
        <v>28</v>
      </c>
      <c r="R306" s="40" t="s">
        <v>29</v>
      </c>
      <c r="S306" s="40" t="s">
        <v>38</v>
      </c>
    </row>
    <row r="307" spans="1:19" x14ac:dyDescent="0.25">
      <c r="A307" s="39" t="s">
        <v>1499</v>
      </c>
      <c r="B307" s="39"/>
      <c r="C307" s="39" t="s">
        <v>352</v>
      </c>
      <c r="D307" s="39">
        <v>80000</v>
      </c>
      <c r="E307" s="39">
        <v>80360</v>
      </c>
      <c r="F307" s="39">
        <v>80710</v>
      </c>
      <c r="G307" s="39" t="s">
        <v>716</v>
      </c>
      <c r="H307" s="39">
        <v>9.0906099999999999</v>
      </c>
      <c r="I307" s="39" t="s">
        <v>351</v>
      </c>
      <c r="J307" s="43">
        <v>49692</v>
      </c>
      <c r="K307" s="39">
        <v>476.161</v>
      </c>
      <c r="L307" s="39">
        <v>1</v>
      </c>
      <c r="M307" s="39" t="s">
        <v>1484</v>
      </c>
      <c r="N307" s="39" t="s">
        <v>352</v>
      </c>
      <c r="O307" s="39" t="s">
        <v>130</v>
      </c>
      <c r="P307" s="39">
        <v>6.4722222220000001</v>
      </c>
      <c r="Q307" s="39" t="s">
        <v>28</v>
      </c>
      <c r="R307" s="39" t="s">
        <v>29</v>
      </c>
      <c r="S307" s="39" t="s">
        <v>38</v>
      </c>
    </row>
    <row r="308" spans="1:19" x14ac:dyDescent="0.25">
      <c r="A308" s="40" t="s">
        <v>1499</v>
      </c>
      <c r="B308" s="40"/>
      <c r="C308" s="40" t="s">
        <v>352</v>
      </c>
      <c r="D308" s="40">
        <v>150000</v>
      </c>
      <c r="E308" s="40">
        <v>150675</v>
      </c>
      <c r="F308" s="40">
        <v>149215.9</v>
      </c>
      <c r="G308" s="40" t="s">
        <v>716</v>
      </c>
      <c r="H308" s="40">
        <v>9.0906099999999999</v>
      </c>
      <c r="I308" s="40" t="s">
        <v>351</v>
      </c>
      <c r="J308" s="44">
        <v>49692</v>
      </c>
      <c r="K308" s="40">
        <v>476.161</v>
      </c>
      <c r="L308" s="40">
        <v>1</v>
      </c>
      <c r="M308" s="40" t="s">
        <v>1484</v>
      </c>
      <c r="N308" s="40" t="s">
        <v>352</v>
      </c>
      <c r="O308" s="40" t="s">
        <v>130</v>
      </c>
      <c r="P308" s="40">
        <v>6.4722222220000001</v>
      </c>
      <c r="Q308" s="40" t="s">
        <v>28</v>
      </c>
      <c r="R308" s="40" t="s">
        <v>29</v>
      </c>
      <c r="S308" s="40" t="s">
        <v>38</v>
      </c>
    </row>
    <row r="309" spans="1:19" x14ac:dyDescent="0.25">
      <c r="A309" s="39" t="s">
        <v>1499</v>
      </c>
      <c r="B309" s="39" t="s">
        <v>1530</v>
      </c>
      <c r="C309" s="39" t="s">
        <v>352</v>
      </c>
      <c r="D309" s="39">
        <v>150000</v>
      </c>
      <c r="E309" s="39">
        <v>150675</v>
      </c>
      <c r="F309" s="39">
        <v>149195.51</v>
      </c>
      <c r="G309" s="39" t="s">
        <v>716</v>
      </c>
      <c r="H309" s="39">
        <v>9.0906099999999999</v>
      </c>
      <c r="I309" s="39" t="s">
        <v>351</v>
      </c>
      <c r="J309" s="43">
        <v>49692</v>
      </c>
      <c r="K309" s="39">
        <v>476.161</v>
      </c>
      <c r="L309" s="39">
        <v>1</v>
      </c>
      <c r="M309" s="39" t="s">
        <v>1484</v>
      </c>
      <c r="N309" s="39" t="s">
        <v>352</v>
      </c>
      <c r="O309" s="39" t="s">
        <v>130</v>
      </c>
      <c r="P309" s="39">
        <v>6.4722222220000001</v>
      </c>
      <c r="Q309" s="39" t="s">
        <v>28</v>
      </c>
      <c r="R309" s="39" t="s">
        <v>29</v>
      </c>
      <c r="S309" s="39" t="s">
        <v>38</v>
      </c>
    </row>
    <row r="310" spans="1:19" x14ac:dyDescent="0.25">
      <c r="A310" s="40" t="s">
        <v>1499</v>
      </c>
      <c r="B310" s="40"/>
      <c r="C310" s="40" t="s">
        <v>799</v>
      </c>
      <c r="D310" s="40">
        <v>5000000</v>
      </c>
      <c r="E310" s="40">
        <v>5028095</v>
      </c>
      <c r="F310" s="40">
        <v>5000000</v>
      </c>
      <c r="G310" s="40" t="s">
        <v>797</v>
      </c>
      <c r="H310" s="40">
        <v>7.8684599999999998</v>
      </c>
      <c r="I310" s="40" t="s">
        <v>800</v>
      </c>
      <c r="J310" s="44">
        <v>50246</v>
      </c>
      <c r="K310" s="40">
        <v>355</v>
      </c>
      <c r="L310" s="40">
        <v>1</v>
      </c>
      <c r="M310" s="40" t="s">
        <v>1484</v>
      </c>
      <c r="N310" s="40" t="s">
        <v>799</v>
      </c>
      <c r="O310" s="40" t="s">
        <v>180</v>
      </c>
      <c r="P310" s="40">
        <v>8.7571252529999999</v>
      </c>
      <c r="Q310" s="40" t="s">
        <v>28</v>
      </c>
      <c r="R310" s="40" t="s">
        <v>33</v>
      </c>
      <c r="S310" s="40" t="s">
        <v>38</v>
      </c>
    </row>
    <row r="311" spans="1:19" x14ac:dyDescent="0.25">
      <c r="A311" s="39" t="s">
        <v>1499</v>
      </c>
      <c r="B311" s="39"/>
      <c r="C311" s="39" t="s">
        <v>796</v>
      </c>
      <c r="D311" s="39">
        <v>1000000</v>
      </c>
      <c r="E311" s="39">
        <v>1008954</v>
      </c>
      <c r="F311" s="39">
        <v>1000000</v>
      </c>
      <c r="G311" s="39" t="s">
        <v>797</v>
      </c>
      <c r="H311" s="39">
        <v>9.6184600000000007</v>
      </c>
      <c r="I311" s="39" t="s">
        <v>798</v>
      </c>
      <c r="J311" s="43">
        <v>50065</v>
      </c>
      <c r="K311" s="39">
        <v>530</v>
      </c>
      <c r="L311" s="39">
        <v>1</v>
      </c>
      <c r="M311" s="39" t="s">
        <v>1484</v>
      </c>
      <c r="N311" s="39" t="s">
        <v>796</v>
      </c>
      <c r="O311" s="39" t="s">
        <v>180</v>
      </c>
      <c r="P311" s="39">
        <v>7.9320862270000001</v>
      </c>
      <c r="Q311" s="39" t="s">
        <v>28</v>
      </c>
      <c r="R311" s="39" t="s">
        <v>29</v>
      </c>
      <c r="S311" s="39" t="s">
        <v>38</v>
      </c>
    </row>
    <row r="312" spans="1:19" x14ac:dyDescent="0.25">
      <c r="A312" s="40" t="s">
        <v>1499</v>
      </c>
      <c r="B312" s="40"/>
      <c r="C312" s="40" t="s">
        <v>1241</v>
      </c>
      <c r="D312" s="40">
        <v>2150000</v>
      </c>
      <c r="E312" s="40">
        <v>2150107.5</v>
      </c>
      <c r="F312" s="40">
        <v>2141077.5</v>
      </c>
      <c r="G312" s="40" t="s">
        <v>353</v>
      </c>
      <c r="H312" s="40">
        <v>7.5291600000000001</v>
      </c>
      <c r="I312" s="40" t="s">
        <v>1242</v>
      </c>
      <c r="J312" s="44">
        <v>49324</v>
      </c>
      <c r="K312" s="40">
        <v>321.161</v>
      </c>
      <c r="L312" s="40">
        <v>1</v>
      </c>
      <c r="M312" s="40" t="s">
        <v>1484</v>
      </c>
      <c r="N312" s="40" t="s">
        <v>1241</v>
      </c>
      <c r="O312" s="40" t="s">
        <v>133</v>
      </c>
      <c r="P312" s="40">
        <v>6.2830814159999999</v>
      </c>
      <c r="Q312" s="40" t="s">
        <v>28</v>
      </c>
      <c r="R312" s="40" t="s">
        <v>29</v>
      </c>
      <c r="S312" s="40" t="s">
        <v>38</v>
      </c>
    </row>
    <row r="313" spans="1:19" x14ac:dyDescent="0.25">
      <c r="A313" s="39" t="s">
        <v>1499</v>
      </c>
      <c r="B313" s="39"/>
      <c r="C313" s="39" t="s">
        <v>521</v>
      </c>
      <c r="D313" s="39">
        <v>2150000</v>
      </c>
      <c r="E313" s="39">
        <v>2158062.5</v>
      </c>
      <c r="F313" s="39">
        <v>2150000</v>
      </c>
      <c r="G313" s="39" t="s">
        <v>353</v>
      </c>
      <c r="H313" s="39">
        <v>0</v>
      </c>
      <c r="I313" s="39" t="s">
        <v>520</v>
      </c>
      <c r="J313" s="43">
        <v>50693</v>
      </c>
      <c r="K313" s="39">
        <v>280</v>
      </c>
      <c r="L313" s="39">
        <v>1</v>
      </c>
      <c r="M313" s="39" t="s">
        <v>1484</v>
      </c>
      <c r="N313" s="39" t="s">
        <v>521</v>
      </c>
      <c r="O313" s="39" t="s">
        <v>133</v>
      </c>
      <c r="P313" s="39">
        <v>0</v>
      </c>
      <c r="Q313" s="39" t="s">
        <v>28</v>
      </c>
      <c r="R313" s="39" t="s">
        <v>18</v>
      </c>
      <c r="S313" s="39" t="s">
        <v>19</v>
      </c>
    </row>
    <row r="314" spans="1:19" x14ac:dyDescent="0.25">
      <c r="A314" s="40" t="s">
        <v>1499</v>
      </c>
      <c r="B314" s="40"/>
      <c r="C314" s="40" t="s">
        <v>524</v>
      </c>
      <c r="D314" s="40">
        <v>2753000</v>
      </c>
      <c r="E314" s="40">
        <v>2756942.3</v>
      </c>
      <c r="F314" s="40">
        <v>2753000</v>
      </c>
      <c r="G314" s="40" t="s">
        <v>353</v>
      </c>
      <c r="H314" s="40">
        <v>7.7254899999999997</v>
      </c>
      <c r="I314" s="40" t="s">
        <v>523</v>
      </c>
      <c r="J314" s="44">
        <v>50606</v>
      </c>
      <c r="K314" s="40">
        <v>340</v>
      </c>
      <c r="L314" s="40">
        <v>1</v>
      </c>
      <c r="M314" s="40" t="s">
        <v>1484</v>
      </c>
      <c r="N314" s="40" t="s">
        <v>524</v>
      </c>
      <c r="O314" s="40" t="s">
        <v>133</v>
      </c>
      <c r="P314" s="40">
        <v>9.6737586740000001</v>
      </c>
      <c r="Q314" s="40" t="s">
        <v>28</v>
      </c>
      <c r="R314" s="40" t="s">
        <v>33</v>
      </c>
      <c r="S314" s="40" t="s">
        <v>38</v>
      </c>
    </row>
    <row r="315" spans="1:19" x14ac:dyDescent="0.25">
      <c r="A315" s="39" t="s">
        <v>1499</v>
      </c>
      <c r="B315" s="39"/>
      <c r="C315" s="39" t="s">
        <v>727</v>
      </c>
      <c r="D315" s="39">
        <v>3750000</v>
      </c>
      <c r="E315" s="39">
        <v>3766987.5</v>
      </c>
      <c r="F315" s="39">
        <v>3750000</v>
      </c>
      <c r="G315" s="39" t="s">
        <v>353</v>
      </c>
      <c r="H315" s="39">
        <v>6.2754899999999996</v>
      </c>
      <c r="I315" s="39" t="s">
        <v>728</v>
      </c>
      <c r="J315" s="43">
        <v>50241</v>
      </c>
      <c r="K315" s="39">
        <v>195</v>
      </c>
      <c r="L315" s="39">
        <v>1</v>
      </c>
      <c r="M315" s="39" t="s">
        <v>1484</v>
      </c>
      <c r="N315" s="39" t="s">
        <v>727</v>
      </c>
      <c r="O315" s="39" t="s">
        <v>133</v>
      </c>
      <c r="P315" s="39">
        <v>8.1649085390000007</v>
      </c>
      <c r="Q315" s="39" t="s">
        <v>24</v>
      </c>
      <c r="R315" s="39" t="s">
        <v>33</v>
      </c>
      <c r="S315" s="39" t="s">
        <v>34</v>
      </c>
    </row>
    <row r="316" spans="1:19" x14ac:dyDescent="0.25">
      <c r="A316" s="40" t="s">
        <v>1499</v>
      </c>
      <c r="B316" s="40"/>
      <c r="C316" s="40" t="s">
        <v>1244</v>
      </c>
      <c r="D316" s="40">
        <v>3600000</v>
      </c>
      <c r="E316" s="40">
        <v>3614101.2</v>
      </c>
      <c r="F316" s="40">
        <v>3600000</v>
      </c>
      <c r="G316" s="40" t="s">
        <v>353</v>
      </c>
      <c r="H316" s="40">
        <v>7.2754899999999996</v>
      </c>
      <c r="I316" s="40" t="s">
        <v>1245</v>
      </c>
      <c r="J316" s="44">
        <v>50241</v>
      </c>
      <c r="K316" s="40">
        <v>295</v>
      </c>
      <c r="L316" s="40">
        <v>1</v>
      </c>
      <c r="M316" s="40" t="s">
        <v>1484</v>
      </c>
      <c r="N316" s="40" t="s">
        <v>1244</v>
      </c>
      <c r="O316" s="40" t="s">
        <v>133</v>
      </c>
      <c r="P316" s="40">
        <v>8.7308479689999992</v>
      </c>
      <c r="Q316" s="40" t="s">
        <v>28</v>
      </c>
      <c r="R316" s="40" t="s">
        <v>33</v>
      </c>
      <c r="S316" s="40" t="s">
        <v>38</v>
      </c>
    </row>
    <row r="317" spans="1:19" x14ac:dyDescent="0.25">
      <c r="A317" s="39" t="s">
        <v>1499</v>
      </c>
      <c r="B317" s="39"/>
      <c r="C317" s="39" t="s">
        <v>527</v>
      </c>
      <c r="D317" s="39">
        <v>5100000</v>
      </c>
      <c r="E317" s="39">
        <v>5119833.9000000004</v>
      </c>
      <c r="F317" s="39">
        <v>5100000</v>
      </c>
      <c r="G317" s="39" t="s">
        <v>353</v>
      </c>
      <c r="H317" s="39">
        <v>0</v>
      </c>
      <c r="I317" s="39" t="s">
        <v>526</v>
      </c>
      <c r="J317" s="43">
        <v>50606</v>
      </c>
      <c r="K317" s="39">
        <v>280</v>
      </c>
      <c r="L317" s="39">
        <v>1</v>
      </c>
      <c r="M317" s="39" t="s">
        <v>1484</v>
      </c>
      <c r="N317" s="39" t="s">
        <v>527</v>
      </c>
      <c r="O317" s="39" t="s">
        <v>133</v>
      </c>
      <c r="P317" s="39">
        <v>9.6362707329999999</v>
      </c>
      <c r="Q317" s="39" t="s">
        <v>28</v>
      </c>
      <c r="R317" s="39" t="s">
        <v>33</v>
      </c>
      <c r="S317" s="39" t="s">
        <v>19</v>
      </c>
    </row>
    <row r="318" spans="1:19" x14ac:dyDescent="0.25">
      <c r="A318" s="40" t="s">
        <v>1499</v>
      </c>
      <c r="B318" s="40"/>
      <c r="C318" s="40" t="s">
        <v>530</v>
      </c>
      <c r="D318" s="40">
        <v>8700000</v>
      </c>
      <c r="E318" s="40">
        <v>8732816.4000000004</v>
      </c>
      <c r="F318" s="40">
        <v>8700000</v>
      </c>
      <c r="G318" s="40" t="s">
        <v>1238</v>
      </c>
      <c r="H318" s="40">
        <v>7.9254899999999999</v>
      </c>
      <c r="I318" s="40" t="s">
        <v>529</v>
      </c>
      <c r="J318" s="44">
        <v>49876</v>
      </c>
      <c r="K318" s="40">
        <v>360</v>
      </c>
      <c r="L318" s="40">
        <v>1</v>
      </c>
      <c r="M318" s="40" t="s">
        <v>1484</v>
      </c>
      <c r="N318" s="40" t="s">
        <v>530</v>
      </c>
      <c r="O318" s="40" t="s">
        <v>134</v>
      </c>
      <c r="P318" s="40">
        <v>7.6524448009999997</v>
      </c>
      <c r="Q318" s="40" t="s">
        <v>28</v>
      </c>
      <c r="R318" s="40" t="s">
        <v>29</v>
      </c>
      <c r="S318" s="40" t="s">
        <v>38</v>
      </c>
    </row>
    <row r="319" spans="1:19" x14ac:dyDescent="0.25">
      <c r="A319" s="39" t="s">
        <v>1499</v>
      </c>
      <c r="B319" s="39"/>
      <c r="C319" s="39" t="s">
        <v>1239</v>
      </c>
      <c r="D319" s="39">
        <v>2200000</v>
      </c>
      <c r="E319" s="39">
        <v>2207576.7999999998</v>
      </c>
      <c r="F319" s="39">
        <v>2200000</v>
      </c>
      <c r="G319" s="39" t="s">
        <v>135</v>
      </c>
      <c r="H319" s="39">
        <v>7.2684600000000001</v>
      </c>
      <c r="I319" s="39" t="s">
        <v>1240</v>
      </c>
      <c r="J319" s="43">
        <v>50430</v>
      </c>
      <c r="K319" s="39">
        <v>295</v>
      </c>
      <c r="L319" s="39">
        <v>1</v>
      </c>
      <c r="M319" s="39" t="s">
        <v>1484</v>
      </c>
      <c r="N319" s="39" t="s">
        <v>1239</v>
      </c>
      <c r="O319" s="39" t="s">
        <v>181</v>
      </c>
      <c r="P319" s="39">
        <v>9.2386458650000005</v>
      </c>
      <c r="Q319" s="39" t="s">
        <v>28</v>
      </c>
      <c r="R319" s="39" t="s">
        <v>33</v>
      </c>
      <c r="S319" s="39" t="s">
        <v>38</v>
      </c>
    </row>
    <row r="320" spans="1:19" x14ac:dyDescent="0.25">
      <c r="A320" s="40" t="s">
        <v>1499</v>
      </c>
      <c r="B320" s="40"/>
      <c r="C320" s="40" t="s">
        <v>534</v>
      </c>
      <c r="D320" s="40">
        <v>3700000</v>
      </c>
      <c r="E320" s="40">
        <v>3713875</v>
      </c>
      <c r="F320" s="40">
        <v>3700000</v>
      </c>
      <c r="G320" s="40" t="s">
        <v>135</v>
      </c>
      <c r="H320" s="40">
        <v>0</v>
      </c>
      <c r="I320" s="40" t="s">
        <v>533</v>
      </c>
      <c r="J320" s="44">
        <v>50698</v>
      </c>
      <c r="K320" s="40">
        <v>300</v>
      </c>
      <c r="L320" s="40">
        <v>1</v>
      </c>
      <c r="M320" s="40" t="s">
        <v>1484</v>
      </c>
      <c r="N320" s="40" t="s">
        <v>534</v>
      </c>
      <c r="O320" s="40" t="s">
        <v>135</v>
      </c>
      <c r="P320" s="40"/>
      <c r="Q320" s="40" t="s">
        <v>28</v>
      </c>
      <c r="R320" s="40" t="s">
        <v>41</v>
      </c>
      <c r="S320" s="40" t="s">
        <v>19</v>
      </c>
    </row>
    <row r="321" spans="1:19" x14ac:dyDescent="0.25">
      <c r="A321" s="39" t="s">
        <v>1499</v>
      </c>
      <c r="B321" s="39"/>
      <c r="C321" s="39" t="s">
        <v>729</v>
      </c>
      <c r="D321" s="39">
        <v>7700000</v>
      </c>
      <c r="E321" s="39">
        <v>7706768.2999999998</v>
      </c>
      <c r="F321" s="39">
        <v>7700000</v>
      </c>
      <c r="G321" s="39" t="s">
        <v>730</v>
      </c>
      <c r="H321" s="39">
        <v>6.1175499999999996</v>
      </c>
      <c r="I321" s="39" t="s">
        <v>731</v>
      </c>
      <c r="J321" s="43">
        <v>50055</v>
      </c>
      <c r="K321" s="39">
        <v>180</v>
      </c>
      <c r="L321" s="39">
        <v>1</v>
      </c>
      <c r="M321" s="39" t="s">
        <v>1484</v>
      </c>
      <c r="N321" s="39" t="s">
        <v>729</v>
      </c>
      <c r="O321" s="39" t="s">
        <v>122</v>
      </c>
      <c r="P321" s="39">
        <v>8.6597029719999998</v>
      </c>
      <c r="Q321" s="39" t="s">
        <v>24</v>
      </c>
      <c r="R321" s="39" t="s">
        <v>33</v>
      </c>
      <c r="S321" s="39" t="s">
        <v>34</v>
      </c>
    </row>
    <row r="322" spans="1:19" x14ac:dyDescent="0.25">
      <c r="A322" s="40" t="s">
        <v>1499</v>
      </c>
      <c r="B322" s="40"/>
      <c r="C322" s="40" t="s">
        <v>1246</v>
      </c>
      <c r="D322" s="40">
        <v>15300000</v>
      </c>
      <c r="E322" s="40">
        <v>15364413</v>
      </c>
      <c r="F322" s="40">
        <v>15300000</v>
      </c>
      <c r="G322" s="40" t="s">
        <v>730</v>
      </c>
      <c r="H322" s="40">
        <v>6.9675500000000001</v>
      </c>
      <c r="I322" s="40" t="s">
        <v>1247</v>
      </c>
      <c r="J322" s="44">
        <v>50055</v>
      </c>
      <c r="K322" s="40">
        <v>265</v>
      </c>
      <c r="L322" s="40">
        <v>1</v>
      </c>
      <c r="M322" s="40" t="s">
        <v>1484</v>
      </c>
      <c r="N322" s="40" t="s">
        <v>1246</v>
      </c>
      <c r="O322" s="40" t="s">
        <v>122</v>
      </c>
      <c r="P322" s="40">
        <v>9.2084536349999997</v>
      </c>
      <c r="Q322" s="40" t="s">
        <v>28</v>
      </c>
      <c r="R322" s="40" t="s">
        <v>33</v>
      </c>
      <c r="S322" s="40" t="s">
        <v>34</v>
      </c>
    </row>
    <row r="323" spans="1:19" x14ac:dyDescent="0.25">
      <c r="A323" s="39" t="s">
        <v>1499</v>
      </c>
      <c r="B323" s="39"/>
      <c r="C323" s="39" t="s">
        <v>1254</v>
      </c>
      <c r="D323" s="39">
        <v>4000000</v>
      </c>
      <c r="E323" s="39">
        <v>4038416</v>
      </c>
      <c r="F323" s="39">
        <v>4000000</v>
      </c>
      <c r="G323" s="39" t="s">
        <v>733</v>
      </c>
      <c r="H323" s="39">
        <v>9.3254900000000003</v>
      </c>
      <c r="I323" s="39" t="s">
        <v>1255</v>
      </c>
      <c r="J323" s="43">
        <v>50060</v>
      </c>
      <c r="K323" s="39">
        <v>500</v>
      </c>
      <c r="L323" s="39">
        <v>1</v>
      </c>
      <c r="M323" s="39" t="s">
        <v>1484</v>
      </c>
      <c r="N323" s="39" t="s">
        <v>1254</v>
      </c>
      <c r="O323" s="39" t="s">
        <v>182</v>
      </c>
      <c r="P323" s="39">
        <v>8.5557780819999998</v>
      </c>
      <c r="Q323" s="39" t="s">
        <v>28</v>
      </c>
      <c r="R323" s="39" t="s">
        <v>33</v>
      </c>
      <c r="S323" s="39" t="s">
        <v>38</v>
      </c>
    </row>
    <row r="324" spans="1:19" x14ac:dyDescent="0.25">
      <c r="A324" s="40" t="s">
        <v>1499</v>
      </c>
      <c r="B324" s="40"/>
      <c r="C324" s="40" t="s">
        <v>1250</v>
      </c>
      <c r="D324" s="40">
        <v>925000</v>
      </c>
      <c r="E324" s="40">
        <v>926815.78</v>
      </c>
      <c r="F324" s="40">
        <v>911587.5</v>
      </c>
      <c r="G324" s="40" t="s">
        <v>733</v>
      </c>
      <c r="H324" s="40">
        <v>8.4724000000000004</v>
      </c>
      <c r="I324" s="40" t="s">
        <v>1251</v>
      </c>
      <c r="J324" s="44">
        <v>49782</v>
      </c>
      <c r="K324" s="40">
        <v>415</v>
      </c>
      <c r="L324" s="40">
        <v>1</v>
      </c>
      <c r="M324" s="40" t="s">
        <v>1484</v>
      </c>
      <c r="N324" s="40" t="s">
        <v>1250</v>
      </c>
      <c r="O324" s="40" t="s">
        <v>182</v>
      </c>
      <c r="P324" s="40">
        <v>5.7780782740000003</v>
      </c>
      <c r="Q324" s="40" t="s">
        <v>28</v>
      </c>
      <c r="R324" s="40" t="s">
        <v>25</v>
      </c>
      <c r="S324" s="40" t="s">
        <v>38</v>
      </c>
    </row>
    <row r="325" spans="1:19" x14ac:dyDescent="0.25">
      <c r="A325" s="39" t="s">
        <v>1499</v>
      </c>
      <c r="B325" s="39"/>
      <c r="C325" s="39" t="s">
        <v>1252</v>
      </c>
      <c r="D325" s="39">
        <v>2000000</v>
      </c>
      <c r="E325" s="39">
        <v>1992646</v>
      </c>
      <c r="F325" s="39">
        <v>2000000</v>
      </c>
      <c r="G325" s="39" t="s">
        <v>733</v>
      </c>
      <c r="H325" s="39">
        <v>6.9184599999999996</v>
      </c>
      <c r="I325" s="39" t="s">
        <v>1253</v>
      </c>
      <c r="J325" s="43">
        <v>50065</v>
      </c>
      <c r="K325" s="39">
        <v>260</v>
      </c>
      <c r="L325" s="39">
        <v>1</v>
      </c>
      <c r="M325" s="39" t="s">
        <v>1484</v>
      </c>
      <c r="N325" s="39" t="s">
        <v>1252</v>
      </c>
      <c r="O325" s="39" t="s">
        <v>182</v>
      </c>
      <c r="P325" s="39">
        <v>7.014098196</v>
      </c>
      <c r="Q325" s="39" t="s">
        <v>28</v>
      </c>
      <c r="R325" s="39" t="s">
        <v>29</v>
      </c>
      <c r="S325" s="39" t="s">
        <v>34</v>
      </c>
    </row>
    <row r="326" spans="1:19" x14ac:dyDescent="0.25">
      <c r="A326" s="40" t="s">
        <v>1499</v>
      </c>
      <c r="B326" s="40"/>
      <c r="C326" s="40" t="s">
        <v>732</v>
      </c>
      <c r="D326" s="40">
        <v>6000000</v>
      </c>
      <c r="E326" s="40">
        <v>6029964</v>
      </c>
      <c r="F326" s="40">
        <v>6000000</v>
      </c>
      <c r="G326" s="40" t="s">
        <v>733</v>
      </c>
      <c r="H326" s="40">
        <v>6.3754900000000001</v>
      </c>
      <c r="I326" s="40" t="s">
        <v>734</v>
      </c>
      <c r="J326" s="44">
        <v>50333</v>
      </c>
      <c r="K326" s="40">
        <v>205</v>
      </c>
      <c r="L326" s="40">
        <v>1</v>
      </c>
      <c r="M326" s="40" t="s">
        <v>1484</v>
      </c>
      <c r="N326" s="40" t="s">
        <v>732</v>
      </c>
      <c r="O326" s="40" t="s">
        <v>182</v>
      </c>
      <c r="P326" s="40">
        <v>8.6483314470000003</v>
      </c>
      <c r="Q326" s="40" t="s">
        <v>24</v>
      </c>
      <c r="R326" s="40" t="s">
        <v>33</v>
      </c>
      <c r="S326" s="40" t="s">
        <v>34</v>
      </c>
    </row>
    <row r="327" spans="1:19" x14ac:dyDescent="0.25">
      <c r="A327" s="39" t="s">
        <v>1499</v>
      </c>
      <c r="B327" s="39"/>
      <c r="C327" s="39" t="s">
        <v>1248</v>
      </c>
      <c r="D327" s="39">
        <v>2000000</v>
      </c>
      <c r="E327" s="39">
        <v>2008708</v>
      </c>
      <c r="F327" s="39">
        <v>2000000</v>
      </c>
      <c r="G327" s="39" t="s">
        <v>733</v>
      </c>
      <c r="H327" s="39">
        <v>7.3254900000000003</v>
      </c>
      <c r="I327" s="39" t="s">
        <v>1249</v>
      </c>
      <c r="J327" s="43">
        <v>50333</v>
      </c>
      <c r="K327" s="39">
        <v>300</v>
      </c>
      <c r="L327" s="39">
        <v>1</v>
      </c>
      <c r="M327" s="39" t="s">
        <v>1484</v>
      </c>
      <c r="N327" s="39" t="s">
        <v>1248</v>
      </c>
      <c r="O327" s="39" t="s">
        <v>182</v>
      </c>
      <c r="P327" s="39">
        <v>9.0960109899999999</v>
      </c>
      <c r="Q327" s="39" t="s">
        <v>28</v>
      </c>
      <c r="R327" s="39" t="s">
        <v>33</v>
      </c>
      <c r="S327" s="39" t="s">
        <v>38</v>
      </c>
    </row>
    <row r="328" spans="1:19" x14ac:dyDescent="0.25">
      <c r="A328" s="40" t="s">
        <v>1499</v>
      </c>
      <c r="B328" s="40"/>
      <c r="C328" s="40" t="s">
        <v>1256</v>
      </c>
      <c r="D328" s="40">
        <v>2550000</v>
      </c>
      <c r="E328" s="40">
        <v>2557415.4</v>
      </c>
      <c r="F328" s="40">
        <v>2550000</v>
      </c>
      <c r="G328" s="40" t="s">
        <v>735</v>
      </c>
      <c r="H328" s="40">
        <v>6.9175500000000003</v>
      </c>
      <c r="I328" s="40" t="s">
        <v>1257</v>
      </c>
      <c r="J328" s="44">
        <v>50420</v>
      </c>
      <c r="K328" s="40">
        <v>260</v>
      </c>
      <c r="L328" s="40">
        <v>1</v>
      </c>
      <c r="M328" s="40" t="s">
        <v>1484</v>
      </c>
      <c r="N328" s="40" t="s">
        <v>1256</v>
      </c>
      <c r="O328" s="40" t="s">
        <v>151</v>
      </c>
      <c r="P328" s="40">
        <v>9.2488848909999994</v>
      </c>
      <c r="Q328" s="40" t="s">
        <v>28</v>
      </c>
      <c r="R328" s="40" t="s">
        <v>33</v>
      </c>
      <c r="S328" s="40" t="s">
        <v>34</v>
      </c>
    </row>
    <row r="329" spans="1:19" x14ac:dyDescent="0.25">
      <c r="A329" s="39" t="s">
        <v>1499</v>
      </c>
      <c r="B329" s="39"/>
      <c r="C329" s="39" t="s">
        <v>1264</v>
      </c>
      <c r="D329" s="39">
        <v>2500000</v>
      </c>
      <c r="E329" s="39">
        <v>2505632.5</v>
      </c>
      <c r="F329" s="39">
        <v>2500000</v>
      </c>
      <c r="G329" s="39" t="s">
        <v>735</v>
      </c>
      <c r="H329" s="39">
        <v>7.6305100000000001</v>
      </c>
      <c r="I329" s="39" t="s">
        <v>1265</v>
      </c>
      <c r="J329" s="43">
        <v>49115</v>
      </c>
      <c r="K329" s="39">
        <v>331.161</v>
      </c>
      <c r="L329" s="39">
        <v>1</v>
      </c>
      <c r="M329" s="39" t="s">
        <v>1484</v>
      </c>
      <c r="N329" s="39" t="s">
        <v>1264</v>
      </c>
      <c r="O329" s="39" t="s">
        <v>150</v>
      </c>
      <c r="P329" s="39">
        <v>6.0054901129999996</v>
      </c>
      <c r="Q329" s="39" t="s">
        <v>28</v>
      </c>
      <c r="R329" s="39" t="s">
        <v>29</v>
      </c>
      <c r="S329" s="39" t="s">
        <v>38</v>
      </c>
    </row>
    <row r="330" spans="1:19" x14ac:dyDescent="0.25">
      <c r="A330" s="40" t="s">
        <v>1499</v>
      </c>
      <c r="B330" s="40"/>
      <c r="C330" s="40" t="s">
        <v>1260</v>
      </c>
      <c r="D330" s="40">
        <v>6000000</v>
      </c>
      <c r="E330" s="40">
        <v>6046206</v>
      </c>
      <c r="F330" s="40">
        <v>6000000</v>
      </c>
      <c r="G330" s="40" t="s">
        <v>735</v>
      </c>
      <c r="H330" s="40">
        <v>8.0138099999999994</v>
      </c>
      <c r="I330" s="40" t="s">
        <v>1261</v>
      </c>
      <c r="J330" s="44">
        <v>50156</v>
      </c>
      <c r="K330" s="40">
        <v>370</v>
      </c>
      <c r="L330" s="40">
        <v>1</v>
      </c>
      <c r="M330" s="40" t="s">
        <v>1484</v>
      </c>
      <c r="N330" s="40" t="s">
        <v>1260</v>
      </c>
      <c r="O330" s="40" t="s">
        <v>137</v>
      </c>
      <c r="P330" s="40">
        <v>8.6439119170000005</v>
      </c>
      <c r="Q330" s="40" t="s">
        <v>28</v>
      </c>
      <c r="R330" s="40" t="s">
        <v>33</v>
      </c>
      <c r="S330" s="40" t="s">
        <v>38</v>
      </c>
    </row>
    <row r="331" spans="1:19" x14ac:dyDescent="0.25">
      <c r="A331" s="39" t="s">
        <v>1499</v>
      </c>
      <c r="B331" s="39"/>
      <c r="C331" s="39" t="s">
        <v>1262</v>
      </c>
      <c r="D331" s="39">
        <v>8700000</v>
      </c>
      <c r="E331" s="39">
        <v>8730902.4000000004</v>
      </c>
      <c r="F331" s="39">
        <v>8700000</v>
      </c>
      <c r="G331" s="39" t="s">
        <v>735</v>
      </c>
      <c r="H331" s="39">
        <v>7.3175499999999998</v>
      </c>
      <c r="I331" s="39" t="s">
        <v>1263</v>
      </c>
      <c r="J331" s="43">
        <v>50289</v>
      </c>
      <c r="K331" s="39">
        <v>300</v>
      </c>
      <c r="L331" s="39">
        <v>1</v>
      </c>
      <c r="M331" s="39" t="s">
        <v>1484</v>
      </c>
      <c r="N331" s="39" t="s">
        <v>1262</v>
      </c>
      <c r="O331" s="39" t="s">
        <v>137</v>
      </c>
      <c r="P331" s="39">
        <v>8.7875656880000008</v>
      </c>
      <c r="Q331" s="39" t="s">
        <v>28</v>
      </c>
      <c r="R331" s="39" t="s">
        <v>33</v>
      </c>
      <c r="S331" s="39" t="s">
        <v>38</v>
      </c>
    </row>
    <row r="332" spans="1:19" x14ac:dyDescent="0.25">
      <c r="A332" s="40" t="s">
        <v>1499</v>
      </c>
      <c r="B332" s="40"/>
      <c r="C332" s="40" t="s">
        <v>540</v>
      </c>
      <c r="D332" s="40">
        <v>2332954</v>
      </c>
      <c r="E332" s="40">
        <v>2335828.2000000002</v>
      </c>
      <c r="F332" s="40">
        <v>2332954</v>
      </c>
      <c r="G332" s="40" t="s">
        <v>735</v>
      </c>
      <c r="H332" s="40">
        <v>6.2781380000000002</v>
      </c>
      <c r="I332" s="40" t="s">
        <v>539</v>
      </c>
      <c r="J332" s="44">
        <v>50601</v>
      </c>
      <c r="K332" s="40">
        <v>195</v>
      </c>
      <c r="L332" s="40">
        <v>1</v>
      </c>
      <c r="M332" s="40" t="s">
        <v>1484</v>
      </c>
      <c r="N332" s="40" t="s">
        <v>540</v>
      </c>
      <c r="O332" s="40" t="s">
        <v>137</v>
      </c>
      <c r="P332" s="40">
        <v>9.1238881680000006</v>
      </c>
      <c r="Q332" s="40" t="s">
        <v>24</v>
      </c>
      <c r="R332" s="40" t="s">
        <v>33</v>
      </c>
      <c r="S332" s="40" t="s">
        <v>34</v>
      </c>
    </row>
    <row r="333" spans="1:19" x14ac:dyDescent="0.25">
      <c r="A333" s="39" t="s">
        <v>1499</v>
      </c>
      <c r="B333" s="39"/>
      <c r="C333" s="39" t="s">
        <v>542</v>
      </c>
      <c r="D333" s="39">
        <v>4245976</v>
      </c>
      <c r="E333" s="39">
        <v>4254366.05</v>
      </c>
      <c r="F333" s="39">
        <v>4245976</v>
      </c>
      <c r="G333" s="39" t="s">
        <v>735</v>
      </c>
      <c r="H333" s="39">
        <v>7.2781380000000002</v>
      </c>
      <c r="I333" s="39" t="s">
        <v>541</v>
      </c>
      <c r="J333" s="43">
        <v>50601</v>
      </c>
      <c r="K333" s="39">
        <v>295</v>
      </c>
      <c r="L333" s="39">
        <v>1</v>
      </c>
      <c r="M333" s="39" t="s">
        <v>1484</v>
      </c>
      <c r="N333" s="39" t="s">
        <v>542</v>
      </c>
      <c r="O333" s="39" t="s">
        <v>137</v>
      </c>
      <c r="P333" s="39">
        <v>9.6561344049999995</v>
      </c>
      <c r="Q333" s="39" t="s">
        <v>28</v>
      </c>
      <c r="R333" s="39" t="s">
        <v>33</v>
      </c>
      <c r="S333" s="39" t="s">
        <v>38</v>
      </c>
    </row>
    <row r="334" spans="1:19" x14ac:dyDescent="0.25">
      <c r="A334" s="40" t="s">
        <v>1499</v>
      </c>
      <c r="B334" s="40"/>
      <c r="C334" s="40" t="s">
        <v>1258</v>
      </c>
      <c r="D334" s="40">
        <v>7000000</v>
      </c>
      <c r="E334" s="40">
        <v>7066906</v>
      </c>
      <c r="F334" s="40">
        <v>7000000</v>
      </c>
      <c r="G334" s="40" t="s">
        <v>735</v>
      </c>
      <c r="H334" s="40">
        <v>9.56846</v>
      </c>
      <c r="I334" s="40" t="s">
        <v>1259</v>
      </c>
      <c r="J334" s="44">
        <v>50065</v>
      </c>
      <c r="K334" s="40">
        <v>525</v>
      </c>
      <c r="L334" s="40">
        <v>1</v>
      </c>
      <c r="M334" s="40" t="s">
        <v>1484</v>
      </c>
      <c r="N334" s="40" t="s">
        <v>1258</v>
      </c>
      <c r="O334" s="40" t="s">
        <v>137</v>
      </c>
      <c r="P334" s="40">
        <v>8.3321508160000004</v>
      </c>
      <c r="Q334" s="40" t="s">
        <v>28</v>
      </c>
      <c r="R334" s="40" t="s">
        <v>33</v>
      </c>
      <c r="S334" s="40" t="s">
        <v>38</v>
      </c>
    </row>
    <row r="335" spans="1:19" x14ac:dyDescent="0.25">
      <c r="A335" s="39" t="s">
        <v>1499</v>
      </c>
      <c r="B335" s="39"/>
      <c r="C335" s="39" t="s">
        <v>737</v>
      </c>
      <c r="D335" s="39">
        <v>1800000</v>
      </c>
      <c r="E335" s="39">
        <v>1804312.8</v>
      </c>
      <c r="F335" s="39">
        <v>1800000</v>
      </c>
      <c r="G335" s="39" t="s">
        <v>738</v>
      </c>
      <c r="H335" s="39">
        <v>6.1184599999999998</v>
      </c>
      <c r="I335" s="39" t="s">
        <v>739</v>
      </c>
      <c r="J335" s="43">
        <v>50430</v>
      </c>
      <c r="K335" s="39">
        <v>180</v>
      </c>
      <c r="L335" s="39">
        <v>1</v>
      </c>
      <c r="M335" s="39" t="s">
        <v>1484</v>
      </c>
      <c r="N335" s="39" t="s">
        <v>737</v>
      </c>
      <c r="O335" s="39" t="s">
        <v>122</v>
      </c>
      <c r="P335" s="39">
        <v>8.7194999539999998</v>
      </c>
      <c r="Q335" s="39" t="s">
        <v>24</v>
      </c>
      <c r="R335" s="39" t="s">
        <v>33</v>
      </c>
      <c r="S335" s="39" t="s">
        <v>34</v>
      </c>
    </row>
    <row r="336" spans="1:19" x14ac:dyDescent="0.25">
      <c r="A336" s="40" t="s">
        <v>1499</v>
      </c>
      <c r="B336" s="40"/>
      <c r="C336" s="40" t="s">
        <v>1274</v>
      </c>
      <c r="D336" s="40">
        <v>3500000</v>
      </c>
      <c r="E336" s="40">
        <v>3509201.5</v>
      </c>
      <c r="F336" s="40">
        <v>3500000</v>
      </c>
      <c r="G336" s="40" t="s">
        <v>738</v>
      </c>
      <c r="H336" s="40">
        <v>6.9184599999999996</v>
      </c>
      <c r="I336" s="40" t="s">
        <v>1275</v>
      </c>
      <c r="J336" s="44">
        <v>50430</v>
      </c>
      <c r="K336" s="40">
        <v>260</v>
      </c>
      <c r="L336" s="40">
        <v>1</v>
      </c>
      <c r="M336" s="40" t="s">
        <v>1484</v>
      </c>
      <c r="N336" s="40" t="s">
        <v>1274</v>
      </c>
      <c r="O336" s="40" t="s">
        <v>122</v>
      </c>
      <c r="P336" s="40">
        <v>9.2609863019999992</v>
      </c>
      <c r="Q336" s="40" t="s">
        <v>28</v>
      </c>
      <c r="R336" s="40" t="s">
        <v>33</v>
      </c>
      <c r="S336" s="40" t="s">
        <v>34</v>
      </c>
    </row>
    <row r="337" spans="1:19" x14ac:dyDescent="0.25">
      <c r="A337" s="39" t="s">
        <v>1499</v>
      </c>
      <c r="B337" s="39"/>
      <c r="C337" s="39" t="s">
        <v>1269</v>
      </c>
      <c r="D337" s="39">
        <v>220000</v>
      </c>
      <c r="E337" s="39">
        <v>221229.8</v>
      </c>
      <c r="F337" s="39">
        <v>221976.92</v>
      </c>
      <c r="G337" s="39" t="s">
        <v>1270</v>
      </c>
      <c r="H337" s="39">
        <v>9.5670999999999999</v>
      </c>
      <c r="I337" s="39" t="s">
        <v>1271</v>
      </c>
      <c r="J337" s="43">
        <v>49054</v>
      </c>
      <c r="K337" s="39">
        <v>524.16099999999994</v>
      </c>
      <c r="L337" s="39">
        <v>1</v>
      </c>
      <c r="M337" s="39" t="s">
        <v>1484</v>
      </c>
      <c r="N337" s="39" t="s">
        <v>1269</v>
      </c>
      <c r="O337" s="39" t="s">
        <v>152</v>
      </c>
      <c r="P337" s="39">
        <v>6.201122969</v>
      </c>
      <c r="Q337" s="39" t="s">
        <v>28</v>
      </c>
      <c r="R337" s="39" t="s">
        <v>29</v>
      </c>
      <c r="S337" s="39" t="s">
        <v>38</v>
      </c>
    </row>
    <row r="338" spans="1:19" x14ac:dyDescent="0.25">
      <c r="A338" s="40" t="s">
        <v>1499</v>
      </c>
      <c r="B338" s="40"/>
      <c r="C338" s="40" t="s">
        <v>1269</v>
      </c>
      <c r="D338" s="40">
        <v>390000</v>
      </c>
      <c r="E338" s="40">
        <v>392180.1</v>
      </c>
      <c r="F338" s="40">
        <v>390126.06</v>
      </c>
      <c r="G338" s="40" t="s">
        <v>1270</v>
      </c>
      <c r="H338" s="40">
        <v>9.5670999999999999</v>
      </c>
      <c r="I338" s="40" t="s">
        <v>1271</v>
      </c>
      <c r="J338" s="44">
        <v>49054</v>
      </c>
      <c r="K338" s="40">
        <v>524.16099999999994</v>
      </c>
      <c r="L338" s="40">
        <v>1</v>
      </c>
      <c r="M338" s="40" t="s">
        <v>1484</v>
      </c>
      <c r="N338" s="40" t="s">
        <v>1269</v>
      </c>
      <c r="O338" s="40" t="s">
        <v>152</v>
      </c>
      <c r="P338" s="40">
        <v>6.201122969</v>
      </c>
      <c r="Q338" s="40" t="s">
        <v>28</v>
      </c>
      <c r="R338" s="40" t="s">
        <v>29</v>
      </c>
      <c r="S338" s="40" t="s">
        <v>38</v>
      </c>
    </row>
    <row r="339" spans="1:19" x14ac:dyDescent="0.25">
      <c r="A339" s="39" t="s">
        <v>1499</v>
      </c>
      <c r="B339" s="39" t="s">
        <v>1530</v>
      </c>
      <c r="C339" s="39" t="s">
        <v>1269</v>
      </c>
      <c r="D339" s="39">
        <v>600000</v>
      </c>
      <c r="E339" s="39">
        <v>603354</v>
      </c>
      <c r="F339" s="39">
        <v>600196.76</v>
      </c>
      <c r="G339" s="39" t="s">
        <v>1270</v>
      </c>
      <c r="H339" s="39">
        <v>9.5670999999999999</v>
      </c>
      <c r="I339" s="39" t="s">
        <v>1271</v>
      </c>
      <c r="J339" s="43">
        <v>49054</v>
      </c>
      <c r="K339" s="39">
        <v>524.16099999999994</v>
      </c>
      <c r="L339" s="39">
        <v>1</v>
      </c>
      <c r="M339" s="39" t="s">
        <v>1484</v>
      </c>
      <c r="N339" s="39" t="s">
        <v>1269</v>
      </c>
      <c r="O339" s="39" t="s">
        <v>152</v>
      </c>
      <c r="P339" s="39">
        <v>6.201122969</v>
      </c>
      <c r="Q339" s="39" t="s">
        <v>28</v>
      </c>
      <c r="R339" s="39" t="s">
        <v>29</v>
      </c>
      <c r="S339" s="39" t="s">
        <v>38</v>
      </c>
    </row>
    <row r="340" spans="1:19" x14ac:dyDescent="0.25">
      <c r="A340" s="40" t="s">
        <v>1499</v>
      </c>
      <c r="B340" s="40" t="s">
        <v>1530</v>
      </c>
      <c r="C340" s="40" t="s">
        <v>1272</v>
      </c>
      <c r="D340" s="40">
        <v>2000000</v>
      </c>
      <c r="E340" s="40">
        <v>2004288</v>
      </c>
      <c r="F340" s="40">
        <v>2000000</v>
      </c>
      <c r="G340" s="40" t="s">
        <v>1270</v>
      </c>
      <c r="H340" s="40">
        <v>7.5871000000000004</v>
      </c>
      <c r="I340" s="40" t="s">
        <v>1273</v>
      </c>
      <c r="J340" s="44">
        <v>49145</v>
      </c>
      <c r="K340" s="40">
        <v>326.161</v>
      </c>
      <c r="L340" s="40">
        <v>1</v>
      </c>
      <c r="M340" s="40" t="s">
        <v>1484</v>
      </c>
      <c r="N340" s="40" t="s">
        <v>1272</v>
      </c>
      <c r="O340" s="40" t="s">
        <v>152</v>
      </c>
      <c r="P340" s="40">
        <v>6.0461743659999998</v>
      </c>
      <c r="Q340" s="40" t="s">
        <v>28</v>
      </c>
      <c r="R340" s="40" t="s">
        <v>29</v>
      </c>
      <c r="S340" s="40" t="s">
        <v>38</v>
      </c>
    </row>
    <row r="341" spans="1:19" x14ac:dyDescent="0.25">
      <c r="A341" s="39" t="s">
        <v>1499</v>
      </c>
      <c r="B341" s="39" t="s">
        <v>1530</v>
      </c>
      <c r="C341" s="39" t="s">
        <v>1266</v>
      </c>
      <c r="D341" s="39">
        <v>8671095</v>
      </c>
      <c r="E341" s="39">
        <v>8671528.5600000005</v>
      </c>
      <c r="F341" s="39">
        <v>8671095</v>
      </c>
      <c r="G341" s="39" t="s">
        <v>1267</v>
      </c>
      <c r="H341" s="39">
        <v>7.5370999999999997</v>
      </c>
      <c r="I341" s="39" t="s">
        <v>1268</v>
      </c>
      <c r="J341" s="43">
        <v>49054</v>
      </c>
      <c r="K341" s="39">
        <v>321.161</v>
      </c>
      <c r="L341" s="39">
        <v>1</v>
      </c>
      <c r="M341" s="39" t="s">
        <v>1484</v>
      </c>
      <c r="N341" s="39" t="s">
        <v>1266</v>
      </c>
      <c r="O341" s="39" t="s">
        <v>104</v>
      </c>
      <c r="P341" s="39">
        <v>5.7483962489999998</v>
      </c>
      <c r="Q341" s="39" t="s">
        <v>28</v>
      </c>
      <c r="R341" s="39" t="s">
        <v>25</v>
      </c>
      <c r="S341" s="39" t="s">
        <v>38</v>
      </c>
    </row>
    <row r="342" spans="1:19" x14ac:dyDescent="0.25">
      <c r="A342" s="40" t="s">
        <v>1499</v>
      </c>
      <c r="B342" s="40"/>
      <c r="C342" s="40" t="s">
        <v>545</v>
      </c>
      <c r="D342" s="40">
        <v>14000000</v>
      </c>
      <c r="E342" s="40">
        <v>14033866</v>
      </c>
      <c r="F342" s="40">
        <v>14000000</v>
      </c>
      <c r="G342" s="40" t="s">
        <v>1298</v>
      </c>
      <c r="H342" s="40">
        <v>7.3680399999999997</v>
      </c>
      <c r="I342" s="40" t="s">
        <v>544</v>
      </c>
      <c r="J342" s="44">
        <v>50601</v>
      </c>
      <c r="K342" s="40">
        <v>310</v>
      </c>
      <c r="L342" s="40">
        <v>1</v>
      </c>
      <c r="M342" s="40" t="s">
        <v>1484</v>
      </c>
      <c r="N342" s="40" t="s">
        <v>545</v>
      </c>
      <c r="O342" s="40" t="s">
        <v>140</v>
      </c>
      <c r="P342" s="40">
        <v>9.6619287170000003</v>
      </c>
      <c r="Q342" s="40" t="s">
        <v>28</v>
      </c>
      <c r="R342" s="40" t="s">
        <v>33</v>
      </c>
      <c r="S342" s="40" t="s">
        <v>38</v>
      </c>
    </row>
    <row r="343" spans="1:19" x14ac:dyDescent="0.25">
      <c r="A343" s="39" t="s">
        <v>1499</v>
      </c>
      <c r="B343" s="39"/>
      <c r="C343" s="39" t="s">
        <v>1297</v>
      </c>
      <c r="D343" s="39">
        <v>2600000</v>
      </c>
      <c r="E343" s="39">
        <v>2610168.6</v>
      </c>
      <c r="F343" s="39">
        <v>2600000</v>
      </c>
      <c r="G343" s="39" t="s">
        <v>1298</v>
      </c>
      <c r="H343" s="39">
        <v>7.2254899999999997</v>
      </c>
      <c r="I343" s="39" t="s">
        <v>1299</v>
      </c>
      <c r="J343" s="43">
        <v>50425</v>
      </c>
      <c r="K343" s="39">
        <v>290</v>
      </c>
      <c r="L343" s="39">
        <v>1</v>
      </c>
      <c r="M343" s="39" t="s">
        <v>1484</v>
      </c>
      <c r="N343" s="39" t="s">
        <v>1297</v>
      </c>
      <c r="O343" s="39" t="s">
        <v>183</v>
      </c>
      <c r="P343" s="39">
        <v>9.2428033060000008</v>
      </c>
      <c r="Q343" s="39" t="s">
        <v>28</v>
      </c>
      <c r="R343" s="39" t="s">
        <v>33</v>
      </c>
      <c r="S343" s="39" t="s">
        <v>38</v>
      </c>
    </row>
    <row r="344" spans="1:19" x14ac:dyDescent="0.25">
      <c r="A344" s="40" t="s">
        <v>1499</v>
      </c>
      <c r="B344" s="40"/>
      <c r="C344" s="40" t="s">
        <v>547</v>
      </c>
      <c r="D344" s="40">
        <v>1000000</v>
      </c>
      <c r="E344" s="40">
        <v>1012026</v>
      </c>
      <c r="F344" s="40">
        <v>1000000</v>
      </c>
      <c r="G344" s="40" t="s">
        <v>1298</v>
      </c>
      <c r="H344" s="40">
        <v>7.8877899999999999</v>
      </c>
      <c r="I344" s="40" t="s">
        <v>546</v>
      </c>
      <c r="J344" s="44">
        <v>50495</v>
      </c>
      <c r="K344" s="40">
        <v>360</v>
      </c>
      <c r="L344" s="40"/>
      <c r="M344" s="40" t="s">
        <v>1484</v>
      </c>
      <c r="N344" s="40" t="s">
        <v>547</v>
      </c>
      <c r="O344" s="40" t="s">
        <v>140</v>
      </c>
      <c r="P344" s="40">
        <v>9.6053099940000006</v>
      </c>
      <c r="Q344" s="40" t="s">
        <v>28</v>
      </c>
      <c r="R344" s="40" t="s">
        <v>33</v>
      </c>
      <c r="S344" s="40" t="s">
        <v>38</v>
      </c>
    </row>
    <row r="345" spans="1:19" x14ac:dyDescent="0.25">
      <c r="A345" s="39" t="s">
        <v>1499</v>
      </c>
      <c r="B345" s="39"/>
      <c r="C345" s="39" t="s">
        <v>1281</v>
      </c>
      <c r="D345" s="39">
        <v>4000000</v>
      </c>
      <c r="E345" s="39">
        <v>4021948</v>
      </c>
      <c r="F345" s="39">
        <v>4000000</v>
      </c>
      <c r="G345" s="39" t="s">
        <v>1279</v>
      </c>
      <c r="H345" s="39">
        <v>8.5189900000000005</v>
      </c>
      <c r="I345" s="39" t="s">
        <v>1282</v>
      </c>
      <c r="J345" s="43">
        <v>49971</v>
      </c>
      <c r="K345" s="39">
        <v>420</v>
      </c>
      <c r="L345" s="39">
        <v>1</v>
      </c>
      <c r="M345" s="39" t="s">
        <v>1484</v>
      </c>
      <c r="N345" s="39" t="s">
        <v>1281</v>
      </c>
      <c r="O345" s="39" t="s">
        <v>141</v>
      </c>
      <c r="P345" s="39">
        <v>7.9786931470000004</v>
      </c>
      <c r="Q345" s="39" t="s">
        <v>28</v>
      </c>
      <c r="R345" s="39" t="s">
        <v>29</v>
      </c>
      <c r="S345" s="39" t="s">
        <v>38</v>
      </c>
    </row>
    <row r="346" spans="1:19" x14ac:dyDescent="0.25">
      <c r="A346" s="40" t="s">
        <v>1499</v>
      </c>
      <c r="B346" s="40"/>
      <c r="C346" s="40" t="s">
        <v>1283</v>
      </c>
      <c r="D346" s="40">
        <v>10800000</v>
      </c>
      <c r="E346" s="40">
        <v>10888862.4</v>
      </c>
      <c r="F346" s="40">
        <v>10800000</v>
      </c>
      <c r="G346" s="40" t="s">
        <v>1279</v>
      </c>
      <c r="H346" s="40">
        <v>7.91899</v>
      </c>
      <c r="I346" s="40" t="s">
        <v>1284</v>
      </c>
      <c r="J346" s="44">
        <v>50153</v>
      </c>
      <c r="K346" s="40">
        <v>360</v>
      </c>
      <c r="L346" s="40">
        <v>1</v>
      </c>
      <c r="M346" s="40" t="s">
        <v>1484</v>
      </c>
      <c r="N346" s="40" t="s">
        <v>1283</v>
      </c>
      <c r="O346" s="40" t="s">
        <v>141</v>
      </c>
      <c r="P346" s="40">
        <v>8.6278665070000002</v>
      </c>
      <c r="Q346" s="40" t="s">
        <v>28</v>
      </c>
      <c r="R346" s="40" t="s">
        <v>33</v>
      </c>
      <c r="S346" s="40" t="s">
        <v>38</v>
      </c>
    </row>
    <row r="347" spans="1:19" x14ac:dyDescent="0.25">
      <c r="A347" s="39" t="s">
        <v>1499</v>
      </c>
      <c r="B347" s="39"/>
      <c r="C347" s="39" t="s">
        <v>1278</v>
      </c>
      <c r="D347" s="39">
        <v>2150000</v>
      </c>
      <c r="E347" s="39">
        <v>2156473.65</v>
      </c>
      <c r="F347" s="39">
        <v>2150000</v>
      </c>
      <c r="G347" s="39" t="s">
        <v>1279</v>
      </c>
      <c r="H347" s="39">
        <v>7.0224000000000002</v>
      </c>
      <c r="I347" s="39" t="s">
        <v>1280</v>
      </c>
      <c r="J347" s="43">
        <v>50512</v>
      </c>
      <c r="K347" s="39">
        <v>270</v>
      </c>
      <c r="L347" s="39">
        <v>1</v>
      </c>
      <c r="M347" s="39" t="s">
        <v>1484</v>
      </c>
      <c r="N347" s="39" t="s">
        <v>1278</v>
      </c>
      <c r="O347" s="39" t="s">
        <v>141</v>
      </c>
      <c r="P347" s="39">
        <v>9.2610579160000004</v>
      </c>
      <c r="Q347" s="39" t="s">
        <v>28</v>
      </c>
      <c r="R347" s="39" t="s">
        <v>33</v>
      </c>
      <c r="S347" s="39" t="s">
        <v>38</v>
      </c>
    </row>
    <row r="348" spans="1:19" x14ac:dyDescent="0.25">
      <c r="A348" s="40" t="s">
        <v>1499</v>
      </c>
      <c r="B348" s="40"/>
      <c r="C348" s="40" t="s">
        <v>1285</v>
      </c>
      <c r="D348" s="40">
        <v>10500000</v>
      </c>
      <c r="E348" s="40">
        <v>10526302.5</v>
      </c>
      <c r="F348" s="40">
        <v>10500000</v>
      </c>
      <c r="G348" s="40" t="s">
        <v>1279</v>
      </c>
      <c r="H348" s="40">
        <v>7.1223999999999998</v>
      </c>
      <c r="I348" s="40" t="s">
        <v>1286</v>
      </c>
      <c r="J348" s="44">
        <v>50422</v>
      </c>
      <c r="K348" s="40">
        <v>280</v>
      </c>
      <c r="L348" s="40">
        <v>1</v>
      </c>
      <c r="M348" s="40" t="s">
        <v>1484</v>
      </c>
      <c r="N348" s="40" t="s">
        <v>1285</v>
      </c>
      <c r="O348" s="40" t="s">
        <v>141</v>
      </c>
      <c r="P348" s="40">
        <v>9.2407462220000003</v>
      </c>
      <c r="Q348" s="40" t="s">
        <v>28</v>
      </c>
      <c r="R348" s="40" t="s">
        <v>33</v>
      </c>
      <c r="S348" s="40" t="s">
        <v>38</v>
      </c>
    </row>
    <row r="349" spans="1:19" x14ac:dyDescent="0.25">
      <c r="A349" s="39" t="s">
        <v>1499</v>
      </c>
      <c r="B349" s="39"/>
      <c r="C349" s="39" t="s">
        <v>550</v>
      </c>
      <c r="D349" s="39">
        <v>3200000</v>
      </c>
      <c r="E349" s="39">
        <v>3212441.6000000001</v>
      </c>
      <c r="F349" s="39">
        <v>3200000</v>
      </c>
      <c r="G349" s="39" t="s">
        <v>1279</v>
      </c>
      <c r="H349" s="39">
        <v>0</v>
      </c>
      <c r="I349" s="39" t="s">
        <v>549</v>
      </c>
      <c r="J349" s="43">
        <v>50603</v>
      </c>
      <c r="K349" s="39">
        <v>290</v>
      </c>
      <c r="L349" s="39"/>
      <c r="M349" s="39" t="s">
        <v>1484</v>
      </c>
      <c r="N349" s="39" t="s">
        <v>550</v>
      </c>
      <c r="O349" s="39" t="s">
        <v>141</v>
      </c>
      <c r="P349" s="39">
        <v>9.6180592160000007</v>
      </c>
      <c r="Q349" s="39" t="s">
        <v>28</v>
      </c>
      <c r="R349" s="39" t="s">
        <v>33</v>
      </c>
      <c r="S349" s="39" t="s">
        <v>19</v>
      </c>
    </row>
    <row r="350" spans="1:19" x14ac:dyDescent="0.25">
      <c r="A350" s="40" t="s">
        <v>1499</v>
      </c>
      <c r="B350" s="40" t="s">
        <v>1530</v>
      </c>
      <c r="C350" s="40" t="s">
        <v>1287</v>
      </c>
      <c r="D350" s="40">
        <v>3600000</v>
      </c>
      <c r="E350" s="40">
        <v>3603657.6</v>
      </c>
      <c r="F350" s="40">
        <v>3587400</v>
      </c>
      <c r="G350" s="40" t="s">
        <v>1288</v>
      </c>
      <c r="H350" s="40">
        <v>7.9371</v>
      </c>
      <c r="I350" s="40" t="s">
        <v>1289</v>
      </c>
      <c r="J350" s="44">
        <v>49145</v>
      </c>
      <c r="K350" s="40">
        <v>361.161</v>
      </c>
      <c r="L350" s="40">
        <v>1</v>
      </c>
      <c r="M350" s="40" t="s">
        <v>1484</v>
      </c>
      <c r="N350" s="40" t="s">
        <v>1287</v>
      </c>
      <c r="O350" s="40" t="s">
        <v>153</v>
      </c>
      <c r="P350" s="40">
        <v>6.245600424</v>
      </c>
      <c r="Q350" s="40" t="s">
        <v>28</v>
      </c>
      <c r="R350" s="40" t="s">
        <v>29</v>
      </c>
      <c r="S350" s="40" t="s">
        <v>38</v>
      </c>
    </row>
    <row r="351" spans="1:19" x14ac:dyDescent="0.25">
      <c r="A351" s="39" t="s">
        <v>1499</v>
      </c>
      <c r="B351" s="39" t="s">
        <v>1530</v>
      </c>
      <c r="C351" s="39" t="s">
        <v>1290</v>
      </c>
      <c r="D351" s="39">
        <v>574148</v>
      </c>
      <c r="E351" s="39">
        <v>568806.69999999995</v>
      </c>
      <c r="F351" s="39">
        <v>574148</v>
      </c>
      <c r="G351" s="39" t="s">
        <v>1288</v>
      </c>
      <c r="H351" s="39">
        <v>7.8300700000000001</v>
      </c>
      <c r="I351" s="39" t="s">
        <v>1291</v>
      </c>
      <c r="J351" s="43">
        <v>49242</v>
      </c>
      <c r="K351" s="39">
        <v>351.161</v>
      </c>
      <c r="L351" s="39">
        <v>1</v>
      </c>
      <c r="M351" s="39" t="s">
        <v>1484</v>
      </c>
      <c r="N351" s="39" t="s">
        <v>1290</v>
      </c>
      <c r="O351" s="39" t="s">
        <v>153</v>
      </c>
      <c r="P351" s="39">
        <v>6.2150524450000004</v>
      </c>
      <c r="Q351" s="39" t="s">
        <v>28</v>
      </c>
      <c r="R351" s="39" t="s">
        <v>29</v>
      </c>
      <c r="S351" s="39" t="s">
        <v>38</v>
      </c>
    </row>
    <row r="352" spans="1:19" x14ac:dyDescent="0.25">
      <c r="A352" s="40" t="s">
        <v>1499</v>
      </c>
      <c r="B352" s="40"/>
      <c r="C352" s="40" t="s">
        <v>1290</v>
      </c>
      <c r="D352" s="40">
        <v>1005000</v>
      </c>
      <c r="E352" s="40">
        <v>995650.49</v>
      </c>
      <c r="F352" s="40">
        <v>1005000</v>
      </c>
      <c r="G352" s="40" t="s">
        <v>1288</v>
      </c>
      <c r="H352" s="40">
        <v>7.8300700000000001</v>
      </c>
      <c r="I352" s="40" t="s">
        <v>1291</v>
      </c>
      <c r="J352" s="44">
        <v>49242</v>
      </c>
      <c r="K352" s="40">
        <v>351.161</v>
      </c>
      <c r="L352" s="40">
        <v>1</v>
      </c>
      <c r="M352" s="40" t="s">
        <v>1484</v>
      </c>
      <c r="N352" s="40" t="s">
        <v>1290</v>
      </c>
      <c r="O352" s="40" t="s">
        <v>153</v>
      </c>
      <c r="P352" s="40">
        <v>6.2150524450000004</v>
      </c>
      <c r="Q352" s="40" t="s">
        <v>28</v>
      </c>
      <c r="R352" s="40" t="s">
        <v>29</v>
      </c>
      <c r="S352" s="40" t="s">
        <v>38</v>
      </c>
    </row>
    <row r="353" spans="1:19" x14ac:dyDescent="0.25">
      <c r="A353" s="39" t="s">
        <v>1499</v>
      </c>
      <c r="B353" s="39"/>
      <c r="C353" s="39" t="s">
        <v>1290</v>
      </c>
      <c r="D353" s="39">
        <v>70000</v>
      </c>
      <c r="E353" s="39">
        <v>69348.789999999994</v>
      </c>
      <c r="F353" s="39">
        <v>68600</v>
      </c>
      <c r="G353" s="39" t="s">
        <v>1288</v>
      </c>
      <c r="H353" s="39">
        <v>7.8300700000000001</v>
      </c>
      <c r="I353" s="39" t="s">
        <v>1291</v>
      </c>
      <c r="J353" s="43">
        <v>49242</v>
      </c>
      <c r="K353" s="39">
        <v>351.161</v>
      </c>
      <c r="L353" s="39">
        <v>1</v>
      </c>
      <c r="M353" s="39" t="s">
        <v>1484</v>
      </c>
      <c r="N353" s="39" t="s">
        <v>1290</v>
      </c>
      <c r="O353" s="39" t="s">
        <v>153</v>
      </c>
      <c r="P353" s="39">
        <v>6.2150524450000004</v>
      </c>
      <c r="Q353" s="39" t="s">
        <v>28</v>
      </c>
      <c r="R353" s="39" t="s">
        <v>29</v>
      </c>
      <c r="S353" s="39" t="s">
        <v>38</v>
      </c>
    </row>
    <row r="354" spans="1:19" x14ac:dyDescent="0.25">
      <c r="A354" s="40" t="s">
        <v>1499</v>
      </c>
      <c r="B354" s="40"/>
      <c r="C354" s="40" t="s">
        <v>1290</v>
      </c>
      <c r="D354" s="40">
        <v>100000</v>
      </c>
      <c r="E354" s="40">
        <v>99069.7</v>
      </c>
      <c r="F354" s="40">
        <v>98661</v>
      </c>
      <c r="G354" s="40" t="s">
        <v>1288</v>
      </c>
      <c r="H354" s="40">
        <v>7.8300700000000001</v>
      </c>
      <c r="I354" s="40" t="s">
        <v>1291</v>
      </c>
      <c r="J354" s="44">
        <v>49242</v>
      </c>
      <c r="K354" s="40">
        <v>351.161</v>
      </c>
      <c r="L354" s="40">
        <v>1</v>
      </c>
      <c r="M354" s="40" t="s">
        <v>1484</v>
      </c>
      <c r="N354" s="40" t="s">
        <v>1290</v>
      </c>
      <c r="O354" s="40" t="s">
        <v>153</v>
      </c>
      <c r="P354" s="40">
        <v>6.2150524450000004</v>
      </c>
      <c r="Q354" s="40" t="s">
        <v>28</v>
      </c>
      <c r="R354" s="40" t="s">
        <v>29</v>
      </c>
      <c r="S354" s="40" t="s">
        <v>38</v>
      </c>
    </row>
    <row r="355" spans="1:19" x14ac:dyDescent="0.25">
      <c r="A355" s="39" t="s">
        <v>1499</v>
      </c>
      <c r="B355" s="39" t="s">
        <v>1530</v>
      </c>
      <c r="C355" s="39" t="s">
        <v>1290</v>
      </c>
      <c r="D355" s="39">
        <v>310000</v>
      </c>
      <c r="E355" s="39">
        <v>307116.07</v>
      </c>
      <c r="F355" s="39">
        <v>304976</v>
      </c>
      <c r="G355" s="39" t="s">
        <v>1288</v>
      </c>
      <c r="H355" s="39">
        <v>7.8300700000000001</v>
      </c>
      <c r="I355" s="39" t="s">
        <v>1291</v>
      </c>
      <c r="J355" s="43">
        <v>49242</v>
      </c>
      <c r="K355" s="39">
        <v>351.161</v>
      </c>
      <c r="L355" s="39">
        <v>1</v>
      </c>
      <c r="M355" s="39" t="s">
        <v>1484</v>
      </c>
      <c r="N355" s="39" t="s">
        <v>1290</v>
      </c>
      <c r="O355" s="39" t="s">
        <v>153</v>
      </c>
      <c r="P355" s="39">
        <v>6.2150524450000004</v>
      </c>
      <c r="Q355" s="39" t="s">
        <v>28</v>
      </c>
      <c r="R355" s="39" t="s">
        <v>29</v>
      </c>
      <c r="S355" s="39" t="s">
        <v>38</v>
      </c>
    </row>
    <row r="356" spans="1:19" x14ac:dyDescent="0.25">
      <c r="A356" s="40" t="s">
        <v>1499</v>
      </c>
      <c r="B356" s="40" t="s">
        <v>1530</v>
      </c>
      <c r="C356" s="40" t="s">
        <v>1292</v>
      </c>
      <c r="D356" s="40">
        <v>7000000</v>
      </c>
      <c r="E356" s="40">
        <v>6831874</v>
      </c>
      <c r="F356" s="40">
        <v>7000000</v>
      </c>
      <c r="G356" s="40" t="s">
        <v>1288</v>
      </c>
      <c r="H356" s="40">
        <v>7.6184599999999998</v>
      </c>
      <c r="I356" s="40" t="s">
        <v>1293</v>
      </c>
      <c r="J356" s="44">
        <v>49424</v>
      </c>
      <c r="K356" s="40">
        <v>330</v>
      </c>
      <c r="L356" s="40">
        <v>1</v>
      </c>
      <c r="M356" s="40" t="s">
        <v>1484</v>
      </c>
      <c r="N356" s="40" t="s">
        <v>1292</v>
      </c>
      <c r="O356" s="40" t="s">
        <v>153</v>
      </c>
      <c r="P356" s="40">
        <v>6.454160152</v>
      </c>
      <c r="Q356" s="40" t="s">
        <v>28</v>
      </c>
      <c r="R356" s="40" t="s">
        <v>29</v>
      </c>
      <c r="S356" s="40" t="s">
        <v>38</v>
      </c>
    </row>
    <row r="357" spans="1:19" x14ac:dyDescent="0.25">
      <c r="A357" s="39" t="s">
        <v>1499</v>
      </c>
      <c r="B357" s="39"/>
      <c r="C357" s="39" t="s">
        <v>1295</v>
      </c>
      <c r="D357" s="39">
        <v>4141000</v>
      </c>
      <c r="E357" s="39">
        <v>4175270.92</v>
      </c>
      <c r="F357" s="39">
        <v>4141000</v>
      </c>
      <c r="G357" s="39" t="s">
        <v>1288</v>
      </c>
      <c r="H357" s="39">
        <v>8.6038899999999998</v>
      </c>
      <c r="I357" s="39" t="s">
        <v>1296</v>
      </c>
      <c r="J357" s="43">
        <v>50510</v>
      </c>
      <c r="K357" s="39">
        <v>430</v>
      </c>
      <c r="L357" s="39">
        <v>1</v>
      </c>
      <c r="M357" s="39" t="s">
        <v>1484</v>
      </c>
      <c r="N357" s="39" t="s">
        <v>1295</v>
      </c>
      <c r="O357" s="39" t="s">
        <v>184</v>
      </c>
      <c r="P357" s="39">
        <v>9.4540665209999997</v>
      </c>
      <c r="Q357" s="39" t="s">
        <v>28</v>
      </c>
      <c r="R357" s="39" t="s">
        <v>33</v>
      </c>
      <c r="S357" s="39" t="s">
        <v>38</v>
      </c>
    </row>
    <row r="358" spans="1:19" x14ac:dyDescent="0.25">
      <c r="A358" s="40" t="s">
        <v>1499</v>
      </c>
      <c r="B358" s="40"/>
      <c r="C358" s="40" t="s">
        <v>1300</v>
      </c>
      <c r="D358" s="40">
        <v>8500000</v>
      </c>
      <c r="E358" s="40">
        <v>8560545.5</v>
      </c>
      <c r="F358" s="40">
        <v>8500000</v>
      </c>
      <c r="G358" s="40" t="s">
        <v>1301</v>
      </c>
      <c r="H358" s="40">
        <v>7.4675500000000001</v>
      </c>
      <c r="I358" s="40" t="s">
        <v>1302</v>
      </c>
      <c r="J358" s="44">
        <v>50328</v>
      </c>
      <c r="K358" s="40">
        <v>315</v>
      </c>
      <c r="L358" s="40">
        <v>1</v>
      </c>
      <c r="M358" s="40" t="s">
        <v>1484</v>
      </c>
      <c r="N358" s="40" t="s">
        <v>1300</v>
      </c>
      <c r="O358" s="40" t="s">
        <v>104</v>
      </c>
      <c r="P358" s="40">
        <v>9.1235238509999999</v>
      </c>
      <c r="Q358" s="40" t="s">
        <v>28</v>
      </c>
      <c r="R358" s="40" t="s">
        <v>33</v>
      </c>
      <c r="S358" s="40" t="s">
        <v>38</v>
      </c>
    </row>
    <row r="359" spans="1:19" x14ac:dyDescent="0.25">
      <c r="A359" s="39" t="s">
        <v>1499</v>
      </c>
      <c r="B359" s="39"/>
      <c r="C359" s="39" t="s">
        <v>1303</v>
      </c>
      <c r="D359" s="39">
        <v>6837500</v>
      </c>
      <c r="E359" s="39">
        <v>6801131.3399999999</v>
      </c>
      <c r="F359" s="39">
        <v>6837500</v>
      </c>
      <c r="G359" s="39" t="s">
        <v>391</v>
      </c>
      <c r="H359" s="39">
        <v>8.1870999999999992</v>
      </c>
      <c r="I359" s="39" t="s">
        <v>1304</v>
      </c>
      <c r="J359" s="43">
        <v>49053</v>
      </c>
      <c r="K359" s="39">
        <v>386.161</v>
      </c>
      <c r="L359" s="39">
        <v>1</v>
      </c>
      <c r="M359" s="39" t="s">
        <v>1484</v>
      </c>
      <c r="N359" s="39" t="s">
        <v>1303</v>
      </c>
      <c r="O359" s="39" t="s">
        <v>143</v>
      </c>
      <c r="P359" s="39">
        <v>6.0821998519999996</v>
      </c>
      <c r="Q359" s="39" t="s">
        <v>28</v>
      </c>
      <c r="R359" s="39" t="s">
        <v>29</v>
      </c>
      <c r="S359" s="39" t="s">
        <v>38</v>
      </c>
    </row>
    <row r="360" spans="1:19" x14ac:dyDescent="0.25">
      <c r="A360" s="40" t="s">
        <v>1499</v>
      </c>
      <c r="B360" s="40" t="s">
        <v>1530</v>
      </c>
      <c r="C360" s="40" t="s">
        <v>1303</v>
      </c>
      <c r="D360" s="40">
        <v>170000</v>
      </c>
      <c r="E360" s="40">
        <v>169095.77</v>
      </c>
      <c r="F360" s="40">
        <v>170105.74</v>
      </c>
      <c r="G360" s="40" t="s">
        <v>391</v>
      </c>
      <c r="H360" s="40">
        <v>8.1870999999999992</v>
      </c>
      <c r="I360" s="40" t="s">
        <v>1304</v>
      </c>
      <c r="J360" s="44">
        <v>49053</v>
      </c>
      <c r="K360" s="40">
        <v>386.161</v>
      </c>
      <c r="L360" s="40">
        <v>1</v>
      </c>
      <c r="M360" s="40" t="s">
        <v>1484</v>
      </c>
      <c r="N360" s="40" t="s">
        <v>1303</v>
      </c>
      <c r="O360" s="40" t="s">
        <v>143</v>
      </c>
      <c r="P360" s="40">
        <v>6.0821998519999996</v>
      </c>
      <c r="Q360" s="40" t="s">
        <v>28</v>
      </c>
      <c r="R360" s="40" t="s">
        <v>29</v>
      </c>
      <c r="S360" s="40" t="s">
        <v>38</v>
      </c>
    </row>
    <row r="361" spans="1:19" x14ac:dyDescent="0.25">
      <c r="A361" s="39" t="s">
        <v>1499</v>
      </c>
      <c r="B361" s="39"/>
      <c r="C361" s="39" t="s">
        <v>1305</v>
      </c>
      <c r="D361" s="39">
        <v>5000000</v>
      </c>
      <c r="E361" s="39">
        <v>5000250</v>
      </c>
      <c r="F361" s="39">
        <v>4692500</v>
      </c>
      <c r="G361" s="39" t="s">
        <v>391</v>
      </c>
      <c r="H361" s="39">
        <v>7.8189900000000003</v>
      </c>
      <c r="I361" s="39" t="s">
        <v>1306</v>
      </c>
      <c r="J361" s="43">
        <v>49422</v>
      </c>
      <c r="K361" s="39">
        <v>350</v>
      </c>
      <c r="L361" s="39">
        <v>1</v>
      </c>
      <c r="M361" s="39" t="s">
        <v>1484</v>
      </c>
      <c r="N361" s="39" t="s">
        <v>1305</v>
      </c>
      <c r="O361" s="39" t="s">
        <v>143</v>
      </c>
      <c r="P361" s="39">
        <v>6.5490167049999997</v>
      </c>
      <c r="Q361" s="39" t="s">
        <v>28</v>
      </c>
      <c r="R361" s="39" t="s">
        <v>29</v>
      </c>
      <c r="S361" s="39" t="s">
        <v>38</v>
      </c>
    </row>
    <row r="362" spans="1:19" x14ac:dyDescent="0.25">
      <c r="A362" s="40" t="s">
        <v>1499</v>
      </c>
      <c r="B362" s="40"/>
      <c r="C362" s="40" t="s">
        <v>553</v>
      </c>
      <c r="D362" s="40">
        <v>5000000</v>
      </c>
      <c r="E362" s="40">
        <v>5019445</v>
      </c>
      <c r="F362" s="40">
        <v>5000000</v>
      </c>
      <c r="G362" s="40" t="s">
        <v>391</v>
      </c>
      <c r="H362" s="40">
        <v>0</v>
      </c>
      <c r="I362" s="40" t="s">
        <v>552</v>
      </c>
      <c r="J362" s="44">
        <v>49605</v>
      </c>
      <c r="K362" s="40">
        <v>300</v>
      </c>
      <c r="L362" s="40">
        <v>1</v>
      </c>
      <c r="M362" s="40" t="s">
        <v>1484</v>
      </c>
      <c r="N362" s="40" t="s">
        <v>553</v>
      </c>
      <c r="O362" s="40" t="s">
        <v>143</v>
      </c>
      <c r="P362" s="40">
        <v>0</v>
      </c>
      <c r="Q362" s="40" t="s">
        <v>28</v>
      </c>
      <c r="R362" s="40" t="s">
        <v>18</v>
      </c>
      <c r="S362" s="40" t="s">
        <v>19</v>
      </c>
    </row>
    <row r="363" spans="1:19" x14ac:dyDescent="0.25">
      <c r="A363" s="39" t="s">
        <v>1499</v>
      </c>
      <c r="B363" s="39"/>
      <c r="C363" s="39" t="s">
        <v>1307</v>
      </c>
      <c r="D363" s="39">
        <v>6500000</v>
      </c>
      <c r="E363" s="39">
        <v>6528275</v>
      </c>
      <c r="F363" s="39">
        <v>6500000</v>
      </c>
      <c r="G363" s="39" t="s">
        <v>391</v>
      </c>
      <c r="H363" s="39">
        <v>7.5751799999999996</v>
      </c>
      <c r="I363" s="39" t="s">
        <v>1308</v>
      </c>
      <c r="J363" s="43">
        <v>50337</v>
      </c>
      <c r="K363" s="39">
        <v>330</v>
      </c>
      <c r="L363" s="39">
        <v>1</v>
      </c>
      <c r="M363" s="39" t="s">
        <v>1484</v>
      </c>
      <c r="N363" s="39" t="s">
        <v>1307</v>
      </c>
      <c r="O363" s="39" t="s">
        <v>143</v>
      </c>
      <c r="P363" s="39">
        <v>9.0163567839999992</v>
      </c>
      <c r="Q363" s="39" t="s">
        <v>28</v>
      </c>
      <c r="R363" s="39" t="s">
        <v>33</v>
      </c>
      <c r="S363" s="39" t="s">
        <v>38</v>
      </c>
    </row>
    <row r="364" spans="1:19" x14ac:dyDescent="0.25">
      <c r="A364" s="40" t="s">
        <v>1499</v>
      </c>
      <c r="B364" s="40"/>
      <c r="C364" s="40" t="s">
        <v>742</v>
      </c>
      <c r="D364" s="40">
        <v>5000000</v>
      </c>
      <c r="E364" s="40">
        <v>5032495</v>
      </c>
      <c r="F364" s="40">
        <v>5000000</v>
      </c>
      <c r="G364" s="40" t="s">
        <v>391</v>
      </c>
      <c r="H364" s="40">
        <v>6.8254900000000003</v>
      </c>
      <c r="I364" s="40" t="s">
        <v>743</v>
      </c>
      <c r="J364" s="44">
        <v>50333</v>
      </c>
      <c r="K364" s="40">
        <v>250</v>
      </c>
      <c r="L364" s="40">
        <v>1</v>
      </c>
      <c r="M364" s="40" t="s">
        <v>1484</v>
      </c>
      <c r="N364" s="40" t="s">
        <v>742</v>
      </c>
      <c r="O364" s="40" t="s">
        <v>143</v>
      </c>
      <c r="P364" s="40">
        <v>8.1104868200000002</v>
      </c>
      <c r="Q364" s="40" t="s">
        <v>24</v>
      </c>
      <c r="R364" s="40" t="s">
        <v>33</v>
      </c>
      <c r="S364" s="40" t="s">
        <v>34</v>
      </c>
    </row>
    <row r="365" spans="1:19" x14ac:dyDescent="0.25">
      <c r="A365" s="39" t="s">
        <v>1499</v>
      </c>
      <c r="B365" s="39"/>
      <c r="C365" s="39" t="s">
        <v>1311</v>
      </c>
      <c r="D365" s="39">
        <v>7200000</v>
      </c>
      <c r="E365" s="39">
        <v>7256577.5999999996</v>
      </c>
      <c r="F365" s="39">
        <v>7200000</v>
      </c>
      <c r="G365" s="39" t="s">
        <v>391</v>
      </c>
      <c r="H365" s="39">
        <v>7.52027</v>
      </c>
      <c r="I365" s="39" t="s">
        <v>1312</v>
      </c>
      <c r="J365" s="43">
        <v>50235</v>
      </c>
      <c r="K365" s="39">
        <v>320</v>
      </c>
      <c r="L365" s="39">
        <v>1</v>
      </c>
      <c r="M365" s="39" t="s">
        <v>1484</v>
      </c>
      <c r="N365" s="39" t="s">
        <v>1311</v>
      </c>
      <c r="O365" s="39" t="s">
        <v>143</v>
      </c>
      <c r="P365" s="39">
        <v>8.8212232860000004</v>
      </c>
      <c r="Q365" s="39" t="s">
        <v>28</v>
      </c>
      <c r="R365" s="39" t="s">
        <v>33</v>
      </c>
      <c r="S365" s="39" t="s">
        <v>38</v>
      </c>
    </row>
    <row r="366" spans="1:19" x14ac:dyDescent="0.25">
      <c r="A366" s="40" t="s">
        <v>1499</v>
      </c>
      <c r="B366" s="40"/>
      <c r="C366" s="40" t="s">
        <v>744</v>
      </c>
      <c r="D366" s="40">
        <v>2500000</v>
      </c>
      <c r="E366" s="40">
        <v>2512382.5</v>
      </c>
      <c r="F366" s="40">
        <v>2500000</v>
      </c>
      <c r="G366" s="40" t="s">
        <v>391</v>
      </c>
      <c r="H366" s="40">
        <v>6.7224000000000004</v>
      </c>
      <c r="I366" s="40" t="s">
        <v>745</v>
      </c>
      <c r="J366" s="44">
        <v>50147</v>
      </c>
      <c r="K366" s="40">
        <v>240</v>
      </c>
      <c r="L366" s="40">
        <v>1</v>
      </c>
      <c r="M366" s="40" t="s">
        <v>1484</v>
      </c>
      <c r="N366" s="40" t="s">
        <v>744</v>
      </c>
      <c r="O366" s="40" t="s">
        <v>143</v>
      </c>
      <c r="P366" s="40">
        <v>8.0876730139999999</v>
      </c>
      <c r="Q366" s="40" t="s">
        <v>24</v>
      </c>
      <c r="R366" s="40" t="s">
        <v>33</v>
      </c>
      <c r="S366" s="40" t="s">
        <v>34</v>
      </c>
    </row>
    <row r="367" spans="1:19" x14ac:dyDescent="0.25">
      <c r="A367" s="39" t="s">
        <v>1499</v>
      </c>
      <c r="B367" s="39"/>
      <c r="C367" s="39" t="s">
        <v>1309</v>
      </c>
      <c r="D367" s="39">
        <v>4500000</v>
      </c>
      <c r="E367" s="39">
        <v>4515876</v>
      </c>
      <c r="F367" s="39">
        <v>4500000</v>
      </c>
      <c r="G367" s="39" t="s">
        <v>391</v>
      </c>
      <c r="H367" s="39">
        <v>7.8224</v>
      </c>
      <c r="I367" s="39" t="s">
        <v>1310</v>
      </c>
      <c r="J367" s="43">
        <v>50147</v>
      </c>
      <c r="K367" s="39">
        <v>350</v>
      </c>
      <c r="L367" s="39">
        <v>1</v>
      </c>
      <c r="M367" s="39" t="s">
        <v>1484</v>
      </c>
      <c r="N367" s="39" t="s">
        <v>1309</v>
      </c>
      <c r="O367" s="39" t="s">
        <v>143</v>
      </c>
      <c r="P367" s="39">
        <v>8.6752204509999995</v>
      </c>
      <c r="Q367" s="39" t="s">
        <v>28</v>
      </c>
      <c r="R367" s="39" t="s">
        <v>33</v>
      </c>
      <c r="S367" s="39" t="s">
        <v>38</v>
      </c>
    </row>
    <row r="368" spans="1:19" x14ac:dyDescent="0.25">
      <c r="A368" s="40" t="s">
        <v>1499</v>
      </c>
      <c r="B368" s="40"/>
      <c r="C368" s="40" t="s">
        <v>1318</v>
      </c>
      <c r="D368" s="40">
        <v>4000000</v>
      </c>
      <c r="E368" s="40">
        <v>4012008</v>
      </c>
      <c r="F368" s="40">
        <v>3882000</v>
      </c>
      <c r="G368" s="40" t="s">
        <v>1319</v>
      </c>
      <c r="H368" s="40">
        <v>7.7791600000000001</v>
      </c>
      <c r="I368" s="40" t="s">
        <v>1320</v>
      </c>
      <c r="J368" s="44">
        <v>48684</v>
      </c>
      <c r="K368" s="40">
        <v>346.161</v>
      </c>
      <c r="L368" s="40">
        <v>1</v>
      </c>
      <c r="M368" s="40" t="s">
        <v>1484</v>
      </c>
      <c r="N368" s="40" t="s">
        <v>1318</v>
      </c>
      <c r="O368" s="40" t="s">
        <v>185</v>
      </c>
      <c r="P368" s="40">
        <v>4.5895595949999999</v>
      </c>
      <c r="Q368" s="40" t="s">
        <v>28</v>
      </c>
      <c r="R368" s="40" t="s">
        <v>25</v>
      </c>
      <c r="S368" s="40" t="s">
        <v>38</v>
      </c>
    </row>
    <row r="369" spans="1:19" x14ac:dyDescent="0.25">
      <c r="A369" s="39" t="s">
        <v>1499</v>
      </c>
      <c r="B369" s="39"/>
      <c r="C369" s="39" t="s">
        <v>556</v>
      </c>
      <c r="D369" s="39">
        <v>1800000</v>
      </c>
      <c r="E369" s="39">
        <v>1806998.4</v>
      </c>
      <c r="F369" s="39">
        <v>1798828.2</v>
      </c>
      <c r="G369" s="39" t="s">
        <v>1321</v>
      </c>
      <c r="H369" s="39">
        <v>0</v>
      </c>
      <c r="I369" s="39" t="s">
        <v>555</v>
      </c>
      <c r="J369" s="43">
        <v>50601</v>
      </c>
      <c r="K369" s="39">
        <v>335</v>
      </c>
      <c r="L369" s="39">
        <v>1</v>
      </c>
      <c r="M369" s="39" t="s">
        <v>1484</v>
      </c>
      <c r="N369" s="39" t="s">
        <v>556</v>
      </c>
      <c r="O369" s="39" t="s">
        <v>144</v>
      </c>
      <c r="P369" s="39">
        <v>9.4874154780000008</v>
      </c>
      <c r="Q369" s="39" t="s">
        <v>28</v>
      </c>
      <c r="R369" s="39" t="s">
        <v>33</v>
      </c>
      <c r="S369" s="39" t="s">
        <v>19</v>
      </c>
    </row>
    <row r="370" spans="1:19" x14ac:dyDescent="0.25">
      <c r="A370" s="40" t="s">
        <v>1499</v>
      </c>
      <c r="B370" s="40"/>
      <c r="C370" s="40" t="s">
        <v>559</v>
      </c>
      <c r="D370" s="40">
        <v>6585000</v>
      </c>
      <c r="E370" s="40">
        <v>6597985.6200000001</v>
      </c>
      <c r="F370" s="40">
        <v>6585000</v>
      </c>
      <c r="G370" s="40" t="s">
        <v>1313</v>
      </c>
      <c r="H370" s="40">
        <v>7.2254899999999997</v>
      </c>
      <c r="I370" s="40" t="s">
        <v>558</v>
      </c>
      <c r="J370" s="44">
        <v>50606</v>
      </c>
      <c r="K370" s="40">
        <v>290</v>
      </c>
      <c r="L370" s="40"/>
      <c r="M370" s="40" t="s">
        <v>1484</v>
      </c>
      <c r="N370" s="40" t="s">
        <v>559</v>
      </c>
      <c r="O370" s="40" t="s">
        <v>104</v>
      </c>
      <c r="P370" s="40">
        <v>9.683052021</v>
      </c>
      <c r="Q370" s="40" t="s">
        <v>28</v>
      </c>
      <c r="R370" s="40" t="s">
        <v>33</v>
      </c>
      <c r="S370" s="40" t="s">
        <v>38</v>
      </c>
    </row>
    <row r="371" spans="1:19" x14ac:dyDescent="0.25">
      <c r="A371" s="39" t="s">
        <v>1499</v>
      </c>
      <c r="B371" s="39"/>
      <c r="C371" s="39" t="s">
        <v>746</v>
      </c>
      <c r="D371" s="39">
        <v>2823000</v>
      </c>
      <c r="E371" s="39">
        <v>2835841.83</v>
      </c>
      <c r="F371" s="39">
        <v>2823000</v>
      </c>
      <c r="G371" s="39" t="s">
        <v>747</v>
      </c>
      <c r="H371" s="39">
        <v>6.2754899999999996</v>
      </c>
      <c r="I371" s="39" t="s">
        <v>748</v>
      </c>
      <c r="J371" s="43">
        <v>50334</v>
      </c>
      <c r="K371" s="39">
        <v>195</v>
      </c>
      <c r="L371" s="39">
        <v>1</v>
      </c>
      <c r="M371" s="39" t="s">
        <v>1484</v>
      </c>
      <c r="N371" s="39" t="s">
        <v>746</v>
      </c>
      <c r="O371" s="39" t="s">
        <v>159</v>
      </c>
      <c r="P371" s="39">
        <v>8.4284171350000001</v>
      </c>
      <c r="Q371" s="39" t="s">
        <v>24</v>
      </c>
      <c r="R371" s="39" t="s">
        <v>33</v>
      </c>
      <c r="S371" s="39" t="s">
        <v>34</v>
      </c>
    </row>
    <row r="372" spans="1:19" x14ac:dyDescent="0.25">
      <c r="A372" s="40" t="s">
        <v>1499</v>
      </c>
      <c r="B372" s="40"/>
      <c r="C372" s="40" t="s">
        <v>1314</v>
      </c>
      <c r="D372" s="40">
        <v>2540000</v>
      </c>
      <c r="E372" s="40">
        <v>2548300.7200000002</v>
      </c>
      <c r="F372" s="40">
        <v>2540000</v>
      </c>
      <c r="G372" s="40" t="s">
        <v>747</v>
      </c>
      <c r="H372" s="40">
        <v>7.2754899999999996</v>
      </c>
      <c r="I372" s="40" t="s">
        <v>1315</v>
      </c>
      <c r="J372" s="44">
        <v>50334</v>
      </c>
      <c r="K372" s="40">
        <v>295</v>
      </c>
      <c r="L372" s="40">
        <v>1</v>
      </c>
      <c r="M372" s="40" t="s">
        <v>1484</v>
      </c>
      <c r="N372" s="40" t="s">
        <v>1314</v>
      </c>
      <c r="O372" s="40" t="s">
        <v>159</v>
      </c>
      <c r="P372" s="40">
        <v>8.9716997030000005</v>
      </c>
      <c r="Q372" s="40" t="s">
        <v>28</v>
      </c>
      <c r="R372" s="40" t="s">
        <v>33</v>
      </c>
      <c r="S372" s="40" t="s">
        <v>38</v>
      </c>
    </row>
    <row r="373" spans="1:19" x14ac:dyDescent="0.25">
      <c r="A373" s="39" t="s">
        <v>1499</v>
      </c>
      <c r="B373" s="39" t="s">
        <v>1530</v>
      </c>
      <c r="C373" s="39" t="s">
        <v>761</v>
      </c>
      <c r="D373" s="39">
        <v>4705000</v>
      </c>
      <c r="E373" s="39">
        <v>4693689.18</v>
      </c>
      <c r="F373" s="39">
        <v>4705000</v>
      </c>
      <c r="G373" s="39" t="s">
        <v>762</v>
      </c>
      <c r="H373" s="39">
        <v>7.5871000000000004</v>
      </c>
      <c r="I373" s="39" t="s">
        <v>763</v>
      </c>
      <c r="J373" s="43">
        <v>47776</v>
      </c>
      <c r="K373" s="39">
        <v>326.161</v>
      </c>
      <c r="L373" s="39">
        <v>1</v>
      </c>
      <c r="M373" s="39" t="s">
        <v>1484</v>
      </c>
      <c r="N373" s="39" t="s">
        <v>761</v>
      </c>
      <c r="O373" s="39" t="s">
        <v>154</v>
      </c>
      <c r="P373" s="39">
        <v>3.0372591280000001</v>
      </c>
      <c r="Q373" s="39" t="s">
        <v>24</v>
      </c>
      <c r="R373" s="39" t="s">
        <v>22</v>
      </c>
      <c r="S373" s="39" t="s">
        <v>38</v>
      </c>
    </row>
    <row r="374" spans="1:19" x14ac:dyDescent="0.25">
      <c r="A374" s="40" t="s">
        <v>1499</v>
      </c>
      <c r="B374" s="40"/>
      <c r="C374" s="40" t="s">
        <v>761</v>
      </c>
      <c r="D374" s="40">
        <v>1390000</v>
      </c>
      <c r="E374" s="40">
        <v>1386658.44</v>
      </c>
      <c r="F374" s="40">
        <v>1372077.34</v>
      </c>
      <c r="G374" s="40" t="s">
        <v>762</v>
      </c>
      <c r="H374" s="40">
        <v>7.5871000000000004</v>
      </c>
      <c r="I374" s="40" t="s">
        <v>763</v>
      </c>
      <c r="J374" s="44">
        <v>47776</v>
      </c>
      <c r="K374" s="40">
        <v>326.161</v>
      </c>
      <c r="L374" s="40">
        <v>1</v>
      </c>
      <c r="M374" s="40" t="s">
        <v>1484</v>
      </c>
      <c r="N374" s="40" t="s">
        <v>761</v>
      </c>
      <c r="O374" s="40" t="s">
        <v>154</v>
      </c>
      <c r="P374" s="40">
        <v>3.0372591280000001</v>
      </c>
      <c r="Q374" s="40" t="s">
        <v>24</v>
      </c>
      <c r="R374" s="40" t="s">
        <v>22</v>
      </c>
      <c r="S374" s="40" t="s">
        <v>38</v>
      </c>
    </row>
    <row r="375" spans="1:19" x14ac:dyDescent="0.25">
      <c r="A375" s="39" t="s">
        <v>1499</v>
      </c>
      <c r="B375" s="39"/>
      <c r="C375" s="39" t="s">
        <v>1332</v>
      </c>
      <c r="D375" s="39">
        <v>4000000</v>
      </c>
      <c r="E375" s="39">
        <v>4014980</v>
      </c>
      <c r="F375" s="39">
        <v>4000000</v>
      </c>
      <c r="G375" s="39" t="s">
        <v>755</v>
      </c>
      <c r="H375" s="39">
        <v>6.9684600000000003</v>
      </c>
      <c r="I375" s="39" t="s">
        <v>1333</v>
      </c>
      <c r="J375" s="43">
        <v>50520</v>
      </c>
      <c r="K375" s="39">
        <v>265</v>
      </c>
      <c r="L375" s="39">
        <v>1</v>
      </c>
      <c r="M375" s="39" t="s">
        <v>1484</v>
      </c>
      <c r="N375" s="39" t="s">
        <v>1332</v>
      </c>
      <c r="O375" s="39" t="s">
        <v>145</v>
      </c>
      <c r="P375" s="39">
        <v>9.4915971619999997</v>
      </c>
      <c r="Q375" s="39" t="s">
        <v>28</v>
      </c>
      <c r="R375" s="39" t="s">
        <v>33</v>
      </c>
      <c r="S375" s="39" t="s">
        <v>34</v>
      </c>
    </row>
    <row r="376" spans="1:19" x14ac:dyDescent="0.25">
      <c r="A376" s="40" t="s">
        <v>1499</v>
      </c>
      <c r="B376" s="40"/>
      <c r="C376" s="40" t="s">
        <v>1322</v>
      </c>
      <c r="D376" s="40">
        <v>5625000</v>
      </c>
      <c r="E376" s="40">
        <v>5658750</v>
      </c>
      <c r="F376" s="40">
        <v>5625000</v>
      </c>
      <c r="G376" s="40" t="s">
        <v>755</v>
      </c>
      <c r="H376" s="40">
        <v>7.4684600000000003</v>
      </c>
      <c r="I376" s="40" t="s">
        <v>1323</v>
      </c>
      <c r="J376" s="44">
        <v>50246</v>
      </c>
      <c r="K376" s="40">
        <v>315</v>
      </c>
      <c r="L376" s="40">
        <v>1</v>
      </c>
      <c r="M376" s="40" t="s">
        <v>1484</v>
      </c>
      <c r="N376" s="40" t="s">
        <v>1322</v>
      </c>
      <c r="O376" s="40" t="s">
        <v>186</v>
      </c>
      <c r="P376" s="40">
        <v>8.8980780819999996</v>
      </c>
      <c r="Q376" s="40" t="s">
        <v>28</v>
      </c>
      <c r="R376" s="40" t="s">
        <v>33</v>
      </c>
      <c r="S376" s="40" t="s">
        <v>38</v>
      </c>
    </row>
    <row r="377" spans="1:19" x14ac:dyDescent="0.25">
      <c r="A377" s="39" t="s">
        <v>1499</v>
      </c>
      <c r="B377" s="39"/>
      <c r="C377" s="39" t="s">
        <v>1324</v>
      </c>
      <c r="D377" s="39">
        <v>9000000</v>
      </c>
      <c r="E377" s="39">
        <v>9033453</v>
      </c>
      <c r="F377" s="39">
        <v>9000000</v>
      </c>
      <c r="G377" s="39" t="s">
        <v>755</v>
      </c>
      <c r="H377" s="39">
        <v>7.81846</v>
      </c>
      <c r="I377" s="39" t="s">
        <v>1325</v>
      </c>
      <c r="J377" s="43">
        <v>50246</v>
      </c>
      <c r="K377" s="39">
        <v>350</v>
      </c>
      <c r="L377" s="39">
        <v>1</v>
      </c>
      <c r="M377" s="39" t="s">
        <v>1484</v>
      </c>
      <c r="N377" s="39" t="s">
        <v>1324</v>
      </c>
      <c r="O377" s="39" t="s">
        <v>186</v>
      </c>
      <c r="P377" s="39">
        <v>8.1162619249999999</v>
      </c>
      <c r="Q377" s="39" t="s">
        <v>28</v>
      </c>
      <c r="R377" s="39" t="s">
        <v>33</v>
      </c>
      <c r="S377" s="39" t="s">
        <v>38</v>
      </c>
    </row>
    <row r="378" spans="1:19" x14ac:dyDescent="0.25">
      <c r="A378" s="40" t="s">
        <v>1499</v>
      </c>
      <c r="B378" s="40"/>
      <c r="C378" s="40" t="s">
        <v>754</v>
      </c>
      <c r="D378" s="40">
        <v>4250000</v>
      </c>
      <c r="E378" s="40">
        <v>4273090.25</v>
      </c>
      <c r="F378" s="40">
        <v>4250000</v>
      </c>
      <c r="G378" s="40" t="s">
        <v>755</v>
      </c>
      <c r="H378" s="40">
        <v>6.3254900000000003</v>
      </c>
      <c r="I378" s="40" t="s">
        <v>756</v>
      </c>
      <c r="J378" s="44">
        <v>50333</v>
      </c>
      <c r="K378" s="40">
        <v>200</v>
      </c>
      <c r="L378" s="40">
        <v>1</v>
      </c>
      <c r="M378" s="40" t="s">
        <v>1484</v>
      </c>
      <c r="N378" s="40" t="s">
        <v>754</v>
      </c>
      <c r="O378" s="40" t="s">
        <v>187</v>
      </c>
      <c r="P378" s="40">
        <v>8.5544359290000003</v>
      </c>
      <c r="Q378" s="40" t="s">
        <v>24</v>
      </c>
      <c r="R378" s="40" t="s">
        <v>33</v>
      </c>
      <c r="S378" s="40" t="s">
        <v>34</v>
      </c>
    </row>
    <row r="379" spans="1:19" x14ac:dyDescent="0.25">
      <c r="A379" s="39" t="s">
        <v>1499</v>
      </c>
      <c r="B379" s="39"/>
      <c r="C379" s="39" t="s">
        <v>1326</v>
      </c>
      <c r="D379" s="39">
        <v>5750000</v>
      </c>
      <c r="E379" s="39">
        <v>5764472.75</v>
      </c>
      <c r="F379" s="39">
        <v>5750000</v>
      </c>
      <c r="G379" s="39" t="s">
        <v>755</v>
      </c>
      <c r="H379" s="39">
        <v>7.4754899999999997</v>
      </c>
      <c r="I379" s="39" t="s">
        <v>1327</v>
      </c>
      <c r="J379" s="43">
        <v>50333</v>
      </c>
      <c r="K379" s="39">
        <v>315</v>
      </c>
      <c r="L379" s="39">
        <v>1</v>
      </c>
      <c r="M379" s="39" t="s">
        <v>1484</v>
      </c>
      <c r="N379" s="39" t="s">
        <v>1326</v>
      </c>
      <c r="O379" s="39" t="s">
        <v>187</v>
      </c>
      <c r="P379" s="39">
        <v>9.1002632279999993</v>
      </c>
      <c r="Q379" s="39" t="s">
        <v>28</v>
      </c>
      <c r="R379" s="39" t="s">
        <v>33</v>
      </c>
      <c r="S379" s="39" t="s">
        <v>38</v>
      </c>
    </row>
    <row r="380" spans="1:19" x14ac:dyDescent="0.25">
      <c r="A380" s="40" t="s">
        <v>1499</v>
      </c>
      <c r="B380" s="40" t="s">
        <v>1530</v>
      </c>
      <c r="C380" s="40" t="s">
        <v>1330</v>
      </c>
      <c r="D380" s="40">
        <v>5675000</v>
      </c>
      <c r="E380" s="40">
        <v>5685896</v>
      </c>
      <c r="F380" s="40">
        <v>5675000</v>
      </c>
      <c r="G380" s="40" t="s">
        <v>755</v>
      </c>
      <c r="H380" s="40">
        <v>7.6871</v>
      </c>
      <c r="I380" s="40" t="s">
        <v>1331</v>
      </c>
      <c r="J380" s="44">
        <v>49237</v>
      </c>
      <c r="K380" s="40">
        <v>336.161</v>
      </c>
      <c r="L380" s="40">
        <v>1</v>
      </c>
      <c r="M380" s="40" t="s">
        <v>1484</v>
      </c>
      <c r="N380" s="40" t="s">
        <v>1330</v>
      </c>
      <c r="O380" s="40" t="s">
        <v>186</v>
      </c>
      <c r="P380" s="40">
        <v>6.3238329870000003</v>
      </c>
      <c r="Q380" s="40" t="s">
        <v>28</v>
      </c>
      <c r="R380" s="40" t="s">
        <v>29</v>
      </c>
      <c r="S380" s="40" t="s">
        <v>38</v>
      </c>
    </row>
    <row r="381" spans="1:19" x14ac:dyDescent="0.25">
      <c r="A381" s="39" t="s">
        <v>1499</v>
      </c>
      <c r="B381" s="39" t="s">
        <v>1530</v>
      </c>
      <c r="C381" s="39" t="s">
        <v>1330</v>
      </c>
      <c r="D381" s="39">
        <v>430000</v>
      </c>
      <c r="E381" s="39">
        <v>430825.6</v>
      </c>
      <c r="F381" s="39">
        <v>430516.82</v>
      </c>
      <c r="G381" s="39" t="s">
        <v>755</v>
      </c>
      <c r="H381" s="39">
        <v>7.6871</v>
      </c>
      <c r="I381" s="39" t="s">
        <v>1331</v>
      </c>
      <c r="J381" s="43">
        <v>49237</v>
      </c>
      <c r="K381" s="39">
        <v>336.161</v>
      </c>
      <c r="L381" s="39">
        <v>1</v>
      </c>
      <c r="M381" s="39" t="s">
        <v>1484</v>
      </c>
      <c r="N381" s="39" t="s">
        <v>1330</v>
      </c>
      <c r="O381" s="39" t="s">
        <v>186</v>
      </c>
      <c r="P381" s="39">
        <v>6.3238329870000003</v>
      </c>
      <c r="Q381" s="39" t="s">
        <v>28</v>
      </c>
      <c r="R381" s="39" t="s">
        <v>29</v>
      </c>
      <c r="S381" s="39" t="s">
        <v>38</v>
      </c>
    </row>
    <row r="382" spans="1:19" x14ac:dyDescent="0.25">
      <c r="A382" s="40" t="s">
        <v>1499</v>
      </c>
      <c r="B382" s="40"/>
      <c r="C382" s="40" t="s">
        <v>1330</v>
      </c>
      <c r="D382" s="40">
        <v>440000</v>
      </c>
      <c r="E382" s="40">
        <v>440844.79999999999</v>
      </c>
      <c r="F382" s="40">
        <v>439869.53</v>
      </c>
      <c r="G382" s="40" t="s">
        <v>755</v>
      </c>
      <c r="H382" s="40">
        <v>7.6871</v>
      </c>
      <c r="I382" s="40" t="s">
        <v>1331</v>
      </c>
      <c r="J382" s="44">
        <v>49237</v>
      </c>
      <c r="K382" s="40">
        <v>336.161</v>
      </c>
      <c r="L382" s="40">
        <v>1</v>
      </c>
      <c r="M382" s="40" t="s">
        <v>1484</v>
      </c>
      <c r="N382" s="40" t="s">
        <v>1330</v>
      </c>
      <c r="O382" s="40" t="s">
        <v>186</v>
      </c>
      <c r="P382" s="40">
        <v>6.3238329870000003</v>
      </c>
      <c r="Q382" s="40" t="s">
        <v>28</v>
      </c>
      <c r="R382" s="40" t="s">
        <v>29</v>
      </c>
      <c r="S382" s="40" t="s">
        <v>38</v>
      </c>
    </row>
    <row r="383" spans="1:19" x14ac:dyDescent="0.25">
      <c r="A383" s="39" t="s">
        <v>1499</v>
      </c>
      <c r="B383" s="39"/>
      <c r="C383" s="39" t="s">
        <v>1328</v>
      </c>
      <c r="D383" s="39">
        <v>5750000</v>
      </c>
      <c r="E383" s="39">
        <v>5767503</v>
      </c>
      <c r="F383" s="39">
        <v>5750000</v>
      </c>
      <c r="G383" s="39" t="s">
        <v>755</v>
      </c>
      <c r="H383" s="39">
        <v>7.7870999999999997</v>
      </c>
      <c r="I383" s="39" t="s">
        <v>1329</v>
      </c>
      <c r="J383" s="43">
        <v>49146</v>
      </c>
      <c r="K383" s="39">
        <v>346.161</v>
      </c>
      <c r="L383" s="39">
        <v>1</v>
      </c>
      <c r="M383" s="39" t="s">
        <v>1484</v>
      </c>
      <c r="N383" s="39" t="s">
        <v>1328</v>
      </c>
      <c r="O383" s="39" t="s">
        <v>187</v>
      </c>
      <c r="P383" s="39">
        <v>6.1146404959999998</v>
      </c>
      <c r="Q383" s="39" t="s">
        <v>28</v>
      </c>
      <c r="R383" s="39" t="s">
        <v>29</v>
      </c>
      <c r="S383" s="39" t="s">
        <v>38</v>
      </c>
    </row>
    <row r="384" spans="1:19" x14ac:dyDescent="0.25">
      <c r="A384" s="40" t="s">
        <v>1499</v>
      </c>
      <c r="B384" s="40"/>
      <c r="C384" s="40" t="s">
        <v>1328</v>
      </c>
      <c r="D384" s="40">
        <v>350000</v>
      </c>
      <c r="E384" s="40">
        <v>351065.4</v>
      </c>
      <c r="F384" s="40">
        <v>350059.5</v>
      </c>
      <c r="G384" s="40" t="s">
        <v>755</v>
      </c>
      <c r="H384" s="40">
        <v>7.7870999999999997</v>
      </c>
      <c r="I384" s="40" t="s">
        <v>1329</v>
      </c>
      <c r="J384" s="44">
        <v>49146</v>
      </c>
      <c r="K384" s="40">
        <v>346.161</v>
      </c>
      <c r="L384" s="40">
        <v>1</v>
      </c>
      <c r="M384" s="40" t="s">
        <v>1484</v>
      </c>
      <c r="N384" s="40" t="s">
        <v>1328</v>
      </c>
      <c r="O384" s="40" t="s">
        <v>187</v>
      </c>
      <c r="P384" s="40">
        <v>6.1146404959999998</v>
      </c>
      <c r="Q384" s="40" t="s">
        <v>28</v>
      </c>
      <c r="R384" s="40" t="s">
        <v>29</v>
      </c>
      <c r="S384" s="40" t="s">
        <v>38</v>
      </c>
    </row>
    <row r="385" spans="1:19" x14ac:dyDescent="0.25">
      <c r="A385" s="39" t="s">
        <v>1499</v>
      </c>
      <c r="B385" s="39"/>
      <c r="C385" s="39" t="s">
        <v>1328</v>
      </c>
      <c r="D385" s="39">
        <v>720000</v>
      </c>
      <c r="E385" s="39">
        <v>722191.68</v>
      </c>
      <c r="F385" s="39">
        <v>720751.68</v>
      </c>
      <c r="G385" s="39" t="s">
        <v>755</v>
      </c>
      <c r="H385" s="39">
        <v>7.7870999999999997</v>
      </c>
      <c r="I385" s="39" t="s">
        <v>1329</v>
      </c>
      <c r="J385" s="43">
        <v>49146</v>
      </c>
      <c r="K385" s="39">
        <v>346.161</v>
      </c>
      <c r="L385" s="39">
        <v>1</v>
      </c>
      <c r="M385" s="39" t="s">
        <v>1484</v>
      </c>
      <c r="N385" s="39" t="s">
        <v>1328</v>
      </c>
      <c r="O385" s="39" t="s">
        <v>187</v>
      </c>
      <c r="P385" s="39">
        <v>6.1146404959999998</v>
      </c>
      <c r="Q385" s="39" t="s">
        <v>28</v>
      </c>
      <c r="R385" s="39" t="s">
        <v>29</v>
      </c>
      <c r="S385" s="39" t="s">
        <v>38</v>
      </c>
    </row>
    <row r="386" spans="1:19" x14ac:dyDescent="0.25">
      <c r="A386" s="40" t="s">
        <v>1499</v>
      </c>
      <c r="B386" s="40"/>
      <c r="C386" s="40" t="s">
        <v>1334</v>
      </c>
      <c r="D386" s="40">
        <v>5700000</v>
      </c>
      <c r="E386" s="40">
        <v>5718849.9000000004</v>
      </c>
      <c r="F386" s="40">
        <v>5700000</v>
      </c>
      <c r="G386" s="40" t="s">
        <v>755</v>
      </c>
      <c r="H386" s="40">
        <v>7.4184599999999996</v>
      </c>
      <c r="I386" s="40" t="s">
        <v>1335</v>
      </c>
      <c r="J386" s="44">
        <v>50338</v>
      </c>
      <c r="K386" s="40">
        <v>310</v>
      </c>
      <c r="L386" s="40">
        <v>1</v>
      </c>
      <c r="M386" s="40" t="s">
        <v>1484</v>
      </c>
      <c r="N386" s="40" t="s">
        <v>1334</v>
      </c>
      <c r="O386" s="40" t="s">
        <v>145</v>
      </c>
      <c r="P386" s="40">
        <v>9.0454779930000004</v>
      </c>
      <c r="Q386" s="40" t="s">
        <v>28</v>
      </c>
      <c r="R386" s="40" t="s">
        <v>33</v>
      </c>
      <c r="S386" s="40" t="s">
        <v>38</v>
      </c>
    </row>
    <row r="387" spans="1:19" x14ac:dyDescent="0.25">
      <c r="A387" s="39" t="s">
        <v>1499</v>
      </c>
      <c r="B387" s="39"/>
      <c r="C387" s="39" t="s">
        <v>562</v>
      </c>
      <c r="D387" s="39">
        <v>3000000</v>
      </c>
      <c r="E387" s="39">
        <v>3006405</v>
      </c>
      <c r="F387" s="39">
        <v>3000000</v>
      </c>
      <c r="G387" s="39" t="s">
        <v>755</v>
      </c>
      <c r="H387" s="39">
        <v>7.2966699999999998</v>
      </c>
      <c r="I387" s="39" t="s">
        <v>561</v>
      </c>
      <c r="J387" s="43">
        <v>49471</v>
      </c>
      <c r="K387" s="39">
        <v>300</v>
      </c>
      <c r="L387" s="39">
        <v>1</v>
      </c>
      <c r="M387" s="39" t="s">
        <v>1484</v>
      </c>
      <c r="N387" s="39" t="s">
        <v>562</v>
      </c>
      <c r="O387" s="39" t="s">
        <v>145</v>
      </c>
      <c r="P387" s="39">
        <v>6.6238496140000001</v>
      </c>
      <c r="Q387" s="39" t="s">
        <v>28</v>
      </c>
      <c r="R387" s="39" t="s">
        <v>29</v>
      </c>
      <c r="S387" s="39" t="s">
        <v>38</v>
      </c>
    </row>
    <row r="388" spans="1:19" x14ac:dyDescent="0.25">
      <c r="A388" s="40" t="s">
        <v>1499</v>
      </c>
      <c r="B388" s="40"/>
      <c r="C388" s="40" t="s">
        <v>1336</v>
      </c>
      <c r="D388" s="40">
        <v>5000000</v>
      </c>
      <c r="E388" s="40">
        <v>5018740</v>
      </c>
      <c r="F388" s="40">
        <v>4665000</v>
      </c>
      <c r="G388" s="40" t="s">
        <v>1337</v>
      </c>
      <c r="H388" s="40">
        <v>7.8254900000000003</v>
      </c>
      <c r="I388" s="40" t="s">
        <v>1338</v>
      </c>
      <c r="J388" s="44">
        <v>49419</v>
      </c>
      <c r="K388" s="40">
        <v>350</v>
      </c>
      <c r="L388" s="40">
        <v>1</v>
      </c>
      <c r="M388" s="40" t="s">
        <v>1484</v>
      </c>
      <c r="N388" s="40" t="s">
        <v>1336</v>
      </c>
      <c r="O388" s="40" t="s">
        <v>122</v>
      </c>
      <c r="P388" s="40">
        <v>6.5441890799999998</v>
      </c>
      <c r="Q388" s="40" t="s">
        <v>28</v>
      </c>
      <c r="R388" s="40" t="s">
        <v>29</v>
      </c>
      <c r="S388" s="40" t="s">
        <v>38</v>
      </c>
    </row>
    <row r="389" spans="1:19" x14ac:dyDescent="0.25">
      <c r="A389" s="39" t="s">
        <v>1499</v>
      </c>
      <c r="B389" s="39" t="s">
        <v>1530</v>
      </c>
      <c r="C389" s="39" t="s">
        <v>1344</v>
      </c>
      <c r="D389" s="39">
        <v>3875000</v>
      </c>
      <c r="E389" s="39">
        <v>3881897.5</v>
      </c>
      <c r="F389" s="39">
        <v>3875000</v>
      </c>
      <c r="G389" s="39" t="s">
        <v>1345</v>
      </c>
      <c r="H389" s="39">
        <v>7.6793800000000001</v>
      </c>
      <c r="I389" s="39" t="s">
        <v>1346</v>
      </c>
      <c r="J389" s="43">
        <v>49141</v>
      </c>
      <c r="K389" s="39">
        <v>336.161</v>
      </c>
      <c r="L389" s="39">
        <v>1</v>
      </c>
      <c r="M389" s="39" t="s">
        <v>1484</v>
      </c>
      <c r="N389" s="39" t="s">
        <v>1344</v>
      </c>
      <c r="O389" s="39" t="s">
        <v>188</v>
      </c>
      <c r="P389" s="39">
        <v>6.143793413</v>
      </c>
      <c r="Q389" s="39" t="s">
        <v>28</v>
      </c>
      <c r="R389" s="39" t="s">
        <v>29</v>
      </c>
      <c r="S389" s="39" t="s">
        <v>38</v>
      </c>
    </row>
    <row r="390" spans="1:19" x14ac:dyDescent="0.25">
      <c r="A390" s="40" t="s">
        <v>1499</v>
      </c>
      <c r="B390" s="40"/>
      <c r="C390" s="40" t="s">
        <v>566</v>
      </c>
      <c r="D390" s="40">
        <v>1450000</v>
      </c>
      <c r="E390" s="40">
        <v>1452053.2</v>
      </c>
      <c r="F390" s="40">
        <v>1450000</v>
      </c>
      <c r="G390" s="40" t="s">
        <v>564</v>
      </c>
      <c r="H390" s="40">
        <v>7.32456</v>
      </c>
      <c r="I390" s="40" t="s">
        <v>565</v>
      </c>
      <c r="J390" s="44">
        <v>50606</v>
      </c>
      <c r="K390" s="40">
        <v>305</v>
      </c>
      <c r="L390" s="40">
        <v>1</v>
      </c>
      <c r="M390" s="40" t="s">
        <v>1484</v>
      </c>
      <c r="N390" s="40" t="s">
        <v>566</v>
      </c>
      <c r="O390" s="40" t="s">
        <v>147</v>
      </c>
      <c r="P390" s="40">
        <v>9.6650668999999994</v>
      </c>
      <c r="Q390" s="40" t="s">
        <v>28</v>
      </c>
      <c r="R390" s="40" t="s">
        <v>33</v>
      </c>
      <c r="S390" s="40" t="s">
        <v>38</v>
      </c>
    </row>
    <row r="391" spans="1:19" x14ac:dyDescent="0.25">
      <c r="A391" s="39" t="s">
        <v>1499</v>
      </c>
      <c r="B391" s="39" t="s">
        <v>1530</v>
      </c>
      <c r="C391" s="39" t="s">
        <v>1347</v>
      </c>
      <c r="D391" s="39">
        <v>2410000</v>
      </c>
      <c r="E391" s="39">
        <v>2412863.08</v>
      </c>
      <c r="F391" s="39">
        <v>2400164.79</v>
      </c>
      <c r="G391" s="39" t="s">
        <v>373</v>
      </c>
      <c r="H391" s="39">
        <v>8.2791599999999992</v>
      </c>
      <c r="I391" s="39" t="s">
        <v>1348</v>
      </c>
      <c r="J391" s="43">
        <v>48684</v>
      </c>
      <c r="K391" s="39">
        <v>396.161</v>
      </c>
      <c r="L391" s="39">
        <v>1</v>
      </c>
      <c r="M391" s="39" t="s">
        <v>1484</v>
      </c>
      <c r="N391" s="39" t="s">
        <v>1347</v>
      </c>
      <c r="O391" s="39" t="s">
        <v>148</v>
      </c>
      <c r="P391" s="39">
        <v>4.7464309619999998</v>
      </c>
      <c r="Q391" s="39" t="s">
        <v>28</v>
      </c>
      <c r="R391" s="39" t="s">
        <v>25</v>
      </c>
      <c r="S391" s="39" t="s">
        <v>38</v>
      </c>
    </row>
    <row r="392" spans="1:19" x14ac:dyDescent="0.25">
      <c r="A392" s="40" t="s">
        <v>1499</v>
      </c>
      <c r="B392" s="40" t="s">
        <v>1530</v>
      </c>
      <c r="C392" s="40" t="s">
        <v>1349</v>
      </c>
      <c r="D392" s="40">
        <v>5450000</v>
      </c>
      <c r="E392" s="40">
        <v>5416231.7999999998</v>
      </c>
      <c r="F392" s="40">
        <v>5449918.25</v>
      </c>
      <c r="G392" s="40" t="s">
        <v>373</v>
      </c>
      <c r="H392" s="40">
        <v>8.0870999999999995</v>
      </c>
      <c r="I392" s="40" t="s">
        <v>1350</v>
      </c>
      <c r="J392" s="44">
        <v>49054</v>
      </c>
      <c r="K392" s="40">
        <v>376.161</v>
      </c>
      <c r="L392" s="40">
        <v>1</v>
      </c>
      <c r="M392" s="40" t="s">
        <v>1484</v>
      </c>
      <c r="N392" s="40" t="s">
        <v>1349</v>
      </c>
      <c r="O392" s="40" t="s">
        <v>148</v>
      </c>
      <c r="P392" s="40">
        <v>6.0135903199999996</v>
      </c>
      <c r="Q392" s="40" t="s">
        <v>28</v>
      </c>
      <c r="R392" s="40" t="s">
        <v>29</v>
      </c>
      <c r="S392" s="40" t="s">
        <v>38</v>
      </c>
    </row>
    <row r="393" spans="1:19" x14ac:dyDescent="0.25">
      <c r="A393" s="39" t="s">
        <v>1499</v>
      </c>
      <c r="B393" s="39" t="s">
        <v>1530</v>
      </c>
      <c r="C393" s="39" t="s">
        <v>1349</v>
      </c>
      <c r="D393" s="39">
        <v>260000</v>
      </c>
      <c r="E393" s="39">
        <v>258389.04</v>
      </c>
      <c r="F393" s="39">
        <v>254688.72</v>
      </c>
      <c r="G393" s="39" t="s">
        <v>373</v>
      </c>
      <c r="H393" s="39">
        <v>8.0870999999999995</v>
      </c>
      <c r="I393" s="39" t="s">
        <v>1350</v>
      </c>
      <c r="J393" s="43">
        <v>49054</v>
      </c>
      <c r="K393" s="39">
        <v>376.161</v>
      </c>
      <c r="L393" s="39">
        <v>1</v>
      </c>
      <c r="M393" s="39" t="s">
        <v>1484</v>
      </c>
      <c r="N393" s="39" t="s">
        <v>1349</v>
      </c>
      <c r="O393" s="39" t="s">
        <v>148</v>
      </c>
      <c r="P393" s="39">
        <v>6.0135903199999996</v>
      </c>
      <c r="Q393" s="39" t="s">
        <v>28</v>
      </c>
      <c r="R393" s="39" t="s">
        <v>29</v>
      </c>
      <c r="S393" s="39" t="s">
        <v>38</v>
      </c>
    </row>
    <row r="394" spans="1:19" x14ac:dyDescent="0.25">
      <c r="A394" s="40" t="s">
        <v>1499</v>
      </c>
      <c r="B394" s="40" t="s">
        <v>1530</v>
      </c>
      <c r="C394" s="40" t="s">
        <v>1351</v>
      </c>
      <c r="D394" s="40">
        <v>4500000</v>
      </c>
      <c r="E394" s="40">
        <v>4473166.5</v>
      </c>
      <c r="F394" s="40">
        <v>3882150</v>
      </c>
      <c r="G394" s="40" t="s">
        <v>762</v>
      </c>
      <c r="H394" s="40">
        <v>7.6175499999999996</v>
      </c>
      <c r="I394" s="40" t="s">
        <v>1352</v>
      </c>
      <c r="J394" s="44">
        <v>49324</v>
      </c>
      <c r="K394" s="40">
        <v>330</v>
      </c>
      <c r="L394" s="40">
        <v>1</v>
      </c>
      <c r="M394" s="40" t="s">
        <v>1484</v>
      </c>
      <c r="N394" s="40" t="s">
        <v>1351</v>
      </c>
      <c r="O394" s="40" t="s">
        <v>154</v>
      </c>
      <c r="P394" s="40">
        <v>6.551719952</v>
      </c>
      <c r="Q394" s="40" t="s">
        <v>28</v>
      </c>
      <c r="R394" s="40" t="s">
        <v>29</v>
      </c>
      <c r="S394" s="40" t="s">
        <v>38</v>
      </c>
    </row>
    <row r="395" spans="1:19" x14ac:dyDescent="0.25">
      <c r="A395" s="39" t="s">
        <v>1499</v>
      </c>
      <c r="B395" s="39"/>
      <c r="C395" s="39" t="s">
        <v>1351</v>
      </c>
      <c r="D395" s="39">
        <v>3291726</v>
      </c>
      <c r="E395" s="39">
        <v>3272097.44</v>
      </c>
      <c r="F395" s="39">
        <v>3291726</v>
      </c>
      <c r="G395" s="39" t="s">
        <v>762</v>
      </c>
      <c r="H395" s="39">
        <v>7.6175499999999996</v>
      </c>
      <c r="I395" s="39" t="s">
        <v>1352</v>
      </c>
      <c r="J395" s="43">
        <v>49324</v>
      </c>
      <c r="K395" s="39">
        <v>330</v>
      </c>
      <c r="L395" s="39">
        <v>1</v>
      </c>
      <c r="M395" s="39" t="s">
        <v>1484</v>
      </c>
      <c r="N395" s="39" t="s">
        <v>1351</v>
      </c>
      <c r="O395" s="39" t="s">
        <v>154</v>
      </c>
      <c r="P395" s="39">
        <v>6.551719952</v>
      </c>
      <c r="Q395" s="39" t="s">
        <v>28</v>
      </c>
      <c r="R395" s="39" t="s">
        <v>29</v>
      </c>
      <c r="S395" s="39" t="s">
        <v>38</v>
      </c>
    </row>
    <row r="396" spans="1:19" x14ac:dyDescent="0.25">
      <c r="A396" s="40" t="s">
        <v>1499</v>
      </c>
      <c r="B396" s="40" t="s">
        <v>1530</v>
      </c>
      <c r="C396" s="40" t="s">
        <v>1351</v>
      </c>
      <c r="D396" s="40">
        <v>7708273</v>
      </c>
      <c r="E396" s="40">
        <v>7662308.5700000003</v>
      </c>
      <c r="F396" s="40">
        <v>7708273</v>
      </c>
      <c r="G396" s="40" t="s">
        <v>762</v>
      </c>
      <c r="H396" s="40">
        <v>7.6175499999999996</v>
      </c>
      <c r="I396" s="40" t="s">
        <v>1352</v>
      </c>
      <c r="J396" s="44">
        <v>49324</v>
      </c>
      <c r="K396" s="40">
        <v>330</v>
      </c>
      <c r="L396" s="40">
        <v>1</v>
      </c>
      <c r="M396" s="40" t="s">
        <v>1484</v>
      </c>
      <c r="N396" s="40" t="s">
        <v>1351</v>
      </c>
      <c r="O396" s="40" t="s">
        <v>154</v>
      </c>
      <c r="P396" s="40">
        <v>6.551719952</v>
      </c>
      <c r="Q396" s="40" t="s">
        <v>28</v>
      </c>
      <c r="R396" s="40" t="s">
        <v>29</v>
      </c>
      <c r="S396" s="40" t="s">
        <v>38</v>
      </c>
    </row>
    <row r="397" spans="1:19" x14ac:dyDescent="0.25">
      <c r="A397" s="39" t="s">
        <v>1499</v>
      </c>
      <c r="B397" s="39" t="s">
        <v>1530</v>
      </c>
      <c r="C397" s="39" t="s">
        <v>1354</v>
      </c>
      <c r="D397" s="39">
        <v>7500000</v>
      </c>
      <c r="E397" s="39">
        <v>7469677.5</v>
      </c>
      <c r="F397" s="39">
        <v>7500000</v>
      </c>
      <c r="G397" s="39" t="s">
        <v>762</v>
      </c>
      <c r="H397" s="39">
        <v>7.7370999999999999</v>
      </c>
      <c r="I397" s="39" t="s">
        <v>1355</v>
      </c>
      <c r="J397" s="43">
        <v>49145</v>
      </c>
      <c r="K397" s="39">
        <v>341.161</v>
      </c>
      <c r="L397" s="39">
        <v>1</v>
      </c>
      <c r="M397" s="39" t="s">
        <v>1484</v>
      </c>
      <c r="N397" s="39" t="s">
        <v>1354</v>
      </c>
      <c r="O397" s="39" t="s">
        <v>154</v>
      </c>
      <c r="P397" s="39">
        <v>6.2655049209999998</v>
      </c>
      <c r="Q397" s="39" t="s">
        <v>28</v>
      </c>
      <c r="R397" s="39" t="s">
        <v>29</v>
      </c>
      <c r="S397" s="39" t="s">
        <v>38</v>
      </c>
    </row>
    <row r="398" spans="1:19" x14ac:dyDescent="0.25">
      <c r="A398" s="40" t="s">
        <v>1499</v>
      </c>
      <c r="B398" s="40"/>
      <c r="C398" s="40" t="s">
        <v>1356</v>
      </c>
      <c r="D398" s="40">
        <v>3112500</v>
      </c>
      <c r="E398" s="40">
        <v>3042468.75</v>
      </c>
      <c r="F398" s="40">
        <v>3112500</v>
      </c>
      <c r="G398" s="40" t="s">
        <v>762</v>
      </c>
      <c r="H398" s="40">
        <v>7.7870999999999997</v>
      </c>
      <c r="I398" s="40" t="s">
        <v>1357</v>
      </c>
      <c r="J398" s="44">
        <v>49329</v>
      </c>
      <c r="K398" s="40">
        <v>346.161</v>
      </c>
      <c r="L398" s="40">
        <v>1</v>
      </c>
      <c r="M398" s="40" t="s">
        <v>1484</v>
      </c>
      <c r="N398" s="40" t="s">
        <v>1356</v>
      </c>
      <c r="O398" s="40" t="s">
        <v>154</v>
      </c>
      <c r="P398" s="40">
        <v>6.4940700710000003</v>
      </c>
      <c r="Q398" s="40" t="s">
        <v>28</v>
      </c>
      <c r="R398" s="40" t="s">
        <v>29</v>
      </c>
      <c r="S398" s="40" t="s">
        <v>38</v>
      </c>
    </row>
    <row r="399" spans="1:19" x14ac:dyDescent="0.25">
      <c r="A399" s="39" t="s">
        <v>1499</v>
      </c>
      <c r="B399" s="39"/>
      <c r="C399" s="39" t="s">
        <v>1356</v>
      </c>
      <c r="D399" s="39">
        <v>220000</v>
      </c>
      <c r="E399" s="39">
        <v>215050</v>
      </c>
      <c r="F399" s="39">
        <v>215166.8</v>
      </c>
      <c r="G399" s="39" t="s">
        <v>762</v>
      </c>
      <c r="H399" s="39">
        <v>7.7870999999999997</v>
      </c>
      <c r="I399" s="39" t="s">
        <v>1357</v>
      </c>
      <c r="J399" s="43">
        <v>49329</v>
      </c>
      <c r="K399" s="39">
        <v>346.161</v>
      </c>
      <c r="L399" s="39">
        <v>1</v>
      </c>
      <c r="M399" s="39" t="s">
        <v>1484</v>
      </c>
      <c r="N399" s="39" t="s">
        <v>1356</v>
      </c>
      <c r="O399" s="39" t="s">
        <v>154</v>
      </c>
      <c r="P399" s="39">
        <v>6.4940700710000003</v>
      </c>
      <c r="Q399" s="39" t="s">
        <v>28</v>
      </c>
      <c r="R399" s="39" t="s">
        <v>29</v>
      </c>
      <c r="S399" s="39" t="s">
        <v>38</v>
      </c>
    </row>
    <row r="400" spans="1:19" x14ac:dyDescent="0.25">
      <c r="A400" s="40" t="s">
        <v>1499</v>
      </c>
      <c r="B400" s="40"/>
      <c r="C400" s="40" t="s">
        <v>1356</v>
      </c>
      <c r="D400" s="40">
        <v>220000</v>
      </c>
      <c r="E400" s="40">
        <v>215050</v>
      </c>
      <c r="F400" s="40">
        <v>217698.42</v>
      </c>
      <c r="G400" s="40" t="s">
        <v>762</v>
      </c>
      <c r="H400" s="40">
        <v>7.7870999999999997</v>
      </c>
      <c r="I400" s="40" t="s">
        <v>1357</v>
      </c>
      <c r="J400" s="44">
        <v>49329</v>
      </c>
      <c r="K400" s="40">
        <v>346.161</v>
      </c>
      <c r="L400" s="40">
        <v>1</v>
      </c>
      <c r="M400" s="40" t="s">
        <v>1484</v>
      </c>
      <c r="N400" s="40" t="s">
        <v>1356</v>
      </c>
      <c r="O400" s="40" t="s">
        <v>154</v>
      </c>
      <c r="P400" s="40">
        <v>6.4940700710000003</v>
      </c>
      <c r="Q400" s="40" t="s">
        <v>28</v>
      </c>
      <c r="R400" s="40" t="s">
        <v>29</v>
      </c>
      <c r="S400" s="40" t="s">
        <v>38</v>
      </c>
    </row>
    <row r="401" spans="1:19" x14ac:dyDescent="0.25">
      <c r="A401" s="39" t="s">
        <v>1499</v>
      </c>
      <c r="B401" s="39"/>
      <c r="C401" s="39" t="s">
        <v>775</v>
      </c>
      <c r="D401" s="39">
        <v>2500000</v>
      </c>
      <c r="E401" s="39">
        <v>2507935</v>
      </c>
      <c r="F401" s="39">
        <v>2500000</v>
      </c>
      <c r="G401" s="39" t="s">
        <v>771</v>
      </c>
      <c r="H401" s="39">
        <v>6.51755</v>
      </c>
      <c r="I401" s="39" t="s">
        <v>776</v>
      </c>
      <c r="J401" s="43">
        <v>50236</v>
      </c>
      <c r="K401" s="39">
        <v>220</v>
      </c>
      <c r="L401" s="39">
        <v>1</v>
      </c>
      <c r="M401" s="39" t="s">
        <v>1484</v>
      </c>
      <c r="N401" s="39" t="s">
        <v>775</v>
      </c>
      <c r="O401" s="39" t="s">
        <v>189</v>
      </c>
      <c r="P401" s="39">
        <v>7.8538810520000002</v>
      </c>
      <c r="Q401" s="39" t="s">
        <v>24</v>
      </c>
      <c r="R401" s="39" t="s">
        <v>29</v>
      </c>
      <c r="S401" s="39" t="s">
        <v>34</v>
      </c>
    </row>
    <row r="402" spans="1:19" x14ac:dyDescent="0.25">
      <c r="A402" s="40" t="s">
        <v>1499</v>
      </c>
      <c r="B402" s="40"/>
      <c r="C402" s="40" t="s">
        <v>770</v>
      </c>
      <c r="D402" s="40">
        <v>1280000</v>
      </c>
      <c r="E402" s="40">
        <v>1286672.6399999999</v>
      </c>
      <c r="F402" s="40">
        <v>1280000</v>
      </c>
      <c r="G402" s="40" t="s">
        <v>771</v>
      </c>
      <c r="H402" s="40">
        <v>8.0754900000000003</v>
      </c>
      <c r="I402" s="40" t="s">
        <v>772</v>
      </c>
      <c r="J402" s="44">
        <v>49968</v>
      </c>
      <c r="K402" s="40">
        <v>375</v>
      </c>
      <c r="L402" s="40">
        <v>1</v>
      </c>
      <c r="M402" s="40" t="s">
        <v>1484</v>
      </c>
      <c r="N402" s="40" t="s">
        <v>770</v>
      </c>
      <c r="O402" s="40" t="s">
        <v>190</v>
      </c>
      <c r="P402" s="40">
        <v>6.8904637400000004</v>
      </c>
      <c r="Q402" s="40" t="s">
        <v>24</v>
      </c>
      <c r="R402" s="40" t="s">
        <v>29</v>
      </c>
      <c r="S402" s="40" t="s">
        <v>38</v>
      </c>
    </row>
    <row r="403" spans="1:19" x14ac:dyDescent="0.25">
      <c r="A403" s="39" t="s">
        <v>1499</v>
      </c>
      <c r="B403" s="39"/>
      <c r="C403" s="39" t="s">
        <v>773</v>
      </c>
      <c r="D403" s="39">
        <v>7000000</v>
      </c>
      <c r="E403" s="39">
        <v>7044247</v>
      </c>
      <c r="F403" s="39">
        <v>7000000</v>
      </c>
      <c r="G403" s="39" t="s">
        <v>771</v>
      </c>
      <c r="H403" s="39">
        <v>7.1175499999999996</v>
      </c>
      <c r="I403" s="39" t="s">
        <v>774</v>
      </c>
      <c r="J403" s="43">
        <v>50145</v>
      </c>
      <c r="K403" s="39">
        <v>280</v>
      </c>
      <c r="L403" s="39">
        <v>1</v>
      </c>
      <c r="M403" s="39" t="s">
        <v>1484</v>
      </c>
      <c r="N403" s="39" t="s">
        <v>773</v>
      </c>
      <c r="O403" s="39" t="s">
        <v>190</v>
      </c>
      <c r="P403" s="39">
        <v>7.7469823199999999</v>
      </c>
      <c r="Q403" s="39" t="s">
        <v>24</v>
      </c>
      <c r="R403" s="39" t="s">
        <v>29</v>
      </c>
      <c r="S403" s="39" t="s">
        <v>38</v>
      </c>
    </row>
    <row r="404" spans="1:19" x14ac:dyDescent="0.25">
      <c r="A404" s="40" t="s">
        <v>1499</v>
      </c>
      <c r="B404" s="40" t="s">
        <v>1530</v>
      </c>
      <c r="C404" s="40" t="s">
        <v>1341</v>
      </c>
      <c r="D404" s="40">
        <v>13600000</v>
      </c>
      <c r="E404" s="40">
        <v>15291371.4</v>
      </c>
      <c r="F404" s="40">
        <v>15289800</v>
      </c>
      <c r="G404" s="40" t="s">
        <v>1342</v>
      </c>
      <c r="H404" s="40">
        <v>5.1239999999999997</v>
      </c>
      <c r="I404" s="40" t="s">
        <v>1343</v>
      </c>
      <c r="J404" s="44">
        <v>49145</v>
      </c>
      <c r="K404" s="40">
        <v>310</v>
      </c>
      <c r="L404" s="40">
        <v>1</v>
      </c>
      <c r="M404" s="40" t="s">
        <v>1484</v>
      </c>
      <c r="N404" s="40" t="s">
        <v>1341</v>
      </c>
      <c r="O404" s="40" t="s">
        <v>79</v>
      </c>
      <c r="P404" s="40">
        <v>4.8663184429999999</v>
      </c>
      <c r="Q404" s="40" t="s">
        <v>28</v>
      </c>
      <c r="R404" s="40" t="s">
        <v>25</v>
      </c>
      <c r="S404" s="40" t="s">
        <v>30</v>
      </c>
    </row>
    <row r="405" spans="1:19" x14ac:dyDescent="0.25">
      <c r="A405" s="39" t="s">
        <v>1499</v>
      </c>
      <c r="B405" s="39" t="s">
        <v>1530</v>
      </c>
      <c r="C405" s="39" t="s">
        <v>1159</v>
      </c>
      <c r="D405" s="39">
        <v>5000000</v>
      </c>
      <c r="E405" s="39">
        <v>5606524.96</v>
      </c>
      <c r="F405" s="39">
        <v>5621250</v>
      </c>
      <c r="G405" s="39" t="s">
        <v>1160</v>
      </c>
      <c r="H405" s="39">
        <v>5.1260000000000003</v>
      </c>
      <c r="I405" s="39" t="s">
        <v>1161</v>
      </c>
      <c r="J405" s="43">
        <v>49140</v>
      </c>
      <c r="K405" s="39">
        <v>310</v>
      </c>
      <c r="L405" s="39">
        <v>1</v>
      </c>
      <c r="M405" s="39" t="s">
        <v>1484</v>
      </c>
      <c r="N405" s="39" t="s">
        <v>1159</v>
      </c>
      <c r="O405" s="39" t="s">
        <v>191</v>
      </c>
      <c r="P405" s="39">
        <v>5.2211805839999998</v>
      </c>
      <c r="Q405" s="39" t="s">
        <v>28</v>
      </c>
      <c r="R405" s="39" t="s">
        <v>25</v>
      </c>
      <c r="S405" s="39" t="s">
        <v>30</v>
      </c>
    </row>
    <row r="406" spans="1:19" x14ac:dyDescent="0.25">
      <c r="A406" s="40" t="s">
        <v>1511</v>
      </c>
      <c r="B406" s="40"/>
      <c r="C406" s="40" t="s">
        <v>885</v>
      </c>
      <c r="D406" s="40">
        <v>8852418</v>
      </c>
      <c r="E406" s="40">
        <v>9018400.8399999999</v>
      </c>
      <c r="F406" s="40">
        <v>8852418</v>
      </c>
      <c r="G406" s="40" t="s">
        <v>635</v>
      </c>
      <c r="H406" s="40">
        <v>9.0254899999999996</v>
      </c>
      <c r="I406" s="40" t="s">
        <v>886</v>
      </c>
      <c r="J406" s="44">
        <v>50150</v>
      </c>
      <c r="K406" s="40">
        <v>470</v>
      </c>
      <c r="L406" s="40">
        <v>1</v>
      </c>
      <c r="M406" s="40" t="s">
        <v>1486</v>
      </c>
      <c r="N406" s="40" t="s">
        <v>885</v>
      </c>
      <c r="O406" s="40" t="s">
        <v>146</v>
      </c>
      <c r="P406" s="40">
        <v>8.1084960370000001</v>
      </c>
      <c r="Q406" s="40" t="s">
        <v>28</v>
      </c>
      <c r="R406" s="40" t="s">
        <v>33</v>
      </c>
      <c r="S406" s="40" t="s">
        <v>38</v>
      </c>
    </row>
    <row r="407" spans="1:19" x14ac:dyDescent="0.25">
      <c r="A407" s="39" t="s">
        <v>1511</v>
      </c>
      <c r="B407" s="39"/>
      <c r="C407" s="39" t="s">
        <v>1377</v>
      </c>
      <c r="D407" s="39">
        <v>6800000</v>
      </c>
      <c r="E407" s="39">
        <v>6737562.4000000004</v>
      </c>
      <c r="F407" s="39">
        <v>6800000</v>
      </c>
      <c r="G407" s="39" t="s">
        <v>635</v>
      </c>
      <c r="H407" s="39">
        <v>12.57549</v>
      </c>
      <c r="I407" s="39" t="s">
        <v>1378</v>
      </c>
      <c r="J407" s="43">
        <v>50150</v>
      </c>
      <c r="K407" s="39">
        <v>825</v>
      </c>
      <c r="L407" s="39">
        <v>1</v>
      </c>
      <c r="M407" s="39" t="s">
        <v>1486</v>
      </c>
      <c r="N407" s="39" t="s">
        <v>1377</v>
      </c>
      <c r="O407" s="39" t="s">
        <v>146</v>
      </c>
      <c r="P407" s="39">
        <v>8.6892004969999999</v>
      </c>
      <c r="Q407" s="39" t="s">
        <v>32</v>
      </c>
      <c r="R407" s="39" t="s">
        <v>33</v>
      </c>
      <c r="S407" s="39" t="s">
        <v>38</v>
      </c>
    </row>
    <row r="408" spans="1:19" x14ac:dyDescent="0.25">
      <c r="A408" s="40" t="s">
        <v>1511</v>
      </c>
      <c r="B408" s="40" t="s">
        <v>1533</v>
      </c>
      <c r="C408" s="40" t="s">
        <v>291</v>
      </c>
      <c r="D408" s="40">
        <v>15840641.0349</v>
      </c>
      <c r="E408" s="40">
        <v>14762748.779999999</v>
      </c>
      <c r="F408" s="40">
        <v>15840641.050000001</v>
      </c>
      <c r="G408" s="40" t="s">
        <v>289</v>
      </c>
      <c r="H408" s="40">
        <v>4.1500000000000004</v>
      </c>
      <c r="I408" s="40" t="s">
        <v>290</v>
      </c>
      <c r="J408" s="44">
        <v>48959</v>
      </c>
      <c r="K408" s="40"/>
      <c r="L408" s="40">
        <v>0.48001899999999997</v>
      </c>
      <c r="M408" s="40" t="s">
        <v>1486</v>
      </c>
      <c r="N408" s="40" t="s">
        <v>291</v>
      </c>
      <c r="O408" s="40" t="s">
        <v>99</v>
      </c>
      <c r="P408" s="40">
        <v>2.0965508439999998</v>
      </c>
      <c r="Q408" s="40" t="s">
        <v>28</v>
      </c>
      <c r="R408" s="40" t="s">
        <v>22</v>
      </c>
      <c r="S408" s="40" t="s">
        <v>26</v>
      </c>
    </row>
    <row r="409" spans="1:19" x14ac:dyDescent="0.25">
      <c r="A409" s="39" t="s">
        <v>1511</v>
      </c>
      <c r="B409" s="39" t="s">
        <v>1533</v>
      </c>
      <c r="C409" s="39" t="s">
        <v>323</v>
      </c>
      <c r="D409" s="39">
        <v>17308933.479336999</v>
      </c>
      <c r="E409" s="39">
        <v>16787190.300000001</v>
      </c>
      <c r="F409" s="39">
        <v>17308933.48</v>
      </c>
      <c r="G409" s="39" t="s">
        <v>321</v>
      </c>
      <c r="H409" s="39">
        <v>4.5</v>
      </c>
      <c r="I409" s="39" t="s">
        <v>322</v>
      </c>
      <c r="J409" s="43">
        <v>48959</v>
      </c>
      <c r="K409" s="39"/>
      <c r="L409" s="39">
        <v>0.39962900000000001</v>
      </c>
      <c r="M409" s="39" t="s">
        <v>1486</v>
      </c>
      <c r="N409" s="39" t="s">
        <v>323</v>
      </c>
      <c r="O409" s="39" t="s">
        <v>126</v>
      </c>
      <c r="P409" s="39">
        <v>1.172408734</v>
      </c>
      <c r="Q409" s="39" t="s">
        <v>28</v>
      </c>
      <c r="R409" s="39" t="s">
        <v>18</v>
      </c>
      <c r="S409" s="39" t="s">
        <v>26</v>
      </c>
    </row>
    <row r="410" spans="1:19" x14ac:dyDescent="0.25">
      <c r="A410" s="40" t="s">
        <v>1511</v>
      </c>
      <c r="B410" s="40" t="s">
        <v>1533</v>
      </c>
      <c r="C410" s="40" t="s">
        <v>1430</v>
      </c>
      <c r="D410" s="40">
        <v>2100000</v>
      </c>
      <c r="E410" s="40">
        <v>1999972.8</v>
      </c>
      <c r="F410" s="40">
        <v>2100000</v>
      </c>
      <c r="G410" s="40" t="s">
        <v>321</v>
      </c>
      <c r="H410" s="40">
        <v>8.5</v>
      </c>
      <c r="I410" s="40" t="s">
        <v>1431</v>
      </c>
      <c r="J410" s="44">
        <v>48959</v>
      </c>
      <c r="K410" s="40"/>
      <c r="L410" s="40">
        <v>1</v>
      </c>
      <c r="M410" s="40" t="s">
        <v>1486</v>
      </c>
      <c r="N410" s="40" t="s">
        <v>1430</v>
      </c>
      <c r="O410" s="40" t="s">
        <v>126</v>
      </c>
      <c r="P410" s="40">
        <v>1.623314245</v>
      </c>
      <c r="Q410" s="40" t="s">
        <v>32</v>
      </c>
      <c r="R410" s="40" t="s">
        <v>18</v>
      </c>
      <c r="S410" s="40" t="s">
        <v>38</v>
      </c>
    </row>
    <row r="411" spans="1:19" x14ac:dyDescent="0.25">
      <c r="A411" s="39" t="s">
        <v>1511</v>
      </c>
      <c r="B411" s="39" t="s">
        <v>1533</v>
      </c>
      <c r="C411" s="39" t="s">
        <v>325</v>
      </c>
      <c r="D411" s="39">
        <v>5186942.3865660001</v>
      </c>
      <c r="E411" s="39">
        <v>5123563.1399999997</v>
      </c>
      <c r="F411" s="39">
        <v>3837784.13</v>
      </c>
      <c r="G411" s="39" t="s">
        <v>321</v>
      </c>
      <c r="H411" s="39">
        <v>4.5</v>
      </c>
      <c r="I411" s="39" t="s">
        <v>324</v>
      </c>
      <c r="J411" s="43">
        <v>48775</v>
      </c>
      <c r="K411" s="39"/>
      <c r="L411" s="39">
        <v>0.13155900000000001</v>
      </c>
      <c r="M411" s="39" t="s">
        <v>1486</v>
      </c>
      <c r="N411" s="39" t="s">
        <v>325</v>
      </c>
      <c r="O411" s="39" t="s">
        <v>127</v>
      </c>
      <c r="P411" s="39">
        <v>0.38137399</v>
      </c>
      <c r="Q411" s="39" t="s">
        <v>28</v>
      </c>
      <c r="R411" s="39" t="s">
        <v>18</v>
      </c>
      <c r="S411" s="39" t="s">
        <v>26</v>
      </c>
    </row>
    <row r="412" spans="1:19" x14ac:dyDescent="0.25">
      <c r="A412" s="40" t="s">
        <v>1511</v>
      </c>
      <c r="B412" s="40" t="s">
        <v>1533</v>
      </c>
      <c r="C412" s="40" t="s">
        <v>1434</v>
      </c>
      <c r="D412" s="40">
        <v>9141891</v>
      </c>
      <c r="E412" s="40">
        <v>8864845.9900000002</v>
      </c>
      <c r="F412" s="40">
        <v>9141891</v>
      </c>
      <c r="G412" s="40" t="s">
        <v>321</v>
      </c>
      <c r="H412" s="40">
        <v>8.5</v>
      </c>
      <c r="I412" s="40" t="s">
        <v>1435</v>
      </c>
      <c r="J412" s="44">
        <v>48775</v>
      </c>
      <c r="K412" s="40"/>
      <c r="L412" s="40">
        <v>1</v>
      </c>
      <c r="M412" s="40" t="s">
        <v>1486</v>
      </c>
      <c r="N412" s="40" t="s">
        <v>1434</v>
      </c>
      <c r="O412" s="40" t="s">
        <v>127</v>
      </c>
      <c r="P412" s="40">
        <v>1.248734096</v>
      </c>
      <c r="Q412" s="40" t="s">
        <v>32</v>
      </c>
      <c r="R412" s="40" t="s">
        <v>18</v>
      </c>
      <c r="S412" s="40" t="s">
        <v>38</v>
      </c>
    </row>
    <row r="413" spans="1:19" x14ac:dyDescent="0.25">
      <c r="A413" s="39" t="s">
        <v>1511</v>
      </c>
      <c r="B413" s="39" t="s">
        <v>1533</v>
      </c>
      <c r="C413" s="39" t="s">
        <v>327</v>
      </c>
      <c r="D413" s="39">
        <v>524988.63878000004</v>
      </c>
      <c r="E413" s="39">
        <v>520488.96000000002</v>
      </c>
      <c r="F413" s="39">
        <v>524988.64</v>
      </c>
      <c r="G413" s="39" t="s">
        <v>321</v>
      </c>
      <c r="H413" s="39">
        <v>4.5</v>
      </c>
      <c r="I413" s="39" t="s">
        <v>326</v>
      </c>
      <c r="J413" s="43">
        <v>49140</v>
      </c>
      <c r="K413" s="39"/>
      <c r="L413" s="39">
        <v>8.4676000000000001E-2</v>
      </c>
      <c r="M413" s="39" t="s">
        <v>1486</v>
      </c>
      <c r="N413" s="39" t="s">
        <v>327</v>
      </c>
      <c r="O413" s="39" t="s">
        <v>126</v>
      </c>
      <c r="P413" s="39">
        <v>0.29289841999999999</v>
      </c>
      <c r="Q413" s="39" t="s">
        <v>28</v>
      </c>
      <c r="R413" s="39" t="s">
        <v>18</v>
      </c>
      <c r="S413" s="39" t="s">
        <v>26</v>
      </c>
    </row>
    <row r="414" spans="1:19" x14ac:dyDescent="0.25">
      <c r="A414" s="40" t="s">
        <v>1511</v>
      </c>
      <c r="B414" s="40" t="s">
        <v>1533</v>
      </c>
      <c r="C414" s="40" t="s">
        <v>1432</v>
      </c>
      <c r="D414" s="40">
        <v>7000000</v>
      </c>
      <c r="E414" s="40">
        <v>6833918</v>
      </c>
      <c r="F414" s="40">
        <v>7000000</v>
      </c>
      <c r="G414" s="40" t="s">
        <v>321</v>
      </c>
      <c r="H414" s="40">
        <v>8.5</v>
      </c>
      <c r="I414" s="40" t="s">
        <v>1433</v>
      </c>
      <c r="J414" s="44">
        <v>49140</v>
      </c>
      <c r="K414" s="40"/>
      <c r="L414" s="40">
        <v>1</v>
      </c>
      <c r="M414" s="40" t="s">
        <v>1486</v>
      </c>
      <c r="N414" s="40" t="s">
        <v>1432</v>
      </c>
      <c r="O414" s="40" t="s">
        <v>126</v>
      </c>
      <c r="P414" s="40">
        <v>1.0687953699999999</v>
      </c>
      <c r="Q414" s="40" t="s">
        <v>32</v>
      </c>
      <c r="R414" s="40" t="s">
        <v>18</v>
      </c>
      <c r="S414" s="40" t="s">
        <v>38</v>
      </c>
    </row>
    <row r="415" spans="1:19" x14ac:dyDescent="0.25">
      <c r="A415" s="39" t="s">
        <v>1511</v>
      </c>
      <c r="B415" s="39"/>
      <c r="C415" s="39" t="s">
        <v>1379</v>
      </c>
      <c r="D415" s="39">
        <v>7817224.9463999998</v>
      </c>
      <c r="E415" s="39">
        <v>7288780.54</v>
      </c>
      <c r="F415" s="39">
        <v>7817224.9400000004</v>
      </c>
      <c r="G415" s="39" t="s">
        <v>1380</v>
      </c>
      <c r="H415" s="39">
        <v>8.0791599999999999</v>
      </c>
      <c r="I415" s="39" t="s">
        <v>1381</v>
      </c>
      <c r="J415" s="43">
        <v>48959</v>
      </c>
      <c r="K415" s="39">
        <v>376.161</v>
      </c>
      <c r="L415" s="39">
        <v>0.86858100000000005</v>
      </c>
      <c r="M415" s="39" t="s">
        <v>1486</v>
      </c>
      <c r="N415" s="39" t="s">
        <v>1379</v>
      </c>
      <c r="O415" s="39" t="s">
        <v>146</v>
      </c>
      <c r="P415" s="39">
        <v>3.5174538740000001</v>
      </c>
      <c r="Q415" s="39" t="s">
        <v>32</v>
      </c>
      <c r="R415" s="39" t="s">
        <v>22</v>
      </c>
      <c r="S415" s="39" t="s">
        <v>38</v>
      </c>
    </row>
    <row r="416" spans="1:19" x14ac:dyDescent="0.25">
      <c r="A416" s="40" t="s">
        <v>1508</v>
      </c>
      <c r="B416" s="40" t="s">
        <v>1534</v>
      </c>
      <c r="C416" s="40" t="s">
        <v>740</v>
      </c>
      <c r="D416" s="40">
        <v>2248630.0092500001</v>
      </c>
      <c r="E416" s="40">
        <v>1734838.18</v>
      </c>
      <c r="F416" s="40">
        <v>2240759.7999999998</v>
      </c>
      <c r="G416" s="40" t="s">
        <v>192</v>
      </c>
      <c r="H416" s="40">
        <v>2.6</v>
      </c>
      <c r="I416" s="40" t="s">
        <v>741</v>
      </c>
      <c r="J416" s="44">
        <v>58637</v>
      </c>
      <c r="K416" s="40"/>
      <c r="L416" s="40">
        <v>0.89945200000000003</v>
      </c>
      <c r="M416" s="40" t="s">
        <v>1485</v>
      </c>
      <c r="N416" s="40" t="s">
        <v>740</v>
      </c>
      <c r="O416" s="40" t="s">
        <v>192</v>
      </c>
      <c r="P416" s="40">
        <v>4.5365796319999996</v>
      </c>
      <c r="Q416" s="40" t="s">
        <v>24</v>
      </c>
      <c r="R416" s="40" t="s">
        <v>25</v>
      </c>
      <c r="S416" s="40" t="s">
        <v>19</v>
      </c>
    </row>
    <row r="417" spans="1:19" x14ac:dyDescent="0.25">
      <c r="A417" s="39" t="s">
        <v>1508</v>
      </c>
      <c r="B417" s="39" t="s">
        <v>1534</v>
      </c>
      <c r="C417" s="39" t="s">
        <v>653</v>
      </c>
      <c r="D417" s="39">
        <v>4100000</v>
      </c>
      <c r="E417" s="39">
        <v>4019776.53</v>
      </c>
      <c r="F417" s="39">
        <v>4100000</v>
      </c>
      <c r="G417" s="39" t="s">
        <v>654</v>
      </c>
      <c r="H417" s="39">
        <v>2.06</v>
      </c>
      <c r="I417" s="39" t="s">
        <v>655</v>
      </c>
      <c r="J417" s="43">
        <v>55211</v>
      </c>
      <c r="K417" s="39"/>
      <c r="L417" s="39">
        <v>1</v>
      </c>
      <c r="M417" s="39" t="s">
        <v>1485</v>
      </c>
      <c r="N417" s="39" t="s">
        <v>653</v>
      </c>
      <c r="O417" s="39" t="s">
        <v>193</v>
      </c>
      <c r="P417" s="39">
        <v>0.52216474099999999</v>
      </c>
      <c r="Q417" s="39" t="s">
        <v>24</v>
      </c>
      <c r="R417" s="39" t="s">
        <v>18</v>
      </c>
      <c r="S417" s="39" t="s">
        <v>19</v>
      </c>
    </row>
    <row r="418" spans="1:19" x14ac:dyDescent="0.25">
      <c r="A418" s="40" t="s">
        <v>1508</v>
      </c>
      <c r="B418" s="40" t="s">
        <v>1535</v>
      </c>
      <c r="C418" s="40" t="s">
        <v>994</v>
      </c>
      <c r="D418" s="40">
        <v>1550000</v>
      </c>
      <c r="E418" s="40">
        <v>1516945.94</v>
      </c>
      <c r="F418" s="40">
        <v>1549409.45</v>
      </c>
      <c r="G418" s="40" t="s">
        <v>654</v>
      </c>
      <c r="H418" s="40">
        <v>2.65</v>
      </c>
      <c r="I418" s="40" t="s">
        <v>995</v>
      </c>
      <c r="J418" s="44">
        <v>55211</v>
      </c>
      <c r="K418" s="40"/>
      <c r="L418" s="40">
        <v>1</v>
      </c>
      <c r="M418" s="40" t="s">
        <v>1485</v>
      </c>
      <c r="N418" s="40" t="s">
        <v>994</v>
      </c>
      <c r="O418" s="40" t="s">
        <v>193</v>
      </c>
      <c r="P418" s="40">
        <v>0.56944444400000005</v>
      </c>
      <c r="Q418" s="40" t="s">
        <v>28</v>
      </c>
      <c r="R418" s="40" t="s">
        <v>18</v>
      </c>
      <c r="S418" s="40" t="s">
        <v>19</v>
      </c>
    </row>
    <row r="419" spans="1:19" x14ac:dyDescent="0.25">
      <c r="A419" s="39" t="s">
        <v>1508</v>
      </c>
      <c r="B419" s="39" t="s">
        <v>1534</v>
      </c>
      <c r="C419" s="39" t="s">
        <v>276</v>
      </c>
      <c r="D419" s="39">
        <v>48134.968990000001</v>
      </c>
      <c r="E419" s="39">
        <v>47862.28</v>
      </c>
      <c r="F419" s="39">
        <v>47100.25</v>
      </c>
      <c r="G419" s="39" t="s">
        <v>88</v>
      </c>
      <c r="H419" s="39">
        <v>4.5810000000000004</v>
      </c>
      <c r="I419" s="39" t="s">
        <v>275</v>
      </c>
      <c r="J419" s="43">
        <v>51912</v>
      </c>
      <c r="K419" s="39"/>
      <c r="L419" s="39">
        <v>3.2080999999999998E-2</v>
      </c>
      <c r="M419" s="39" t="s">
        <v>1485</v>
      </c>
      <c r="N419" s="39" t="s">
        <v>276</v>
      </c>
      <c r="O419" s="39" t="s">
        <v>88</v>
      </c>
      <c r="P419" s="39">
        <v>4.1666666999999998E-2</v>
      </c>
      <c r="Q419" s="39" t="s">
        <v>24</v>
      </c>
      <c r="R419" s="39" t="s">
        <v>18</v>
      </c>
      <c r="S419" s="39" t="s">
        <v>26</v>
      </c>
    </row>
    <row r="420" spans="1:19" x14ac:dyDescent="0.25">
      <c r="A420" s="40" t="s">
        <v>1508</v>
      </c>
      <c r="B420" s="40" t="s">
        <v>1534</v>
      </c>
      <c r="C420" s="40" t="s">
        <v>681</v>
      </c>
      <c r="D420" s="40">
        <v>1000000</v>
      </c>
      <c r="E420" s="40">
        <v>899400</v>
      </c>
      <c r="F420" s="40">
        <v>1000000</v>
      </c>
      <c r="G420" s="40" t="s">
        <v>682</v>
      </c>
      <c r="H420" s="40">
        <v>4.25</v>
      </c>
      <c r="I420" s="40" t="s">
        <v>683</v>
      </c>
      <c r="J420" s="44">
        <v>51820</v>
      </c>
      <c r="K420" s="40"/>
      <c r="L420" s="40">
        <v>1</v>
      </c>
      <c r="M420" s="40" t="s">
        <v>1485</v>
      </c>
      <c r="N420" s="40" t="s">
        <v>681</v>
      </c>
      <c r="O420" s="40" t="s">
        <v>194</v>
      </c>
      <c r="P420" s="40">
        <v>3.5416666669999999</v>
      </c>
      <c r="Q420" s="40" t="s">
        <v>24</v>
      </c>
      <c r="R420" s="40" t="s">
        <v>22</v>
      </c>
      <c r="S420" s="40" t="s">
        <v>26</v>
      </c>
    </row>
    <row r="421" spans="1:19" x14ac:dyDescent="0.25">
      <c r="A421" s="39" t="s">
        <v>1508</v>
      </c>
      <c r="B421" s="39" t="s">
        <v>1535</v>
      </c>
      <c r="C421" s="39" t="s">
        <v>338</v>
      </c>
      <c r="D421" s="39">
        <v>7437500.0002499996</v>
      </c>
      <c r="E421" s="39">
        <v>7227661.3499999996</v>
      </c>
      <c r="F421" s="39">
        <v>7434466.2199999997</v>
      </c>
      <c r="G421" s="39" t="s">
        <v>1200</v>
      </c>
      <c r="H421" s="39">
        <v>3.39</v>
      </c>
      <c r="I421" s="39" t="s">
        <v>337</v>
      </c>
      <c r="J421" s="43">
        <v>55112</v>
      </c>
      <c r="K421" s="39"/>
      <c r="L421" s="39">
        <v>0.99166699999999997</v>
      </c>
      <c r="M421" s="39" t="s">
        <v>1485</v>
      </c>
      <c r="N421" s="39" t="s">
        <v>338</v>
      </c>
      <c r="O421" s="39" t="s">
        <v>131</v>
      </c>
      <c r="P421" s="39">
        <v>0.305347806</v>
      </c>
      <c r="Q421" s="39" t="s">
        <v>28</v>
      </c>
      <c r="R421" s="39" t="s">
        <v>18</v>
      </c>
      <c r="S421" s="39" t="s">
        <v>23</v>
      </c>
    </row>
    <row r="422" spans="1:19" x14ac:dyDescent="0.25">
      <c r="A422" s="40" t="s">
        <v>1508</v>
      </c>
      <c r="B422" s="40" t="s">
        <v>1534</v>
      </c>
      <c r="C422" s="40" t="s">
        <v>1202</v>
      </c>
      <c r="D422" s="40">
        <v>12500000</v>
      </c>
      <c r="E422" s="40">
        <v>12149250.630000001</v>
      </c>
      <c r="F422" s="40">
        <v>12414178.75</v>
      </c>
      <c r="G422" s="40" t="s">
        <v>1200</v>
      </c>
      <c r="H422" s="40">
        <v>5.1100000000000003</v>
      </c>
      <c r="I422" s="40" t="s">
        <v>1203</v>
      </c>
      <c r="J422" s="44">
        <v>55112</v>
      </c>
      <c r="K422" s="40"/>
      <c r="L422" s="40">
        <v>1</v>
      </c>
      <c r="M422" s="40" t="s">
        <v>1485</v>
      </c>
      <c r="N422" s="40" t="s">
        <v>1202</v>
      </c>
      <c r="O422" s="40" t="s">
        <v>131</v>
      </c>
      <c r="P422" s="40">
        <v>0.30555555600000001</v>
      </c>
      <c r="Q422" s="40" t="s">
        <v>28</v>
      </c>
      <c r="R422" s="40" t="s">
        <v>18</v>
      </c>
      <c r="S422" s="40" t="s">
        <v>30</v>
      </c>
    </row>
    <row r="423" spans="1:19" x14ac:dyDescent="0.25">
      <c r="A423" s="39" t="s">
        <v>1508</v>
      </c>
      <c r="B423" s="39" t="s">
        <v>1535</v>
      </c>
      <c r="C423" s="39" t="s">
        <v>1204</v>
      </c>
      <c r="D423" s="39">
        <v>12000000</v>
      </c>
      <c r="E423" s="39">
        <v>10529598.6</v>
      </c>
      <c r="F423" s="39">
        <v>11917381.199999999</v>
      </c>
      <c r="G423" s="39" t="s">
        <v>1200</v>
      </c>
      <c r="H423" s="39">
        <v>5.57</v>
      </c>
      <c r="I423" s="39" t="s">
        <v>1205</v>
      </c>
      <c r="J423" s="43">
        <v>55112</v>
      </c>
      <c r="K423" s="39"/>
      <c r="L423" s="39">
        <v>1</v>
      </c>
      <c r="M423" s="39" t="s">
        <v>1485</v>
      </c>
      <c r="N423" s="39" t="s">
        <v>1204</v>
      </c>
      <c r="O423" s="39" t="s">
        <v>131</v>
      </c>
      <c r="P423" s="39">
        <v>2.3111111110000002</v>
      </c>
      <c r="Q423" s="39" t="s">
        <v>28</v>
      </c>
      <c r="R423" s="39" t="s">
        <v>22</v>
      </c>
      <c r="S423" s="39" t="s">
        <v>30</v>
      </c>
    </row>
    <row r="424" spans="1:19" x14ac:dyDescent="0.25">
      <c r="A424" s="40" t="s">
        <v>1508</v>
      </c>
      <c r="B424" s="40" t="s">
        <v>1534</v>
      </c>
      <c r="C424" s="40" t="s">
        <v>340</v>
      </c>
      <c r="D424" s="40">
        <v>2233125</v>
      </c>
      <c r="E424" s="40">
        <v>2183635.38</v>
      </c>
      <c r="F424" s="40">
        <v>2232551.58</v>
      </c>
      <c r="G424" s="40" t="s">
        <v>1200</v>
      </c>
      <c r="H424" s="40">
        <v>2.8</v>
      </c>
      <c r="I424" s="40" t="s">
        <v>339</v>
      </c>
      <c r="J424" s="44">
        <v>55173</v>
      </c>
      <c r="K424" s="40"/>
      <c r="L424" s="40">
        <v>0.99250000000000005</v>
      </c>
      <c r="M424" s="40" t="s">
        <v>1485</v>
      </c>
      <c r="N424" s="40" t="s">
        <v>340</v>
      </c>
      <c r="O424" s="40" t="s">
        <v>131</v>
      </c>
      <c r="P424" s="40">
        <v>0.471702118</v>
      </c>
      <c r="Q424" s="40" t="s">
        <v>28</v>
      </c>
      <c r="R424" s="40" t="s">
        <v>18</v>
      </c>
      <c r="S424" s="40" t="s">
        <v>19</v>
      </c>
    </row>
    <row r="425" spans="1:19" x14ac:dyDescent="0.25">
      <c r="A425" s="39" t="s">
        <v>1508</v>
      </c>
      <c r="B425" s="39" t="s">
        <v>1535</v>
      </c>
      <c r="C425" s="39" t="s">
        <v>342</v>
      </c>
      <c r="D425" s="39">
        <v>2481250</v>
      </c>
      <c r="E425" s="39">
        <v>2174225.71</v>
      </c>
      <c r="F425" s="39">
        <v>2479919.02</v>
      </c>
      <c r="G425" s="39" t="s">
        <v>1200</v>
      </c>
      <c r="H425" s="39">
        <v>3.26</v>
      </c>
      <c r="I425" s="39" t="s">
        <v>341</v>
      </c>
      <c r="J425" s="43">
        <v>55173</v>
      </c>
      <c r="K425" s="39"/>
      <c r="L425" s="39">
        <v>0.99250000000000005</v>
      </c>
      <c r="M425" s="39" t="s">
        <v>1485</v>
      </c>
      <c r="N425" s="39" t="s">
        <v>342</v>
      </c>
      <c r="O425" s="39" t="s">
        <v>131</v>
      </c>
      <c r="P425" s="39">
        <v>2.4303684319999999</v>
      </c>
      <c r="Q425" s="39" t="s">
        <v>28</v>
      </c>
      <c r="R425" s="39" t="s">
        <v>22</v>
      </c>
      <c r="S425" s="39" t="s">
        <v>23</v>
      </c>
    </row>
    <row r="426" spans="1:19" x14ac:dyDescent="0.25">
      <c r="A426" s="40" t="s">
        <v>1508</v>
      </c>
      <c r="B426" s="40" t="s">
        <v>1534</v>
      </c>
      <c r="C426" s="40" t="s">
        <v>1207</v>
      </c>
      <c r="D426" s="40">
        <v>1200000</v>
      </c>
      <c r="E426" s="40">
        <v>1168911.3600000001</v>
      </c>
      <c r="F426" s="40">
        <v>1199708.3999999999</v>
      </c>
      <c r="G426" s="40" t="s">
        <v>1200</v>
      </c>
      <c r="H426" s="40">
        <v>4.2300000000000004</v>
      </c>
      <c r="I426" s="40" t="s">
        <v>1208</v>
      </c>
      <c r="J426" s="44">
        <v>55173</v>
      </c>
      <c r="K426" s="40"/>
      <c r="L426" s="40">
        <v>1</v>
      </c>
      <c r="M426" s="40" t="s">
        <v>1485</v>
      </c>
      <c r="N426" s="40" t="s">
        <v>1207</v>
      </c>
      <c r="O426" s="40" t="s">
        <v>131</v>
      </c>
      <c r="P426" s="40">
        <v>0.47222222200000002</v>
      </c>
      <c r="Q426" s="40" t="s">
        <v>28</v>
      </c>
      <c r="R426" s="40" t="s">
        <v>18</v>
      </c>
      <c r="S426" s="40" t="s">
        <v>26</v>
      </c>
    </row>
    <row r="427" spans="1:19" x14ac:dyDescent="0.25">
      <c r="A427" s="39" t="s">
        <v>1508</v>
      </c>
      <c r="B427" s="39" t="s">
        <v>1534</v>
      </c>
      <c r="C427" s="39" t="s">
        <v>221</v>
      </c>
      <c r="D427" s="39">
        <v>14100000</v>
      </c>
      <c r="E427" s="39">
        <v>14023556.85</v>
      </c>
      <c r="F427" s="39">
        <v>14100000</v>
      </c>
      <c r="G427" s="39" t="s">
        <v>1276</v>
      </c>
      <c r="H427" s="39">
        <v>5.2160000000000002</v>
      </c>
      <c r="I427" s="39" t="s">
        <v>220</v>
      </c>
      <c r="J427" s="43">
        <v>54629</v>
      </c>
      <c r="K427" s="39"/>
      <c r="L427" s="39">
        <v>0.94</v>
      </c>
      <c r="M427" s="39" t="s">
        <v>1485</v>
      </c>
      <c r="N427" s="39" t="s">
        <v>221</v>
      </c>
      <c r="O427" s="39" t="s">
        <v>138</v>
      </c>
      <c r="P427" s="39"/>
      <c r="Q427" s="39" t="s">
        <v>28</v>
      </c>
      <c r="R427" s="39" t="s">
        <v>41</v>
      </c>
      <c r="S427" s="39" t="s">
        <v>30</v>
      </c>
    </row>
    <row r="428" spans="1:19" x14ac:dyDescent="0.25">
      <c r="A428" s="40" t="s">
        <v>1508</v>
      </c>
      <c r="B428" s="40" t="s">
        <v>1535</v>
      </c>
      <c r="C428" s="40" t="s">
        <v>581</v>
      </c>
      <c r="D428" s="40">
        <v>15000000</v>
      </c>
      <c r="E428" s="40">
        <v>14946117.75</v>
      </c>
      <c r="F428" s="40">
        <v>15000000</v>
      </c>
      <c r="G428" s="40" t="s">
        <v>582</v>
      </c>
      <c r="H428" s="40">
        <v>2.6360000000000001</v>
      </c>
      <c r="I428" s="40" t="s">
        <v>583</v>
      </c>
      <c r="J428" s="44">
        <v>55046</v>
      </c>
      <c r="K428" s="40"/>
      <c r="L428" s="40">
        <v>1</v>
      </c>
      <c r="M428" s="40" t="s">
        <v>1485</v>
      </c>
      <c r="N428" s="40" t="s">
        <v>581</v>
      </c>
      <c r="O428" s="40" t="s">
        <v>195</v>
      </c>
      <c r="P428" s="40">
        <v>0.122987419</v>
      </c>
      <c r="Q428" s="40" t="s">
        <v>21</v>
      </c>
      <c r="R428" s="40" t="s">
        <v>18</v>
      </c>
      <c r="S428" s="40" t="s">
        <v>19</v>
      </c>
    </row>
    <row r="429" spans="1:19" x14ac:dyDescent="0.25">
      <c r="A429" s="39" t="s">
        <v>1508</v>
      </c>
      <c r="B429" s="39" t="s">
        <v>1534</v>
      </c>
      <c r="C429" s="39" t="s">
        <v>757</v>
      </c>
      <c r="D429" s="39">
        <v>4125000</v>
      </c>
      <c r="E429" s="39">
        <v>4108973.34</v>
      </c>
      <c r="F429" s="39">
        <v>4125000</v>
      </c>
      <c r="G429" s="39" t="s">
        <v>582</v>
      </c>
      <c r="H429" s="39">
        <v>3.2290000000000001</v>
      </c>
      <c r="I429" s="39" t="s">
        <v>758</v>
      </c>
      <c r="J429" s="43">
        <v>55046</v>
      </c>
      <c r="K429" s="39"/>
      <c r="L429" s="39">
        <v>1</v>
      </c>
      <c r="M429" s="39" t="s">
        <v>1485</v>
      </c>
      <c r="N429" s="39" t="s">
        <v>757</v>
      </c>
      <c r="O429" s="39" t="s">
        <v>195</v>
      </c>
      <c r="P429" s="39">
        <v>0.125</v>
      </c>
      <c r="Q429" s="39" t="s">
        <v>24</v>
      </c>
      <c r="R429" s="39" t="s">
        <v>18</v>
      </c>
      <c r="S429" s="39" t="s">
        <v>23</v>
      </c>
    </row>
    <row r="430" spans="1:19" x14ac:dyDescent="0.25">
      <c r="A430" s="40" t="s">
        <v>1508</v>
      </c>
      <c r="B430" s="40" t="s">
        <v>1535</v>
      </c>
      <c r="C430" s="40" t="s">
        <v>1339</v>
      </c>
      <c r="D430" s="40">
        <v>1625000</v>
      </c>
      <c r="E430" s="40">
        <v>1618285.83</v>
      </c>
      <c r="F430" s="40">
        <v>1625000</v>
      </c>
      <c r="G430" s="40" t="s">
        <v>582</v>
      </c>
      <c r="H430" s="40">
        <v>4.4589999999999996</v>
      </c>
      <c r="I430" s="40" t="s">
        <v>1340</v>
      </c>
      <c r="J430" s="44">
        <v>55046</v>
      </c>
      <c r="K430" s="40"/>
      <c r="L430" s="40">
        <v>1</v>
      </c>
      <c r="M430" s="40" t="s">
        <v>1485</v>
      </c>
      <c r="N430" s="40" t="s">
        <v>1339</v>
      </c>
      <c r="O430" s="40" t="s">
        <v>195</v>
      </c>
      <c r="P430" s="40">
        <v>0.125</v>
      </c>
      <c r="Q430" s="40" t="s">
        <v>28</v>
      </c>
      <c r="R430" s="40" t="s">
        <v>18</v>
      </c>
      <c r="S430" s="40" t="s">
        <v>26</v>
      </c>
    </row>
    <row r="431" spans="1:19" x14ac:dyDescent="0.25">
      <c r="A431" s="39" t="s">
        <v>1508</v>
      </c>
      <c r="B431" s="39" t="s">
        <v>1534</v>
      </c>
      <c r="C431" s="39" t="s">
        <v>377</v>
      </c>
      <c r="D431" s="39">
        <v>8697279.3311999999</v>
      </c>
      <c r="E431" s="39">
        <v>8269241.4199999999</v>
      </c>
      <c r="F431" s="39">
        <v>8697279.3300000001</v>
      </c>
      <c r="G431" s="39" t="s">
        <v>759</v>
      </c>
      <c r="H431" s="39">
        <v>3.2280000000000002</v>
      </c>
      <c r="I431" s="39" t="s">
        <v>376</v>
      </c>
      <c r="J431" s="43">
        <v>53036</v>
      </c>
      <c r="K431" s="39"/>
      <c r="L431" s="39">
        <v>0.724773</v>
      </c>
      <c r="M431" s="39" t="s">
        <v>1485</v>
      </c>
      <c r="N431" s="39" t="s">
        <v>377</v>
      </c>
      <c r="O431" s="39" t="s">
        <v>149</v>
      </c>
      <c r="P431" s="39">
        <v>2.417924674</v>
      </c>
      <c r="Q431" s="39" t="s">
        <v>24</v>
      </c>
      <c r="R431" s="39" t="s">
        <v>22</v>
      </c>
      <c r="S431" s="39" t="s">
        <v>23</v>
      </c>
    </row>
    <row r="432" spans="1:19" x14ac:dyDescent="0.25">
      <c r="A432" s="40" t="s">
        <v>1508</v>
      </c>
      <c r="B432" s="40" t="s">
        <v>1534</v>
      </c>
      <c r="C432" s="40" t="s">
        <v>379</v>
      </c>
      <c r="D432" s="40">
        <v>1087113.57</v>
      </c>
      <c r="E432" s="40">
        <v>1013257.95</v>
      </c>
      <c r="F432" s="40">
        <v>1087113.57</v>
      </c>
      <c r="G432" s="40" t="s">
        <v>759</v>
      </c>
      <c r="H432" s="40">
        <v>4.2119999999999997</v>
      </c>
      <c r="I432" s="40" t="s">
        <v>378</v>
      </c>
      <c r="J432" s="44">
        <v>53036</v>
      </c>
      <c r="K432" s="40"/>
      <c r="L432" s="40">
        <v>0.724742</v>
      </c>
      <c r="M432" s="40" t="s">
        <v>1485</v>
      </c>
      <c r="N432" s="40" t="s">
        <v>379</v>
      </c>
      <c r="O432" s="40" t="s">
        <v>149</v>
      </c>
      <c r="P432" s="40">
        <v>2.4179179319999999</v>
      </c>
      <c r="Q432" s="40" t="s">
        <v>28</v>
      </c>
      <c r="R432" s="40" t="s">
        <v>22</v>
      </c>
      <c r="S432" s="40" t="s">
        <v>26</v>
      </c>
    </row>
    <row r="433" spans="1:19" x14ac:dyDescent="0.25">
      <c r="A433" s="39" t="s">
        <v>1502</v>
      </c>
      <c r="B433" s="39"/>
      <c r="C433" s="39" t="s">
        <v>101</v>
      </c>
      <c r="D433" s="39">
        <v>4500000</v>
      </c>
      <c r="E433" s="39">
        <v>4538146.5</v>
      </c>
      <c r="F433" s="39">
        <v>4432500</v>
      </c>
      <c r="G433" s="39" t="s">
        <v>588</v>
      </c>
      <c r="H433" s="39">
        <v>10.93549</v>
      </c>
      <c r="I433" s="39" t="s">
        <v>100</v>
      </c>
      <c r="J433" s="43">
        <v>50515</v>
      </c>
      <c r="K433" s="39">
        <v>661</v>
      </c>
      <c r="L433" s="39">
        <v>1</v>
      </c>
      <c r="M433" s="39" t="s">
        <v>1487</v>
      </c>
      <c r="N433" s="39" t="s">
        <v>101</v>
      </c>
      <c r="O433" s="39" t="s">
        <v>66</v>
      </c>
      <c r="P433" s="39">
        <v>10.114242512000001</v>
      </c>
      <c r="Q433" s="39" t="s">
        <v>32</v>
      </c>
      <c r="R433" s="39" t="s">
        <v>37</v>
      </c>
      <c r="S433" s="39" t="s">
        <v>38</v>
      </c>
    </row>
    <row r="434" spans="1:19" x14ac:dyDescent="0.25">
      <c r="A434" s="40" t="s">
        <v>1502</v>
      </c>
      <c r="B434" s="40"/>
      <c r="C434" s="40" t="s">
        <v>1366</v>
      </c>
      <c r="D434" s="40">
        <v>4500000</v>
      </c>
      <c r="E434" s="40">
        <v>4631355</v>
      </c>
      <c r="F434" s="40">
        <v>4320000</v>
      </c>
      <c r="G434" s="40" t="s">
        <v>613</v>
      </c>
      <c r="H434" s="40">
        <v>11.63869</v>
      </c>
      <c r="I434" s="40" t="s">
        <v>1367</v>
      </c>
      <c r="J434" s="44">
        <v>50519</v>
      </c>
      <c r="K434" s="40">
        <v>732</v>
      </c>
      <c r="L434" s="40">
        <v>1</v>
      </c>
      <c r="M434" s="40" t="s">
        <v>1487</v>
      </c>
      <c r="N434" s="40" t="s">
        <v>1366</v>
      </c>
      <c r="O434" s="40" t="s">
        <v>69</v>
      </c>
      <c r="P434" s="40">
        <v>10.124557447999999</v>
      </c>
      <c r="Q434" s="40" t="s">
        <v>32</v>
      </c>
      <c r="R434" s="40" t="s">
        <v>37</v>
      </c>
      <c r="S434" s="40" t="s">
        <v>38</v>
      </c>
    </row>
    <row r="435" spans="1:19" x14ac:dyDescent="0.25">
      <c r="A435" s="39" t="s">
        <v>1502</v>
      </c>
      <c r="B435" s="39"/>
      <c r="C435" s="39" t="s">
        <v>1370</v>
      </c>
      <c r="D435" s="39">
        <v>2156000</v>
      </c>
      <c r="E435" s="39">
        <v>2166115.9500000002</v>
      </c>
      <c r="F435" s="39">
        <v>2164818.04</v>
      </c>
      <c r="G435" s="39" t="s">
        <v>613</v>
      </c>
      <c r="H435" s="39">
        <v>9.9370999999999992</v>
      </c>
      <c r="I435" s="39" t="s">
        <v>1371</v>
      </c>
      <c r="J435" s="43">
        <v>48965</v>
      </c>
      <c r="K435" s="39">
        <v>561.16099999999994</v>
      </c>
      <c r="L435" s="39">
        <v>1</v>
      </c>
      <c r="M435" s="39" t="s">
        <v>1487</v>
      </c>
      <c r="N435" s="39" t="s">
        <v>1370</v>
      </c>
      <c r="O435" s="39" t="s">
        <v>69</v>
      </c>
      <c r="P435" s="39">
        <v>6.6069367569999997</v>
      </c>
      <c r="Q435" s="39" t="s">
        <v>32</v>
      </c>
      <c r="R435" s="39" t="s">
        <v>29</v>
      </c>
      <c r="S435" s="39" t="s">
        <v>38</v>
      </c>
    </row>
    <row r="436" spans="1:19" x14ac:dyDescent="0.25">
      <c r="A436" s="40" t="s">
        <v>1502</v>
      </c>
      <c r="B436" s="40"/>
      <c r="C436" s="40" t="s">
        <v>1370</v>
      </c>
      <c r="D436" s="40">
        <v>4895000</v>
      </c>
      <c r="E436" s="40">
        <v>4917967.34</v>
      </c>
      <c r="F436" s="40">
        <v>4909900.38</v>
      </c>
      <c r="G436" s="40" t="s">
        <v>613</v>
      </c>
      <c r="H436" s="40">
        <v>9.9370999999999992</v>
      </c>
      <c r="I436" s="40" t="s">
        <v>1371</v>
      </c>
      <c r="J436" s="44">
        <v>48965</v>
      </c>
      <c r="K436" s="40">
        <v>561.16099999999994</v>
      </c>
      <c r="L436" s="40">
        <v>1</v>
      </c>
      <c r="M436" s="40" t="s">
        <v>1487</v>
      </c>
      <c r="N436" s="40" t="s">
        <v>1370</v>
      </c>
      <c r="O436" s="40" t="s">
        <v>69</v>
      </c>
      <c r="P436" s="40">
        <v>6.6069367569999997</v>
      </c>
      <c r="Q436" s="40" t="s">
        <v>32</v>
      </c>
      <c r="R436" s="40" t="s">
        <v>29</v>
      </c>
      <c r="S436" s="40" t="s">
        <v>38</v>
      </c>
    </row>
    <row r="437" spans="1:19" x14ac:dyDescent="0.25">
      <c r="A437" s="39" t="s">
        <v>1502</v>
      </c>
      <c r="B437" s="39"/>
      <c r="C437" s="39" t="s">
        <v>1370</v>
      </c>
      <c r="D437" s="39">
        <v>200000</v>
      </c>
      <c r="E437" s="39">
        <v>200938.4</v>
      </c>
      <c r="F437" s="39">
        <v>200206</v>
      </c>
      <c r="G437" s="39" t="s">
        <v>613</v>
      </c>
      <c r="H437" s="39">
        <v>9.9370999999999992</v>
      </c>
      <c r="I437" s="39" t="s">
        <v>1371</v>
      </c>
      <c r="J437" s="43">
        <v>48965</v>
      </c>
      <c r="K437" s="39">
        <v>561.16099999999994</v>
      </c>
      <c r="L437" s="39">
        <v>1</v>
      </c>
      <c r="M437" s="39" t="s">
        <v>1487</v>
      </c>
      <c r="N437" s="39" t="s">
        <v>1370</v>
      </c>
      <c r="O437" s="39" t="s">
        <v>69</v>
      </c>
      <c r="P437" s="39">
        <v>6.6069367569999997</v>
      </c>
      <c r="Q437" s="39" t="s">
        <v>32</v>
      </c>
      <c r="R437" s="39" t="s">
        <v>29</v>
      </c>
      <c r="S437" s="39" t="s">
        <v>38</v>
      </c>
    </row>
    <row r="438" spans="1:19" x14ac:dyDescent="0.25">
      <c r="A438" s="40" t="s">
        <v>1502</v>
      </c>
      <c r="B438" s="40" t="s">
        <v>1530</v>
      </c>
      <c r="C438" s="40" t="s">
        <v>1370</v>
      </c>
      <c r="D438" s="40">
        <v>1360000</v>
      </c>
      <c r="E438" s="40">
        <v>1366381.12</v>
      </c>
      <c r="F438" s="40">
        <v>1361649.58</v>
      </c>
      <c r="G438" s="40" t="s">
        <v>613</v>
      </c>
      <c r="H438" s="40">
        <v>9.9370999999999992</v>
      </c>
      <c r="I438" s="40" t="s">
        <v>1371</v>
      </c>
      <c r="J438" s="44">
        <v>48965</v>
      </c>
      <c r="K438" s="40">
        <v>561.16099999999994</v>
      </c>
      <c r="L438" s="40">
        <v>1</v>
      </c>
      <c r="M438" s="40" t="s">
        <v>1487</v>
      </c>
      <c r="N438" s="40" t="s">
        <v>1370</v>
      </c>
      <c r="O438" s="40" t="s">
        <v>69</v>
      </c>
      <c r="P438" s="40">
        <v>6.6069367569999997</v>
      </c>
      <c r="Q438" s="40" t="s">
        <v>32</v>
      </c>
      <c r="R438" s="40" t="s">
        <v>29</v>
      </c>
      <c r="S438" s="40" t="s">
        <v>38</v>
      </c>
    </row>
    <row r="439" spans="1:19" x14ac:dyDescent="0.25">
      <c r="A439" s="39" t="s">
        <v>1502</v>
      </c>
      <c r="B439" s="39"/>
      <c r="C439" s="39" t="s">
        <v>1370</v>
      </c>
      <c r="D439" s="39">
        <v>2639000</v>
      </c>
      <c r="E439" s="39">
        <v>2651382.19</v>
      </c>
      <c r="F439" s="39">
        <v>2639000</v>
      </c>
      <c r="G439" s="39" t="s">
        <v>613</v>
      </c>
      <c r="H439" s="39">
        <v>9.9370999999999992</v>
      </c>
      <c r="I439" s="39" t="s">
        <v>1371</v>
      </c>
      <c r="J439" s="43">
        <v>48965</v>
      </c>
      <c r="K439" s="39">
        <v>561.16099999999994</v>
      </c>
      <c r="L439" s="39">
        <v>1</v>
      </c>
      <c r="M439" s="39" t="s">
        <v>1487</v>
      </c>
      <c r="N439" s="39" t="s">
        <v>1370</v>
      </c>
      <c r="O439" s="39" t="s">
        <v>69</v>
      </c>
      <c r="P439" s="39">
        <v>6.6069367569999997</v>
      </c>
      <c r="Q439" s="39" t="s">
        <v>32</v>
      </c>
      <c r="R439" s="39" t="s">
        <v>29</v>
      </c>
      <c r="S439" s="39" t="s">
        <v>38</v>
      </c>
    </row>
    <row r="440" spans="1:19" x14ac:dyDescent="0.25">
      <c r="A440" s="40" t="s">
        <v>1502</v>
      </c>
      <c r="B440" s="40"/>
      <c r="C440" s="40" t="s">
        <v>1368</v>
      </c>
      <c r="D440" s="40">
        <v>170000</v>
      </c>
      <c r="E440" s="40">
        <v>171679.6</v>
      </c>
      <c r="F440" s="40">
        <v>171156.17</v>
      </c>
      <c r="G440" s="40" t="s">
        <v>613</v>
      </c>
      <c r="H440" s="40">
        <v>10.893599999999999</v>
      </c>
      <c r="I440" s="40" t="s">
        <v>1369</v>
      </c>
      <c r="J440" s="44">
        <v>49239</v>
      </c>
      <c r="K440" s="40">
        <v>656.16099999999994</v>
      </c>
      <c r="L440" s="40">
        <v>1</v>
      </c>
      <c r="M440" s="40" t="s">
        <v>1487</v>
      </c>
      <c r="N440" s="40" t="s">
        <v>1368</v>
      </c>
      <c r="O440" s="40" t="s">
        <v>69</v>
      </c>
      <c r="P440" s="40">
        <v>6.4837141789999997</v>
      </c>
      <c r="Q440" s="40" t="s">
        <v>32</v>
      </c>
      <c r="R440" s="40" t="s">
        <v>29</v>
      </c>
      <c r="S440" s="40" t="s">
        <v>38</v>
      </c>
    </row>
    <row r="441" spans="1:19" x14ac:dyDescent="0.25">
      <c r="A441" s="39" t="s">
        <v>1502</v>
      </c>
      <c r="B441" s="39" t="s">
        <v>1530</v>
      </c>
      <c r="C441" s="39" t="s">
        <v>1368</v>
      </c>
      <c r="D441" s="39">
        <v>330000</v>
      </c>
      <c r="E441" s="39">
        <v>333260.40000000002</v>
      </c>
      <c r="F441" s="39">
        <v>304425</v>
      </c>
      <c r="G441" s="39" t="s">
        <v>613</v>
      </c>
      <c r="H441" s="39">
        <v>10.893599999999999</v>
      </c>
      <c r="I441" s="39" t="s">
        <v>1369</v>
      </c>
      <c r="J441" s="43">
        <v>49239</v>
      </c>
      <c r="K441" s="39">
        <v>656.16099999999994</v>
      </c>
      <c r="L441" s="39">
        <v>1</v>
      </c>
      <c r="M441" s="39" t="s">
        <v>1487</v>
      </c>
      <c r="N441" s="39" t="s">
        <v>1368</v>
      </c>
      <c r="O441" s="39" t="s">
        <v>69</v>
      </c>
      <c r="P441" s="39">
        <v>6.4837141789999997</v>
      </c>
      <c r="Q441" s="39" t="s">
        <v>32</v>
      </c>
      <c r="R441" s="39" t="s">
        <v>29</v>
      </c>
      <c r="S441" s="39" t="s">
        <v>38</v>
      </c>
    </row>
    <row r="442" spans="1:19" x14ac:dyDescent="0.25">
      <c r="A442" s="40" t="s">
        <v>1502</v>
      </c>
      <c r="B442" s="40"/>
      <c r="C442" s="40" t="s">
        <v>1368</v>
      </c>
      <c r="D442" s="40">
        <v>750000</v>
      </c>
      <c r="E442" s="40">
        <v>757410</v>
      </c>
      <c r="F442" s="40">
        <v>757038.75</v>
      </c>
      <c r="G442" s="40" t="s">
        <v>613</v>
      </c>
      <c r="H442" s="40">
        <v>10.893599999999999</v>
      </c>
      <c r="I442" s="40" t="s">
        <v>1369</v>
      </c>
      <c r="J442" s="44">
        <v>49239</v>
      </c>
      <c r="K442" s="40">
        <v>656.16099999999994</v>
      </c>
      <c r="L442" s="40">
        <v>1</v>
      </c>
      <c r="M442" s="40" t="s">
        <v>1487</v>
      </c>
      <c r="N442" s="40" t="s">
        <v>1368</v>
      </c>
      <c r="O442" s="40" t="s">
        <v>69</v>
      </c>
      <c r="P442" s="40">
        <v>6.4837141789999997</v>
      </c>
      <c r="Q442" s="40" t="s">
        <v>32</v>
      </c>
      <c r="R442" s="40" t="s">
        <v>29</v>
      </c>
      <c r="S442" s="40" t="s">
        <v>38</v>
      </c>
    </row>
    <row r="443" spans="1:19" x14ac:dyDescent="0.25">
      <c r="A443" s="39" t="s">
        <v>1502</v>
      </c>
      <c r="B443" s="39"/>
      <c r="C443" s="39" t="s">
        <v>420</v>
      </c>
      <c r="D443" s="39">
        <v>2700000</v>
      </c>
      <c r="E443" s="39">
        <v>2732475.6</v>
      </c>
      <c r="F443" s="39">
        <v>2700000</v>
      </c>
      <c r="G443" s="39" t="s">
        <v>613</v>
      </c>
      <c r="H443" s="39">
        <v>9.6644699999999997</v>
      </c>
      <c r="I443" s="39" t="s">
        <v>419</v>
      </c>
      <c r="J443" s="43">
        <v>50611</v>
      </c>
      <c r="K443" s="39">
        <v>535</v>
      </c>
      <c r="L443" s="39">
        <v>1</v>
      </c>
      <c r="M443" s="39" t="s">
        <v>1487</v>
      </c>
      <c r="N443" s="39" t="s">
        <v>420</v>
      </c>
      <c r="O443" s="39" t="s">
        <v>69</v>
      </c>
      <c r="P443" s="39">
        <v>10.359941642000001</v>
      </c>
      <c r="Q443" s="39" t="s">
        <v>32</v>
      </c>
      <c r="R443" s="39" t="s">
        <v>37</v>
      </c>
      <c r="S443" s="39" t="s">
        <v>38</v>
      </c>
    </row>
    <row r="444" spans="1:19" x14ac:dyDescent="0.25">
      <c r="A444" s="40" t="s">
        <v>1502</v>
      </c>
      <c r="B444" s="40"/>
      <c r="C444" s="40" t="s">
        <v>1373</v>
      </c>
      <c r="D444" s="40">
        <v>810000</v>
      </c>
      <c r="E444" s="40">
        <v>820150.92</v>
      </c>
      <c r="F444" s="40">
        <v>826713.54</v>
      </c>
      <c r="G444" s="40" t="s">
        <v>619</v>
      </c>
      <c r="H444" s="40">
        <v>11.66846</v>
      </c>
      <c r="I444" s="40" t="s">
        <v>1374</v>
      </c>
      <c r="J444" s="44">
        <v>49607</v>
      </c>
      <c r="K444" s="40">
        <v>735</v>
      </c>
      <c r="L444" s="40">
        <v>1</v>
      </c>
      <c r="M444" s="40" t="s">
        <v>1487</v>
      </c>
      <c r="N444" s="40" t="s">
        <v>1373</v>
      </c>
      <c r="O444" s="40" t="s">
        <v>196</v>
      </c>
      <c r="P444" s="40">
        <v>8.5317047200000005</v>
      </c>
      <c r="Q444" s="40" t="s">
        <v>32</v>
      </c>
      <c r="R444" s="40" t="s">
        <v>33</v>
      </c>
      <c r="S444" s="40" t="s">
        <v>38</v>
      </c>
    </row>
    <row r="445" spans="1:19" x14ac:dyDescent="0.25">
      <c r="A445" s="39" t="s">
        <v>1502</v>
      </c>
      <c r="B445" s="39"/>
      <c r="C445" s="39" t="s">
        <v>1373</v>
      </c>
      <c r="D445" s="39">
        <v>990000</v>
      </c>
      <c r="E445" s="39">
        <v>1002406.68</v>
      </c>
      <c r="F445" s="39">
        <v>1022632.38</v>
      </c>
      <c r="G445" s="39" t="s">
        <v>619</v>
      </c>
      <c r="H445" s="39">
        <v>11.66846</v>
      </c>
      <c r="I445" s="39" t="s">
        <v>1374</v>
      </c>
      <c r="J445" s="43">
        <v>49607</v>
      </c>
      <c r="K445" s="39">
        <v>735</v>
      </c>
      <c r="L445" s="39">
        <v>1</v>
      </c>
      <c r="M445" s="39" t="s">
        <v>1487</v>
      </c>
      <c r="N445" s="39" t="s">
        <v>1373</v>
      </c>
      <c r="O445" s="39" t="s">
        <v>196</v>
      </c>
      <c r="P445" s="39">
        <v>8.5317047200000005</v>
      </c>
      <c r="Q445" s="39" t="s">
        <v>32</v>
      </c>
      <c r="R445" s="39" t="s">
        <v>33</v>
      </c>
      <c r="S445" s="39" t="s">
        <v>38</v>
      </c>
    </row>
    <row r="446" spans="1:19" x14ac:dyDescent="0.25">
      <c r="A446" s="40" t="s">
        <v>1502</v>
      </c>
      <c r="B446" s="40"/>
      <c r="C446" s="40" t="s">
        <v>1373</v>
      </c>
      <c r="D446" s="40">
        <v>2250000</v>
      </c>
      <c r="E446" s="40">
        <v>2278197</v>
      </c>
      <c r="F446" s="40">
        <v>2171250</v>
      </c>
      <c r="G446" s="40" t="s">
        <v>619</v>
      </c>
      <c r="H446" s="40">
        <v>11.66846</v>
      </c>
      <c r="I446" s="40" t="s">
        <v>1374</v>
      </c>
      <c r="J446" s="44">
        <v>49607</v>
      </c>
      <c r="K446" s="40">
        <v>735</v>
      </c>
      <c r="L446" s="40">
        <v>1</v>
      </c>
      <c r="M446" s="40" t="s">
        <v>1487</v>
      </c>
      <c r="N446" s="40" t="s">
        <v>1373</v>
      </c>
      <c r="O446" s="40" t="s">
        <v>196</v>
      </c>
      <c r="P446" s="40">
        <v>8.5317047200000005</v>
      </c>
      <c r="Q446" s="40" t="s">
        <v>32</v>
      </c>
      <c r="R446" s="40" t="s">
        <v>33</v>
      </c>
      <c r="S446" s="40" t="s">
        <v>38</v>
      </c>
    </row>
    <row r="447" spans="1:19" x14ac:dyDescent="0.25">
      <c r="A447" s="39" t="s">
        <v>1502</v>
      </c>
      <c r="B447" s="39"/>
      <c r="C447" s="39" t="s">
        <v>1375</v>
      </c>
      <c r="D447" s="39">
        <v>851000</v>
      </c>
      <c r="E447" s="39">
        <v>855409.03</v>
      </c>
      <c r="F447" s="39">
        <v>854881.41</v>
      </c>
      <c r="G447" s="39" t="s">
        <v>629</v>
      </c>
      <c r="H447" s="39">
        <v>11.439159999999999</v>
      </c>
      <c r="I447" s="39" t="s">
        <v>1376</v>
      </c>
      <c r="J447" s="43">
        <v>49414</v>
      </c>
      <c r="K447" s="39">
        <v>712.16099999999994</v>
      </c>
      <c r="L447" s="39">
        <v>1</v>
      </c>
      <c r="M447" s="39" t="s">
        <v>1487</v>
      </c>
      <c r="N447" s="39" t="s">
        <v>1375</v>
      </c>
      <c r="O447" s="39" t="s">
        <v>197</v>
      </c>
      <c r="P447" s="39">
        <v>6.2865005329999999</v>
      </c>
      <c r="Q447" s="39" t="s">
        <v>32</v>
      </c>
      <c r="R447" s="39" t="s">
        <v>29</v>
      </c>
      <c r="S447" s="39" t="s">
        <v>38</v>
      </c>
    </row>
    <row r="448" spans="1:19" x14ac:dyDescent="0.25">
      <c r="A448" s="40" t="s">
        <v>1502</v>
      </c>
      <c r="B448" s="40"/>
      <c r="C448" s="40" t="s">
        <v>1375</v>
      </c>
      <c r="D448" s="40">
        <v>260000</v>
      </c>
      <c r="E448" s="40">
        <v>261347.06</v>
      </c>
      <c r="F448" s="40">
        <v>261553.5</v>
      </c>
      <c r="G448" s="40" t="s">
        <v>629</v>
      </c>
      <c r="H448" s="40">
        <v>11.439159999999999</v>
      </c>
      <c r="I448" s="40" t="s">
        <v>1376</v>
      </c>
      <c r="J448" s="44">
        <v>49414</v>
      </c>
      <c r="K448" s="40">
        <v>712.16099999999994</v>
      </c>
      <c r="L448" s="40">
        <v>1</v>
      </c>
      <c r="M448" s="40" t="s">
        <v>1487</v>
      </c>
      <c r="N448" s="40" t="s">
        <v>1375</v>
      </c>
      <c r="O448" s="40" t="s">
        <v>197</v>
      </c>
      <c r="P448" s="40">
        <v>6.2865005329999999</v>
      </c>
      <c r="Q448" s="40" t="s">
        <v>32</v>
      </c>
      <c r="R448" s="40" t="s">
        <v>29</v>
      </c>
      <c r="S448" s="40" t="s">
        <v>38</v>
      </c>
    </row>
    <row r="449" spans="1:19" x14ac:dyDescent="0.25">
      <c r="A449" s="39" t="s">
        <v>1502</v>
      </c>
      <c r="B449" s="39"/>
      <c r="C449" s="39" t="s">
        <v>1375</v>
      </c>
      <c r="D449" s="39">
        <v>1160000</v>
      </c>
      <c r="E449" s="39">
        <v>1166009.96</v>
      </c>
      <c r="F449" s="39">
        <v>1161782.3999999999</v>
      </c>
      <c r="G449" s="39" t="s">
        <v>629</v>
      </c>
      <c r="H449" s="39">
        <v>11.439159999999999</v>
      </c>
      <c r="I449" s="39" t="s">
        <v>1376</v>
      </c>
      <c r="J449" s="43">
        <v>49414</v>
      </c>
      <c r="K449" s="39">
        <v>712.16099999999994</v>
      </c>
      <c r="L449" s="39">
        <v>1</v>
      </c>
      <c r="M449" s="39" t="s">
        <v>1487</v>
      </c>
      <c r="N449" s="39" t="s">
        <v>1375</v>
      </c>
      <c r="O449" s="39" t="s">
        <v>197</v>
      </c>
      <c r="P449" s="39">
        <v>6.2865005329999999</v>
      </c>
      <c r="Q449" s="39" t="s">
        <v>32</v>
      </c>
      <c r="R449" s="39" t="s">
        <v>29</v>
      </c>
      <c r="S449" s="39" t="s">
        <v>38</v>
      </c>
    </row>
    <row r="450" spans="1:19" x14ac:dyDescent="0.25">
      <c r="A450" s="40" t="s">
        <v>1499</v>
      </c>
      <c r="B450" s="40"/>
      <c r="C450" s="40" t="s">
        <v>402</v>
      </c>
      <c r="D450" s="40">
        <v>927000</v>
      </c>
      <c r="E450" s="40">
        <v>935523.77</v>
      </c>
      <c r="F450" s="40">
        <v>927000</v>
      </c>
      <c r="G450" s="40" t="s">
        <v>588</v>
      </c>
      <c r="H450" s="40">
        <v>6.4689899999999998</v>
      </c>
      <c r="I450" s="40" t="s">
        <v>401</v>
      </c>
      <c r="J450" s="44">
        <v>50495</v>
      </c>
      <c r="K450" s="40">
        <v>215</v>
      </c>
      <c r="L450" s="40">
        <v>1</v>
      </c>
      <c r="M450" s="40" t="s">
        <v>1484</v>
      </c>
      <c r="N450" s="40" t="s">
        <v>402</v>
      </c>
      <c r="O450" s="40" t="s">
        <v>66</v>
      </c>
      <c r="P450" s="40">
        <v>9.1695377439999994</v>
      </c>
      <c r="Q450" s="40" t="s">
        <v>24</v>
      </c>
      <c r="R450" s="40" t="s">
        <v>33</v>
      </c>
      <c r="S450" s="40" t="s">
        <v>34</v>
      </c>
    </row>
    <row r="451" spans="1:19" x14ac:dyDescent="0.25">
      <c r="A451" s="39" t="s">
        <v>1499</v>
      </c>
      <c r="B451" s="39"/>
      <c r="C451" s="39" t="s">
        <v>406</v>
      </c>
      <c r="D451" s="39">
        <v>1043000</v>
      </c>
      <c r="E451" s="39">
        <v>1037020.48</v>
      </c>
      <c r="F451" s="39">
        <v>1043000</v>
      </c>
      <c r="G451" s="39" t="s">
        <v>588</v>
      </c>
      <c r="H451" s="39">
        <v>7.6189900000000002</v>
      </c>
      <c r="I451" s="39" t="s">
        <v>405</v>
      </c>
      <c r="J451" s="43">
        <v>50495</v>
      </c>
      <c r="K451" s="39">
        <v>330</v>
      </c>
      <c r="L451" s="39">
        <v>1</v>
      </c>
      <c r="M451" s="39" t="s">
        <v>1484</v>
      </c>
      <c r="N451" s="39" t="s">
        <v>406</v>
      </c>
      <c r="O451" s="39" t="s">
        <v>66</v>
      </c>
      <c r="P451" s="39">
        <v>9.7045333360000008</v>
      </c>
      <c r="Q451" s="39" t="s">
        <v>28</v>
      </c>
      <c r="R451" s="39" t="s">
        <v>33</v>
      </c>
      <c r="S451" s="39" t="s">
        <v>38</v>
      </c>
    </row>
    <row r="452" spans="1:19" x14ac:dyDescent="0.25">
      <c r="A452" s="40" t="s">
        <v>1499</v>
      </c>
      <c r="B452" s="40"/>
      <c r="C452" s="40" t="s">
        <v>779</v>
      </c>
      <c r="D452" s="40">
        <v>4200000</v>
      </c>
      <c r="E452" s="40">
        <v>4234906.2</v>
      </c>
      <c r="F452" s="40">
        <v>4200000</v>
      </c>
      <c r="G452" s="40" t="s">
        <v>588</v>
      </c>
      <c r="H452" s="40">
        <v>8.0754900000000003</v>
      </c>
      <c r="I452" s="40" t="s">
        <v>780</v>
      </c>
      <c r="J452" s="44">
        <v>50151</v>
      </c>
      <c r="K452" s="40">
        <v>375</v>
      </c>
      <c r="L452" s="40">
        <v>1</v>
      </c>
      <c r="M452" s="40" t="s">
        <v>1484</v>
      </c>
      <c r="N452" s="40" t="s">
        <v>779</v>
      </c>
      <c r="O452" s="40" t="s">
        <v>66</v>
      </c>
      <c r="P452" s="40">
        <v>8.6122414270000007</v>
      </c>
      <c r="Q452" s="40" t="s">
        <v>28</v>
      </c>
      <c r="R452" s="40" t="s">
        <v>33</v>
      </c>
      <c r="S452" s="40" t="s">
        <v>38</v>
      </c>
    </row>
    <row r="453" spans="1:19" x14ac:dyDescent="0.25">
      <c r="A453" s="39" t="s">
        <v>1502</v>
      </c>
      <c r="B453" s="39" t="s">
        <v>1530</v>
      </c>
      <c r="C453" s="39" t="s">
        <v>1375</v>
      </c>
      <c r="D453" s="39">
        <v>1440000</v>
      </c>
      <c r="E453" s="39">
        <v>1447460.64</v>
      </c>
      <c r="F453" s="39">
        <v>1440753.78</v>
      </c>
      <c r="G453" s="39" t="s">
        <v>629</v>
      </c>
      <c r="H453" s="39">
        <v>11.439159999999999</v>
      </c>
      <c r="I453" s="39" t="s">
        <v>1376</v>
      </c>
      <c r="J453" s="43">
        <v>49414</v>
      </c>
      <c r="K453" s="39">
        <v>712.16099999999994</v>
      </c>
      <c r="L453" s="39">
        <v>1</v>
      </c>
      <c r="M453" s="39" t="s">
        <v>1487</v>
      </c>
      <c r="N453" s="39" t="s">
        <v>1375</v>
      </c>
      <c r="O453" s="39" t="s">
        <v>197</v>
      </c>
      <c r="P453" s="39">
        <v>6.2865005329999999</v>
      </c>
      <c r="Q453" s="39" t="s">
        <v>32</v>
      </c>
      <c r="R453" s="39" t="s">
        <v>29</v>
      </c>
      <c r="S453" s="39" t="s">
        <v>38</v>
      </c>
    </row>
    <row r="454" spans="1:19" x14ac:dyDescent="0.25">
      <c r="A454" s="40" t="s">
        <v>1502</v>
      </c>
      <c r="B454" s="40"/>
      <c r="C454" s="40" t="s">
        <v>1375</v>
      </c>
      <c r="D454" s="40">
        <v>1464000</v>
      </c>
      <c r="E454" s="40">
        <v>1471584.98</v>
      </c>
      <c r="F454" s="40">
        <v>1466765.57</v>
      </c>
      <c r="G454" s="40" t="s">
        <v>629</v>
      </c>
      <c r="H454" s="40">
        <v>11.439159999999999</v>
      </c>
      <c r="I454" s="40" t="s">
        <v>1376</v>
      </c>
      <c r="J454" s="44">
        <v>49414</v>
      </c>
      <c r="K454" s="40">
        <v>712.16099999999994</v>
      </c>
      <c r="L454" s="40">
        <v>1</v>
      </c>
      <c r="M454" s="40" t="s">
        <v>1487</v>
      </c>
      <c r="N454" s="40" t="s">
        <v>1375</v>
      </c>
      <c r="O454" s="40" t="s">
        <v>197</v>
      </c>
      <c r="P454" s="40">
        <v>6.2865005329999999</v>
      </c>
      <c r="Q454" s="40" t="s">
        <v>32</v>
      </c>
      <c r="R454" s="40" t="s">
        <v>29</v>
      </c>
      <c r="S454" s="40" t="s">
        <v>38</v>
      </c>
    </row>
    <row r="455" spans="1:19" x14ac:dyDescent="0.25">
      <c r="A455" s="39" t="s">
        <v>1502</v>
      </c>
      <c r="B455" s="39"/>
      <c r="C455" s="39" t="s">
        <v>1382</v>
      </c>
      <c r="D455" s="39">
        <v>310000</v>
      </c>
      <c r="E455" s="39">
        <v>312505.42</v>
      </c>
      <c r="F455" s="39">
        <v>313904.76</v>
      </c>
      <c r="G455" s="39" t="s">
        <v>644</v>
      </c>
      <c r="H455" s="39">
        <v>11.32916</v>
      </c>
      <c r="I455" s="39" t="s">
        <v>1383</v>
      </c>
      <c r="J455" s="43">
        <v>49232</v>
      </c>
      <c r="K455" s="39">
        <v>701.16099999999994</v>
      </c>
      <c r="L455" s="39">
        <v>1</v>
      </c>
      <c r="M455" s="39" t="s">
        <v>1487</v>
      </c>
      <c r="N455" s="39" t="s">
        <v>1382</v>
      </c>
      <c r="O455" s="39" t="s">
        <v>156</v>
      </c>
      <c r="P455" s="39">
        <v>6.5700724900000003</v>
      </c>
      <c r="Q455" s="39" t="s">
        <v>32</v>
      </c>
      <c r="R455" s="39" t="s">
        <v>29</v>
      </c>
      <c r="S455" s="39" t="s">
        <v>38</v>
      </c>
    </row>
    <row r="456" spans="1:19" x14ac:dyDescent="0.25">
      <c r="A456" s="40" t="s">
        <v>1502</v>
      </c>
      <c r="B456" s="40"/>
      <c r="C456" s="40" t="s">
        <v>1382</v>
      </c>
      <c r="D456" s="40">
        <v>1440000</v>
      </c>
      <c r="E456" s="40">
        <v>1451638.08</v>
      </c>
      <c r="F456" s="40">
        <v>1424111.96</v>
      </c>
      <c r="G456" s="40" t="s">
        <v>644</v>
      </c>
      <c r="H456" s="40">
        <v>11.32916</v>
      </c>
      <c r="I456" s="40" t="s">
        <v>1383</v>
      </c>
      <c r="J456" s="44">
        <v>49232</v>
      </c>
      <c r="K456" s="40">
        <v>701.16099999999994</v>
      </c>
      <c r="L456" s="40">
        <v>1</v>
      </c>
      <c r="M456" s="40" t="s">
        <v>1487</v>
      </c>
      <c r="N456" s="40" t="s">
        <v>1382</v>
      </c>
      <c r="O456" s="40" t="s">
        <v>156</v>
      </c>
      <c r="P456" s="40">
        <v>6.5700724900000003</v>
      </c>
      <c r="Q456" s="40" t="s">
        <v>32</v>
      </c>
      <c r="R456" s="40" t="s">
        <v>29</v>
      </c>
      <c r="S456" s="40" t="s">
        <v>38</v>
      </c>
    </row>
    <row r="457" spans="1:19" x14ac:dyDescent="0.25">
      <c r="A457" s="39" t="s">
        <v>1502</v>
      </c>
      <c r="B457" s="39"/>
      <c r="C457" s="39" t="s">
        <v>1384</v>
      </c>
      <c r="D457" s="39">
        <v>3240000</v>
      </c>
      <c r="E457" s="39">
        <v>3236108.76</v>
      </c>
      <c r="F457" s="39">
        <v>3240000</v>
      </c>
      <c r="G457" s="39" t="s">
        <v>644</v>
      </c>
      <c r="H457" s="39">
        <v>8.9175500000000003</v>
      </c>
      <c r="I457" s="39" t="s">
        <v>1385</v>
      </c>
      <c r="J457" s="43">
        <v>49324</v>
      </c>
      <c r="K457" s="39">
        <v>460</v>
      </c>
      <c r="L457" s="39">
        <v>1</v>
      </c>
      <c r="M457" s="39" t="s">
        <v>1487</v>
      </c>
      <c r="N457" s="39" t="s">
        <v>1384</v>
      </c>
      <c r="O457" s="39" t="s">
        <v>156</v>
      </c>
      <c r="P457" s="39">
        <v>6.6221627459999999</v>
      </c>
      <c r="Q457" s="39" t="s">
        <v>32</v>
      </c>
      <c r="R457" s="39" t="s">
        <v>29</v>
      </c>
      <c r="S457" s="39" t="s">
        <v>38</v>
      </c>
    </row>
    <row r="458" spans="1:19" x14ac:dyDescent="0.25">
      <c r="A458" s="40" t="s">
        <v>1502</v>
      </c>
      <c r="B458" s="40" t="s">
        <v>1530</v>
      </c>
      <c r="C458" s="40" t="s">
        <v>1389</v>
      </c>
      <c r="D458" s="40">
        <v>8640000</v>
      </c>
      <c r="E458" s="40">
        <v>8547914.8800000008</v>
      </c>
      <c r="F458" s="40">
        <v>8372548.7999999998</v>
      </c>
      <c r="G458" s="40" t="s">
        <v>117</v>
      </c>
      <c r="H458" s="40">
        <v>11.69401</v>
      </c>
      <c r="I458" s="40" t="s">
        <v>1390</v>
      </c>
      <c r="J458" s="44">
        <v>49142</v>
      </c>
      <c r="K458" s="40">
        <v>737.16099999999994</v>
      </c>
      <c r="L458" s="40">
        <v>1</v>
      </c>
      <c r="M458" s="40" t="s">
        <v>1487</v>
      </c>
      <c r="N458" s="40" t="s">
        <v>1389</v>
      </c>
      <c r="O458" s="40" t="s">
        <v>157</v>
      </c>
      <c r="P458" s="40">
        <v>6.5513109030000001</v>
      </c>
      <c r="Q458" s="40" t="s">
        <v>32</v>
      </c>
      <c r="R458" s="40" t="s">
        <v>29</v>
      </c>
      <c r="S458" s="40" t="s">
        <v>38</v>
      </c>
    </row>
    <row r="459" spans="1:19" x14ac:dyDescent="0.25">
      <c r="A459" s="39" t="s">
        <v>1502</v>
      </c>
      <c r="B459" s="39" t="s">
        <v>1530</v>
      </c>
      <c r="C459" s="39" t="s">
        <v>1389</v>
      </c>
      <c r="D459" s="39">
        <v>34560000</v>
      </c>
      <c r="E459" s="39">
        <v>34191659.520000003</v>
      </c>
      <c r="F459" s="39">
        <v>34077288</v>
      </c>
      <c r="G459" s="39" t="s">
        <v>117</v>
      </c>
      <c r="H459" s="39">
        <v>11.69401</v>
      </c>
      <c r="I459" s="39" t="s">
        <v>1390</v>
      </c>
      <c r="J459" s="43">
        <v>49142</v>
      </c>
      <c r="K459" s="39">
        <v>737.16099999999994</v>
      </c>
      <c r="L459" s="39">
        <v>1</v>
      </c>
      <c r="M459" s="39" t="s">
        <v>1487</v>
      </c>
      <c r="N459" s="39" t="s">
        <v>1389</v>
      </c>
      <c r="O459" s="39" t="s">
        <v>157</v>
      </c>
      <c r="P459" s="39">
        <v>6.5513109030000001</v>
      </c>
      <c r="Q459" s="39" t="s">
        <v>32</v>
      </c>
      <c r="R459" s="39" t="s">
        <v>29</v>
      </c>
      <c r="S459" s="39" t="s">
        <v>38</v>
      </c>
    </row>
    <row r="460" spans="1:19" x14ac:dyDescent="0.25">
      <c r="A460" s="40" t="s">
        <v>1502</v>
      </c>
      <c r="B460" s="40" t="s">
        <v>1530</v>
      </c>
      <c r="C460" s="40" t="s">
        <v>1387</v>
      </c>
      <c r="D460" s="40">
        <v>9090000</v>
      </c>
      <c r="E460" s="40">
        <v>9024824.6999999993</v>
      </c>
      <c r="F460" s="40">
        <v>8822999.4299999997</v>
      </c>
      <c r="G460" s="40" t="s">
        <v>117</v>
      </c>
      <c r="H460" s="40">
        <v>11.684010000000001</v>
      </c>
      <c r="I460" s="40" t="s">
        <v>1388</v>
      </c>
      <c r="J460" s="44">
        <v>49142</v>
      </c>
      <c r="K460" s="40">
        <v>736.16099999999994</v>
      </c>
      <c r="L460" s="40">
        <v>1</v>
      </c>
      <c r="M460" s="40" t="s">
        <v>1487</v>
      </c>
      <c r="N460" s="40" t="s">
        <v>1387</v>
      </c>
      <c r="O460" s="40" t="s">
        <v>157</v>
      </c>
      <c r="P460" s="40">
        <v>6.3180231850000004</v>
      </c>
      <c r="Q460" s="40" t="s">
        <v>32</v>
      </c>
      <c r="R460" s="40" t="s">
        <v>29</v>
      </c>
      <c r="S460" s="40" t="s">
        <v>38</v>
      </c>
    </row>
    <row r="461" spans="1:19" x14ac:dyDescent="0.25">
      <c r="A461" s="39" t="s">
        <v>1502</v>
      </c>
      <c r="B461" s="39"/>
      <c r="C461" s="39" t="s">
        <v>1387</v>
      </c>
      <c r="D461" s="39">
        <v>5050000</v>
      </c>
      <c r="E461" s="39">
        <v>5013791.5</v>
      </c>
      <c r="F461" s="39">
        <v>4885642.7</v>
      </c>
      <c r="G461" s="39" t="s">
        <v>117</v>
      </c>
      <c r="H461" s="39">
        <v>11.684010000000001</v>
      </c>
      <c r="I461" s="39" t="s">
        <v>1388</v>
      </c>
      <c r="J461" s="43">
        <v>49142</v>
      </c>
      <c r="K461" s="39">
        <v>736.16099999999994</v>
      </c>
      <c r="L461" s="39">
        <v>1</v>
      </c>
      <c r="M461" s="39" t="s">
        <v>1487</v>
      </c>
      <c r="N461" s="39" t="s">
        <v>1387</v>
      </c>
      <c r="O461" s="39" t="s">
        <v>157</v>
      </c>
      <c r="P461" s="39">
        <v>6.3180231850000004</v>
      </c>
      <c r="Q461" s="39" t="s">
        <v>32</v>
      </c>
      <c r="R461" s="39" t="s">
        <v>29</v>
      </c>
      <c r="S461" s="39" t="s">
        <v>38</v>
      </c>
    </row>
    <row r="462" spans="1:19" x14ac:dyDescent="0.25">
      <c r="A462" s="40" t="s">
        <v>1502</v>
      </c>
      <c r="B462" s="40"/>
      <c r="C462" s="40" t="s">
        <v>1387</v>
      </c>
      <c r="D462" s="40">
        <v>11110000</v>
      </c>
      <c r="E462" s="40">
        <v>11030341.300000001</v>
      </c>
      <c r="F462" s="40">
        <v>10998900</v>
      </c>
      <c r="G462" s="40" t="s">
        <v>117</v>
      </c>
      <c r="H462" s="40">
        <v>11.684010000000001</v>
      </c>
      <c r="I462" s="40" t="s">
        <v>1388</v>
      </c>
      <c r="J462" s="44">
        <v>49142</v>
      </c>
      <c r="K462" s="40">
        <v>736.16099999999994</v>
      </c>
      <c r="L462" s="40">
        <v>1</v>
      </c>
      <c r="M462" s="40" t="s">
        <v>1487</v>
      </c>
      <c r="N462" s="40" t="s">
        <v>1387</v>
      </c>
      <c r="O462" s="40" t="s">
        <v>157</v>
      </c>
      <c r="P462" s="40">
        <v>6.3180231850000004</v>
      </c>
      <c r="Q462" s="40" t="s">
        <v>32</v>
      </c>
      <c r="R462" s="40" t="s">
        <v>29</v>
      </c>
      <c r="S462" s="40" t="s">
        <v>38</v>
      </c>
    </row>
    <row r="463" spans="1:19" x14ac:dyDescent="0.25">
      <c r="A463" s="39" t="s">
        <v>1502</v>
      </c>
      <c r="B463" s="39" t="s">
        <v>1530</v>
      </c>
      <c r="C463" s="39" t="s">
        <v>1387</v>
      </c>
      <c r="D463" s="39">
        <v>18900000</v>
      </c>
      <c r="E463" s="39">
        <v>18764487</v>
      </c>
      <c r="F463" s="39">
        <v>18711000</v>
      </c>
      <c r="G463" s="39" t="s">
        <v>117</v>
      </c>
      <c r="H463" s="39">
        <v>11.684010000000001</v>
      </c>
      <c r="I463" s="39" t="s">
        <v>1388</v>
      </c>
      <c r="J463" s="43">
        <v>49142</v>
      </c>
      <c r="K463" s="39">
        <v>736.16099999999994</v>
      </c>
      <c r="L463" s="39">
        <v>1</v>
      </c>
      <c r="M463" s="39" t="s">
        <v>1487</v>
      </c>
      <c r="N463" s="39" t="s">
        <v>1387</v>
      </c>
      <c r="O463" s="39" t="s">
        <v>157</v>
      </c>
      <c r="P463" s="39">
        <v>6.3180231850000004</v>
      </c>
      <c r="Q463" s="39" t="s">
        <v>32</v>
      </c>
      <c r="R463" s="39" t="s">
        <v>29</v>
      </c>
      <c r="S463" s="39" t="s">
        <v>38</v>
      </c>
    </row>
    <row r="464" spans="1:19" x14ac:dyDescent="0.25">
      <c r="A464" s="40" t="s">
        <v>1502</v>
      </c>
      <c r="B464" s="40"/>
      <c r="C464" s="40" t="s">
        <v>1391</v>
      </c>
      <c r="D464" s="40">
        <v>7695000</v>
      </c>
      <c r="E464" s="40">
        <v>7637148.9900000002</v>
      </c>
      <c r="F464" s="40">
        <v>7395372.0899999999</v>
      </c>
      <c r="G464" s="40" t="s">
        <v>117</v>
      </c>
      <c r="H464" s="40">
        <v>9.7340099999999996</v>
      </c>
      <c r="I464" s="40" t="s">
        <v>1392</v>
      </c>
      <c r="J464" s="44">
        <v>47955</v>
      </c>
      <c r="K464" s="40">
        <v>541.16099999999994</v>
      </c>
      <c r="L464" s="40">
        <v>1</v>
      </c>
      <c r="M464" s="40" t="s">
        <v>1487</v>
      </c>
      <c r="N464" s="40" t="s">
        <v>1391</v>
      </c>
      <c r="O464" s="40" t="s">
        <v>78</v>
      </c>
      <c r="P464" s="40">
        <v>3.3795795910000002</v>
      </c>
      <c r="Q464" s="40" t="s">
        <v>32</v>
      </c>
      <c r="R464" s="40" t="s">
        <v>22</v>
      </c>
      <c r="S464" s="40" t="s">
        <v>38</v>
      </c>
    </row>
    <row r="465" spans="1:19" x14ac:dyDescent="0.25">
      <c r="A465" s="39" t="s">
        <v>1502</v>
      </c>
      <c r="B465" s="39" t="s">
        <v>1530</v>
      </c>
      <c r="C465" s="39" t="s">
        <v>1391</v>
      </c>
      <c r="D465" s="39">
        <v>9405000</v>
      </c>
      <c r="E465" s="39">
        <v>9334293.2100000009</v>
      </c>
      <c r="F465" s="39">
        <v>9405000</v>
      </c>
      <c r="G465" s="39" t="s">
        <v>117</v>
      </c>
      <c r="H465" s="39">
        <v>9.7340099999999996</v>
      </c>
      <c r="I465" s="39" t="s">
        <v>1392</v>
      </c>
      <c r="J465" s="43">
        <v>47955</v>
      </c>
      <c r="K465" s="39">
        <v>541.16099999999994</v>
      </c>
      <c r="L465" s="39">
        <v>1</v>
      </c>
      <c r="M465" s="39" t="s">
        <v>1487</v>
      </c>
      <c r="N465" s="39" t="s">
        <v>1391</v>
      </c>
      <c r="O465" s="39" t="s">
        <v>78</v>
      </c>
      <c r="P465" s="39">
        <v>3.3795795910000002</v>
      </c>
      <c r="Q465" s="39" t="s">
        <v>32</v>
      </c>
      <c r="R465" s="39" t="s">
        <v>22</v>
      </c>
      <c r="S465" s="39" t="s">
        <v>38</v>
      </c>
    </row>
    <row r="466" spans="1:19" x14ac:dyDescent="0.25">
      <c r="A466" s="40" t="s">
        <v>1502</v>
      </c>
      <c r="B466" s="40"/>
      <c r="C466" s="40" t="s">
        <v>1391</v>
      </c>
      <c r="D466" s="40">
        <v>21375000</v>
      </c>
      <c r="E466" s="40">
        <v>21214302.75</v>
      </c>
      <c r="F466" s="40">
        <v>20326534.879999999</v>
      </c>
      <c r="G466" s="40" t="s">
        <v>117</v>
      </c>
      <c r="H466" s="40">
        <v>9.7340099999999996</v>
      </c>
      <c r="I466" s="40" t="s">
        <v>1392</v>
      </c>
      <c r="J466" s="44">
        <v>47955</v>
      </c>
      <c r="K466" s="40">
        <v>541.16099999999994</v>
      </c>
      <c r="L466" s="40">
        <v>1</v>
      </c>
      <c r="M466" s="40" t="s">
        <v>1487</v>
      </c>
      <c r="N466" s="40" t="s">
        <v>1391</v>
      </c>
      <c r="O466" s="40" t="s">
        <v>78</v>
      </c>
      <c r="P466" s="40">
        <v>3.3795795910000002</v>
      </c>
      <c r="Q466" s="40" t="s">
        <v>32</v>
      </c>
      <c r="R466" s="40" t="s">
        <v>22</v>
      </c>
      <c r="S466" s="40" t="s">
        <v>38</v>
      </c>
    </row>
    <row r="467" spans="1:19" x14ac:dyDescent="0.25">
      <c r="A467" s="39" t="s">
        <v>1502</v>
      </c>
      <c r="B467" s="39" t="s">
        <v>1530</v>
      </c>
      <c r="C467" s="39" t="s">
        <v>1471</v>
      </c>
      <c r="D467" s="39">
        <v>5022000</v>
      </c>
      <c r="E467" s="39">
        <v>4993233.9800000004</v>
      </c>
      <c r="F467" s="39">
        <v>4943772.3099999996</v>
      </c>
      <c r="G467" s="39" t="s">
        <v>117</v>
      </c>
      <c r="H467" s="39">
        <v>10.0871</v>
      </c>
      <c r="I467" s="39" t="s">
        <v>1472</v>
      </c>
      <c r="J467" s="43">
        <v>48049</v>
      </c>
      <c r="K467" s="39">
        <v>576.16099999999994</v>
      </c>
      <c r="L467" s="39">
        <v>1</v>
      </c>
      <c r="M467" s="39" t="s">
        <v>1487</v>
      </c>
      <c r="N467" s="39" t="s">
        <v>1471</v>
      </c>
      <c r="O467" s="39" t="s">
        <v>78</v>
      </c>
      <c r="P467" s="39">
        <v>3.7449948989999999</v>
      </c>
      <c r="Q467" s="39" t="s">
        <v>36</v>
      </c>
      <c r="R467" s="39" t="s">
        <v>22</v>
      </c>
      <c r="S467" s="39" t="s">
        <v>38</v>
      </c>
    </row>
    <row r="468" spans="1:19" x14ac:dyDescent="0.25">
      <c r="A468" s="40" t="s">
        <v>1502</v>
      </c>
      <c r="B468" s="40" t="s">
        <v>1530</v>
      </c>
      <c r="C468" s="40" t="s">
        <v>1471</v>
      </c>
      <c r="D468" s="40">
        <v>6138000</v>
      </c>
      <c r="E468" s="40">
        <v>6102841.54</v>
      </c>
      <c r="F468" s="40">
        <v>6138000</v>
      </c>
      <c r="G468" s="40" t="s">
        <v>117</v>
      </c>
      <c r="H468" s="40">
        <v>10.0871</v>
      </c>
      <c r="I468" s="40" t="s">
        <v>1472</v>
      </c>
      <c r="J468" s="44">
        <v>48049</v>
      </c>
      <c r="K468" s="40">
        <v>576.16099999999994</v>
      </c>
      <c r="L468" s="40">
        <v>1</v>
      </c>
      <c r="M468" s="40" t="s">
        <v>1487</v>
      </c>
      <c r="N468" s="40" t="s">
        <v>1471</v>
      </c>
      <c r="O468" s="40" t="s">
        <v>78</v>
      </c>
      <c r="P468" s="40">
        <v>3.7449948989999999</v>
      </c>
      <c r="Q468" s="40" t="s">
        <v>36</v>
      </c>
      <c r="R468" s="40" t="s">
        <v>22</v>
      </c>
      <c r="S468" s="40" t="s">
        <v>38</v>
      </c>
    </row>
    <row r="469" spans="1:19" x14ac:dyDescent="0.25">
      <c r="A469" s="39" t="s">
        <v>1502</v>
      </c>
      <c r="B469" s="39"/>
      <c r="C469" s="39" t="s">
        <v>1471</v>
      </c>
      <c r="D469" s="39">
        <v>13950000</v>
      </c>
      <c r="E469" s="39">
        <v>13870094.4</v>
      </c>
      <c r="F469" s="39">
        <v>13172148</v>
      </c>
      <c r="G469" s="39" t="s">
        <v>117</v>
      </c>
      <c r="H469" s="39">
        <v>10.0871</v>
      </c>
      <c r="I469" s="39" t="s">
        <v>1472</v>
      </c>
      <c r="J469" s="43">
        <v>48049</v>
      </c>
      <c r="K469" s="39">
        <v>576.16099999999994</v>
      </c>
      <c r="L469" s="39">
        <v>1</v>
      </c>
      <c r="M469" s="39" t="s">
        <v>1487</v>
      </c>
      <c r="N469" s="39" t="s">
        <v>1471</v>
      </c>
      <c r="O469" s="39" t="s">
        <v>78</v>
      </c>
      <c r="P469" s="39">
        <v>3.7449948989999999</v>
      </c>
      <c r="Q469" s="39" t="s">
        <v>36</v>
      </c>
      <c r="R469" s="39" t="s">
        <v>22</v>
      </c>
      <c r="S469" s="39" t="s">
        <v>38</v>
      </c>
    </row>
    <row r="470" spans="1:19" x14ac:dyDescent="0.25">
      <c r="A470" s="40" t="s">
        <v>1502</v>
      </c>
      <c r="B470" s="40"/>
      <c r="C470" s="40" t="s">
        <v>1471</v>
      </c>
      <c r="D470" s="40">
        <v>8640000</v>
      </c>
      <c r="E470" s="40">
        <v>8590510.0800000001</v>
      </c>
      <c r="F470" s="40">
        <v>8418090.2400000002</v>
      </c>
      <c r="G470" s="40" t="s">
        <v>117</v>
      </c>
      <c r="H470" s="40">
        <v>10.0871</v>
      </c>
      <c r="I470" s="40" t="s">
        <v>1472</v>
      </c>
      <c r="J470" s="44">
        <v>48049</v>
      </c>
      <c r="K470" s="40">
        <v>576.16099999999994</v>
      </c>
      <c r="L470" s="40">
        <v>1</v>
      </c>
      <c r="M470" s="40" t="s">
        <v>1487</v>
      </c>
      <c r="N470" s="40" t="s">
        <v>1471</v>
      </c>
      <c r="O470" s="40" t="s">
        <v>78</v>
      </c>
      <c r="P470" s="40">
        <v>3.7449948989999999</v>
      </c>
      <c r="Q470" s="40" t="s">
        <v>36</v>
      </c>
      <c r="R470" s="40" t="s">
        <v>22</v>
      </c>
      <c r="S470" s="40" t="s">
        <v>38</v>
      </c>
    </row>
    <row r="471" spans="1:19" x14ac:dyDescent="0.25">
      <c r="A471" s="39" t="s">
        <v>1502</v>
      </c>
      <c r="B471" s="39"/>
      <c r="C471" s="39" t="s">
        <v>1393</v>
      </c>
      <c r="D471" s="39">
        <v>19800000</v>
      </c>
      <c r="E471" s="39">
        <v>20482030.800000001</v>
      </c>
      <c r="F471" s="39">
        <v>19008000</v>
      </c>
      <c r="G471" s="39" t="s">
        <v>256</v>
      </c>
      <c r="H471" s="39">
        <v>11.859970000000001</v>
      </c>
      <c r="I471" s="39" t="s">
        <v>1394</v>
      </c>
      <c r="J471" s="43">
        <v>50495</v>
      </c>
      <c r="K471" s="39">
        <v>757</v>
      </c>
      <c r="L471" s="39">
        <v>1</v>
      </c>
      <c r="M471" s="39" t="s">
        <v>1487</v>
      </c>
      <c r="N471" s="39" t="s">
        <v>1393</v>
      </c>
      <c r="O471" s="39" t="s">
        <v>78</v>
      </c>
      <c r="P471" s="39">
        <v>9.8476469130000002</v>
      </c>
      <c r="Q471" s="39" t="s">
        <v>32</v>
      </c>
      <c r="R471" s="39" t="s">
        <v>33</v>
      </c>
      <c r="S471" s="39" t="s">
        <v>38</v>
      </c>
    </row>
    <row r="472" spans="1:19" x14ac:dyDescent="0.25">
      <c r="A472" s="40" t="s">
        <v>1502</v>
      </c>
      <c r="B472" s="40"/>
      <c r="C472" s="40" t="s">
        <v>457</v>
      </c>
      <c r="D472" s="40">
        <v>13500000</v>
      </c>
      <c r="E472" s="40">
        <v>13658301</v>
      </c>
      <c r="F472" s="40">
        <v>13500000</v>
      </c>
      <c r="G472" s="40" t="s">
        <v>256</v>
      </c>
      <c r="H472" s="40">
        <v>10.281090000000001</v>
      </c>
      <c r="I472" s="40" t="s">
        <v>456</v>
      </c>
      <c r="J472" s="44">
        <v>50495</v>
      </c>
      <c r="K472" s="40">
        <v>600</v>
      </c>
      <c r="L472" s="40"/>
      <c r="M472" s="40" t="s">
        <v>1487</v>
      </c>
      <c r="N472" s="40" t="s">
        <v>457</v>
      </c>
      <c r="O472" s="40" t="s">
        <v>78</v>
      </c>
      <c r="P472" s="40">
        <v>10.153623946</v>
      </c>
      <c r="Q472" s="40" t="s">
        <v>32</v>
      </c>
      <c r="R472" s="40" t="s">
        <v>37</v>
      </c>
      <c r="S472" s="40" t="s">
        <v>38</v>
      </c>
    </row>
    <row r="473" spans="1:19" x14ac:dyDescent="0.25">
      <c r="A473" s="39" t="s">
        <v>1502</v>
      </c>
      <c r="B473" s="39"/>
      <c r="C473" s="39" t="s">
        <v>1401</v>
      </c>
      <c r="D473" s="39">
        <v>310000</v>
      </c>
      <c r="E473" s="39">
        <v>314458.42</v>
      </c>
      <c r="F473" s="39">
        <v>313020.02</v>
      </c>
      <c r="G473" s="39" t="s">
        <v>971</v>
      </c>
      <c r="H473" s="39">
        <v>11.174010000000001</v>
      </c>
      <c r="I473" s="39" t="s">
        <v>1402</v>
      </c>
      <c r="J473" s="43">
        <v>49051</v>
      </c>
      <c r="K473" s="39">
        <v>685.16099999999994</v>
      </c>
      <c r="L473" s="39">
        <v>1</v>
      </c>
      <c r="M473" s="39" t="s">
        <v>1487</v>
      </c>
      <c r="N473" s="39" t="s">
        <v>1401</v>
      </c>
      <c r="O473" s="39" t="s">
        <v>159</v>
      </c>
      <c r="P473" s="39">
        <v>6.3107235199999998</v>
      </c>
      <c r="Q473" s="39" t="s">
        <v>32</v>
      </c>
      <c r="R473" s="39" t="s">
        <v>29</v>
      </c>
      <c r="S473" s="39" t="s">
        <v>38</v>
      </c>
    </row>
    <row r="474" spans="1:19" x14ac:dyDescent="0.25">
      <c r="A474" s="40" t="s">
        <v>1502</v>
      </c>
      <c r="B474" s="40"/>
      <c r="C474" s="40" t="s">
        <v>1401</v>
      </c>
      <c r="D474" s="40">
        <v>440000</v>
      </c>
      <c r="E474" s="40">
        <v>446328.08</v>
      </c>
      <c r="F474" s="40">
        <v>443599.64</v>
      </c>
      <c r="G474" s="40" t="s">
        <v>971</v>
      </c>
      <c r="H474" s="40">
        <v>11.174010000000001</v>
      </c>
      <c r="I474" s="40" t="s">
        <v>1402</v>
      </c>
      <c r="J474" s="44">
        <v>49051</v>
      </c>
      <c r="K474" s="40">
        <v>685.16099999999994</v>
      </c>
      <c r="L474" s="40">
        <v>1</v>
      </c>
      <c r="M474" s="40" t="s">
        <v>1487</v>
      </c>
      <c r="N474" s="40" t="s">
        <v>1401</v>
      </c>
      <c r="O474" s="40" t="s">
        <v>159</v>
      </c>
      <c r="P474" s="40">
        <v>6.3107235199999998</v>
      </c>
      <c r="Q474" s="40" t="s">
        <v>32</v>
      </c>
      <c r="R474" s="40" t="s">
        <v>29</v>
      </c>
      <c r="S474" s="40" t="s">
        <v>38</v>
      </c>
    </row>
    <row r="475" spans="1:19" x14ac:dyDescent="0.25">
      <c r="A475" s="39" t="s">
        <v>1502</v>
      </c>
      <c r="B475" s="39"/>
      <c r="C475" s="39" t="s">
        <v>1401</v>
      </c>
      <c r="D475" s="39">
        <v>1000000</v>
      </c>
      <c r="E475" s="39">
        <v>1014382</v>
      </c>
      <c r="F475" s="39">
        <v>990000</v>
      </c>
      <c r="G475" s="39" t="s">
        <v>971</v>
      </c>
      <c r="H475" s="39">
        <v>11.174010000000001</v>
      </c>
      <c r="I475" s="39" t="s">
        <v>1402</v>
      </c>
      <c r="J475" s="43">
        <v>49051</v>
      </c>
      <c r="K475" s="39">
        <v>685.16099999999994</v>
      </c>
      <c r="L475" s="39">
        <v>1</v>
      </c>
      <c r="M475" s="39" t="s">
        <v>1487</v>
      </c>
      <c r="N475" s="39" t="s">
        <v>1401</v>
      </c>
      <c r="O475" s="39" t="s">
        <v>159</v>
      </c>
      <c r="P475" s="39">
        <v>6.3107235199999998</v>
      </c>
      <c r="Q475" s="39" t="s">
        <v>32</v>
      </c>
      <c r="R475" s="39" t="s">
        <v>29</v>
      </c>
      <c r="S475" s="39" t="s">
        <v>38</v>
      </c>
    </row>
    <row r="476" spans="1:19" x14ac:dyDescent="0.25">
      <c r="A476" s="40" t="s">
        <v>1502</v>
      </c>
      <c r="B476" s="40"/>
      <c r="C476" s="40" t="s">
        <v>1403</v>
      </c>
      <c r="D476" s="40">
        <v>1548000</v>
      </c>
      <c r="E476" s="40">
        <v>1547616.1</v>
      </c>
      <c r="F476" s="40">
        <v>1548000</v>
      </c>
      <c r="G476" s="40" t="s">
        <v>971</v>
      </c>
      <c r="H476" s="40">
        <v>9.0754900000000003</v>
      </c>
      <c r="I476" s="40" t="s">
        <v>1404</v>
      </c>
      <c r="J476" s="44">
        <v>49418</v>
      </c>
      <c r="K476" s="40">
        <v>475</v>
      </c>
      <c r="L476" s="40">
        <v>1</v>
      </c>
      <c r="M476" s="40" t="s">
        <v>1487</v>
      </c>
      <c r="N476" s="40" t="s">
        <v>1403</v>
      </c>
      <c r="O476" s="40" t="s">
        <v>159</v>
      </c>
      <c r="P476" s="40">
        <v>6.8973612549999999</v>
      </c>
      <c r="Q476" s="40" t="s">
        <v>32</v>
      </c>
      <c r="R476" s="40" t="s">
        <v>29</v>
      </c>
      <c r="S476" s="40" t="s">
        <v>38</v>
      </c>
    </row>
    <row r="477" spans="1:19" x14ac:dyDescent="0.25">
      <c r="A477" s="39" t="s">
        <v>1502</v>
      </c>
      <c r="B477" s="39"/>
      <c r="C477" s="39" t="s">
        <v>1399</v>
      </c>
      <c r="D477" s="39">
        <v>1724000</v>
      </c>
      <c r="E477" s="39">
        <v>1734823.27</v>
      </c>
      <c r="F477" s="39">
        <v>1739774.6</v>
      </c>
      <c r="G477" s="39" t="s">
        <v>649</v>
      </c>
      <c r="H477" s="39">
        <v>11.07916</v>
      </c>
      <c r="I477" s="39" t="s">
        <v>1400</v>
      </c>
      <c r="J477" s="43">
        <v>49232</v>
      </c>
      <c r="K477" s="39">
        <v>676.16099999999994</v>
      </c>
      <c r="L477" s="39">
        <v>1</v>
      </c>
      <c r="M477" s="39" t="s">
        <v>1487</v>
      </c>
      <c r="N477" s="39" t="s">
        <v>1399</v>
      </c>
      <c r="O477" s="39" t="s">
        <v>79</v>
      </c>
      <c r="P477" s="39">
        <v>6.57372114</v>
      </c>
      <c r="Q477" s="39" t="s">
        <v>32</v>
      </c>
      <c r="R477" s="39" t="s">
        <v>29</v>
      </c>
      <c r="S477" s="39" t="s">
        <v>38</v>
      </c>
    </row>
    <row r="478" spans="1:19" x14ac:dyDescent="0.25">
      <c r="A478" s="40" t="s">
        <v>1502</v>
      </c>
      <c r="B478" s="40" t="s">
        <v>1530</v>
      </c>
      <c r="C478" s="40" t="s">
        <v>1399</v>
      </c>
      <c r="D478" s="40">
        <v>3935000</v>
      </c>
      <c r="E478" s="40">
        <v>3959703.93</v>
      </c>
      <c r="F478" s="40">
        <v>3978643.09</v>
      </c>
      <c r="G478" s="40" t="s">
        <v>649</v>
      </c>
      <c r="H478" s="40">
        <v>11.07916</v>
      </c>
      <c r="I478" s="40" t="s">
        <v>1400</v>
      </c>
      <c r="J478" s="44">
        <v>49232</v>
      </c>
      <c r="K478" s="40">
        <v>676.16099999999994</v>
      </c>
      <c r="L478" s="40">
        <v>1</v>
      </c>
      <c r="M478" s="40" t="s">
        <v>1487</v>
      </c>
      <c r="N478" s="40" t="s">
        <v>1399</v>
      </c>
      <c r="O478" s="40" t="s">
        <v>79</v>
      </c>
      <c r="P478" s="40">
        <v>6.57372114</v>
      </c>
      <c r="Q478" s="40" t="s">
        <v>32</v>
      </c>
      <c r="R478" s="40" t="s">
        <v>29</v>
      </c>
      <c r="S478" s="40" t="s">
        <v>38</v>
      </c>
    </row>
    <row r="479" spans="1:19" x14ac:dyDescent="0.25">
      <c r="A479" s="39" t="s">
        <v>1502</v>
      </c>
      <c r="B479" s="39"/>
      <c r="C479" s="39" t="s">
        <v>1399</v>
      </c>
      <c r="D479" s="39">
        <v>90000</v>
      </c>
      <c r="E479" s="39">
        <v>90565.02</v>
      </c>
      <c r="F479" s="39">
        <v>90006.3</v>
      </c>
      <c r="G479" s="39" t="s">
        <v>649</v>
      </c>
      <c r="H479" s="39">
        <v>11.07916</v>
      </c>
      <c r="I479" s="39" t="s">
        <v>1400</v>
      </c>
      <c r="J479" s="43">
        <v>49232</v>
      </c>
      <c r="K479" s="39">
        <v>676.16099999999994</v>
      </c>
      <c r="L479" s="39">
        <v>1</v>
      </c>
      <c r="M479" s="39" t="s">
        <v>1487</v>
      </c>
      <c r="N479" s="39" t="s">
        <v>1399</v>
      </c>
      <c r="O479" s="39" t="s">
        <v>79</v>
      </c>
      <c r="P479" s="39">
        <v>6.57372114</v>
      </c>
      <c r="Q479" s="39" t="s">
        <v>32</v>
      </c>
      <c r="R479" s="39" t="s">
        <v>29</v>
      </c>
      <c r="S479" s="39" t="s">
        <v>38</v>
      </c>
    </row>
    <row r="480" spans="1:19" x14ac:dyDescent="0.25">
      <c r="A480" s="40" t="s">
        <v>1502</v>
      </c>
      <c r="B480" s="40"/>
      <c r="C480" s="40" t="s">
        <v>1399</v>
      </c>
      <c r="D480" s="40">
        <v>370000</v>
      </c>
      <c r="E480" s="40">
        <v>372322.86</v>
      </c>
      <c r="F480" s="40">
        <v>372373.57</v>
      </c>
      <c r="G480" s="40" t="s">
        <v>649</v>
      </c>
      <c r="H480" s="40">
        <v>11.07916</v>
      </c>
      <c r="I480" s="40" t="s">
        <v>1400</v>
      </c>
      <c r="J480" s="44">
        <v>49232</v>
      </c>
      <c r="K480" s="40">
        <v>676.16099999999994</v>
      </c>
      <c r="L480" s="40">
        <v>1</v>
      </c>
      <c r="M480" s="40" t="s">
        <v>1487</v>
      </c>
      <c r="N480" s="40" t="s">
        <v>1399</v>
      </c>
      <c r="O480" s="40" t="s">
        <v>79</v>
      </c>
      <c r="P480" s="40">
        <v>6.57372114</v>
      </c>
      <c r="Q480" s="40" t="s">
        <v>32</v>
      </c>
      <c r="R480" s="40" t="s">
        <v>29</v>
      </c>
      <c r="S480" s="40" t="s">
        <v>38</v>
      </c>
    </row>
    <row r="481" spans="1:19" x14ac:dyDescent="0.25">
      <c r="A481" s="39" t="s">
        <v>1502</v>
      </c>
      <c r="B481" s="39" t="s">
        <v>1530</v>
      </c>
      <c r="C481" s="39" t="s">
        <v>1399</v>
      </c>
      <c r="D481" s="39">
        <v>770000</v>
      </c>
      <c r="E481" s="39">
        <v>774834.06</v>
      </c>
      <c r="F481" s="39">
        <v>774868.24</v>
      </c>
      <c r="G481" s="39" t="s">
        <v>649</v>
      </c>
      <c r="H481" s="39">
        <v>11.07916</v>
      </c>
      <c r="I481" s="39" t="s">
        <v>1400</v>
      </c>
      <c r="J481" s="43">
        <v>49232</v>
      </c>
      <c r="K481" s="39">
        <v>676.16099999999994</v>
      </c>
      <c r="L481" s="39">
        <v>1</v>
      </c>
      <c r="M481" s="39" t="s">
        <v>1487</v>
      </c>
      <c r="N481" s="39" t="s">
        <v>1399</v>
      </c>
      <c r="O481" s="39" t="s">
        <v>79</v>
      </c>
      <c r="P481" s="39">
        <v>6.57372114</v>
      </c>
      <c r="Q481" s="39" t="s">
        <v>32</v>
      </c>
      <c r="R481" s="39" t="s">
        <v>29</v>
      </c>
      <c r="S481" s="39" t="s">
        <v>38</v>
      </c>
    </row>
    <row r="482" spans="1:19" x14ac:dyDescent="0.25">
      <c r="A482" s="40" t="s">
        <v>1502</v>
      </c>
      <c r="B482" s="40"/>
      <c r="C482" s="40" t="s">
        <v>1399</v>
      </c>
      <c r="D482" s="40">
        <v>2111000</v>
      </c>
      <c r="E482" s="40">
        <v>2124252.86</v>
      </c>
      <c r="F482" s="40">
        <v>2111000</v>
      </c>
      <c r="G482" s="40" t="s">
        <v>649</v>
      </c>
      <c r="H482" s="40">
        <v>11.07916</v>
      </c>
      <c r="I482" s="40" t="s">
        <v>1400</v>
      </c>
      <c r="J482" s="44">
        <v>49232</v>
      </c>
      <c r="K482" s="40">
        <v>676.16099999999994</v>
      </c>
      <c r="L482" s="40">
        <v>1</v>
      </c>
      <c r="M482" s="40" t="s">
        <v>1487</v>
      </c>
      <c r="N482" s="40" t="s">
        <v>1399</v>
      </c>
      <c r="O482" s="40" t="s">
        <v>79</v>
      </c>
      <c r="P482" s="40">
        <v>6.57372114</v>
      </c>
      <c r="Q482" s="40" t="s">
        <v>32</v>
      </c>
      <c r="R482" s="40" t="s">
        <v>29</v>
      </c>
      <c r="S482" s="40" t="s">
        <v>38</v>
      </c>
    </row>
    <row r="483" spans="1:19" x14ac:dyDescent="0.25">
      <c r="A483" s="39" t="s">
        <v>1502</v>
      </c>
      <c r="B483" s="39"/>
      <c r="C483" s="39" t="s">
        <v>1397</v>
      </c>
      <c r="D483" s="39">
        <v>3600000</v>
      </c>
      <c r="E483" s="39">
        <v>3635946</v>
      </c>
      <c r="F483" s="39">
        <v>3600000</v>
      </c>
      <c r="G483" s="39" t="s">
        <v>649</v>
      </c>
      <c r="H483" s="39">
        <v>9.8175500000000007</v>
      </c>
      <c r="I483" s="39" t="s">
        <v>1398</v>
      </c>
      <c r="J483" s="43">
        <v>51241</v>
      </c>
      <c r="K483" s="39">
        <v>550</v>
      </c>
      <c r="L483" s="39">
        <v>1</v>
      </c>
      <c r="M483" s="39" t="s">
        <v>1487</v>
      </c>
      <c r="N483" s="39" t="s">
        <v>1397</v>
      </c>
      <c r="O483" s="39" t="s">
        <v>79</v>
      </c>
      <c r="P483" s="39">
        <v>9.5821656169999994</v>
      </c>
      <c r="Q483" s="39" t="s">
        <v>32</v>
      </c>
      <c r="R483" s="39" t="s">
        <v>33</v>
      </c>
      <c r="S483" s="39" t="s">
        <v>38</v>
      </c>
    </row>
    <row r="484" spans="1:19" x14ac:dyDescent="0.25">
      <c r="A484" s="40" t="s">
        <v>1502</v>
      </c>
      <c r="B484" s="40" t="s">
        <v>1530</v>
      </c>
      <c r="C484" s="40" t="s">
        <v>1395</v>
      </c>
      <c r="D484" s="40">
        <v>1057500</v>
      </c>
      <c r="E484" s="40">
        <v>1057552.8799999999</v>
      </c>
      <c r="F484" s="40">
        <v>1067407.72</v>
      </c>
      <c r="G484" s="40" t="s">
        <v>649</v>
      </c>
      <c r="H484" s="40">
        <v>10.8371</v>
      </c>
      <c r="I484" s="40" t="s">
        <v>1396</v>
      </c>
      <c r="J484" s="44">
        <v>49145</v>
      </c>
      <c r="K484" s="40">
        <v>651.16099999999994</v>
      </c>
      <c r="L484" s="40">
        <v>1</v>
      </c>
      <c r="M484" s="40" t="s">
        <v>1487</v>
      </c>
      <c r="N484" s="40" t="s">
        <v>1395</v>
      </c>
      <c r="O484" s="40" t="s">
        <v>79</v>
      </c>
      <c r="P484" s="40">
        <v>6.3979172569999996</v>
      </c>
      <c r="Q484" s="40" t="s">
        <v>32</v>
      </c>
      <c r="R484" s="40" t="s">
        <v>29</v>
      </c>
      <c r="S484" s="40" t="s">
        <v>38</v>
      </c>
    </row>
    <row r="485" spans="1:19" x14ac:dyDescent="0.25">
      <c r="A485" s="39" t="s">
        <v>1499</v>
      </c>
      <c r="B485" s="39"/>
      <c r="C485" s="39" t="s">
        <v>408</v>
      </c>
      <c r="D485" s="39">
        <v>5951733</v>
      </c>
      <c r="E485" s="39">
        <v>5981134.5599999996</v>
      </c>
      <c r="F485" s="39">
        <v>5951733</v>
      </c>
      <c r="G485" s="39" t="s">
        <v>588</v>
      </c>
      <c r="H485" s="39">
        <v>7.2232200000000004</v>
      </c>
      <c r="I485" s="39" t="s">
        <v>407</v>
      </c>
      <c r="J485" s="43">
        <v>50607</v>
      </c>
      <c r="K485" s="39">
        <v>290</v>
      </c>
      <c r="L485" s="39">
        <v>1</v>
      </c>
      <c r="M485" s="39" t="s">
        <v>1484</v>
      </c>
      <c r="N485" s="39" t="s">
        <v>408</v>
      </c>
      <c r="O485" s="39" t="s">
        <v>66</v>
      </c>
      <c r="P485" s="39">
        <v>9.6224766489999993</v>
      </c>
      <c r="Q485" s="39" t="s">
        <v>28</v>
      </c>
      <c r="R485" s="39" t="s">
        <v>33</v>
      </c>
      <c r="S485" s="39" t="s">
        <v>38</v>
      </c>
    </row>
    <row r="486" spans="1:19" x14ac:dyDescent="0.25">
      <c r="A486" s="40" t="s">
        <v>1499</v>
      </c>
      <c r="B486" s="40"/>
      <c r="C486" s="40" t="s">
        <v>412</v>
      </c>
      <c r="D486" s="40">
        <v>3500000</v>
      </c>
      <c r="E486" s="40">
        <v>3514199.5</v>
      </c>
      <c r="F486" s="40">
        <v>3500000</v>
      </c>
      <c r="G486" s="40" t="s">
        <v>588</v>
      </c>
      <c r="H486" s="40">
        <v>7.3704599999999996</v>
      </c>
      <c r="I486" s="40" t="s">
        <v>411</v>
      </c>
      <c r="J486" s="44">
        <v>50607</v>
      </c>
      <c r="K486" s="40">
        <v>305</v>
      </c>
      <c r="L486" s="40">
        <v>1</v>
      </c>
      <c r="M486" s="40" t="s">
        <v>1484</v>
      </c>
      <c r="N486" s="40" t="s">
        <v>412</v>
      </c>
      <c r="O486" s="40" t="s">
        <v>66</v>
      </c>
      <c r="P486" s="40">
        <v>9.2339745929999992</v>
      </c>
      <c r="Q486" s="40" t="s">
        <v>28</v>
      </c>
      <c r="R486" s="40" t="s">
        <v>33</v>
      </c>
      <c r="S486" s="40" t="s">
        <v>38</v>
      </c>
    </row>
    <row r="487" spans="1:19" x14ac:dyDescent="0.25">
      <c r="A487" s="39" t="s">
        <v>1499</v>
      </c>
      <c r="B487" s="39"/>
      <c r="C487" s="39" t="s">
        <v>781</v>
      </c>
      <c r="D487" s="39">
        <v>3000000</v>
      </c>
      <c r="E487" s="39">
        <v>3015474</v>
      </c>
      <c r="F487" s="39">
        <v>3037500</v>
      </c>
      <c r="G487" s="39" t="s">
        <v>588</v>
      </c>
      <c r="H487" s="39">
        <v>7.2319899999999997</v>
      </c>
      <c r="I487" s="39" t="s">
        <v>782</v>
      </c>
      <c r="J487" s="43">
        <v>50427</v>
      </c>
      <c r="K487" s="39">
        <v>290</v>
      </c>
      <c r="L487" s="39">
        <v>1</v>
      </c>
      <c r="M487" s="39" t="s">
        <v>1484</v>
      </c>
      <c r="N487" s="39" t="s">
        <v>781</v>
      </c>
      <c r="O487" s="39" t="s">
        <v>66</v>
      </c>
      <c r="P487" s="39">
        <v>9.2368901099999992</v>
      </c>
      <c r="Q487" s="39" t="s">
        <v>28</v>
      </c>
      <c r="R487" s="39" t="s">
        <v>33</v>
      </c>
      <c r="S487" s="39" t="s">
        <v>38</v>
      </c>
    </row>
    <row r="488" spans="1:19" x14ac:dyDescent="0.25">
      <c r="A488" s="40" t="s">
        <v>1499</v>
      </c>
      <c r="B488" s="40"/>
      <c r="C488" s="40" t="s">
        <v>813</v>
      </c>
      <c r="D488" s="40">
        <v>5000000</v>
      </c>
      <c r="E488" s="40">
        <v>5006645</v>
      </c>
      <c r="F488" s="40">
        <v>5000000</v>
      </c>
      <c r="G488" s="40" t="s">
        <v>619</v>
      </c>
      <c r="H488" s="40">
        <v>7.3138100000000001</v>
      </c>
      <c r="I488" s="40" t="s">
        <v>814</v>
      </c>
      <c r="J488" s="44">
        <v>49245</v>
      </c>
      <c r="K488" s="40">
        <v>300</v>
      </c>
      <c r="L488" s="40">
        <v>1</v>
      </c>
      <c r="M488" s="40" t="s">
        <v>1484</v>
      </c>
      <c r="N488" s="40" t="s">
        <v>813</v>
      </c>
      <c r="O488" s="40" t="s">
        <v>70</v>
      </c>
      <c r="P488" s="40">
        <v>5.7484801140000004</v>
      </c>
      <c r="Q488" s="40" t="s">
        <v>28</v>
      </c>
      <c r="R488" s="40" t="s">
        <v>25</v>
      </c>
      <c r="S488" s="40" t="s">
        <v>38</v>
      </c>
    </row>
    <row r="489" spans="1:19" x14ac:dyDescent="0.25">
      <c r="A489" s="39" t="s">
        <v>1499</v>
      </c>
      <c r="B489" s="39"/>
      <c r="C489" s="39" t="s">
        <v>593</v>
      </c>
      <c r="D489" s="39">
        <v>4050000</v>
      </c>
      <c r="E489" s="39">
        <v>4065361.65</v>
      </c>
      <c r="F489" s="39">
        <v>4050000</v>
      </c>
      <c r="G489" s="39" t="s">
        <v>594</v>
      </c>
      <c r="H489" s="39">
        <v>6.3819900000000001</v>
      </c>
      <c r="I489" s="39" t="s">
        <v>595</v>
      </c>
      <c r="J489" s="43">
        <v>50243</v>
      </c>
      <c r="K489" s="39">
        <v>205</v>
      </c>
      <c r="L489" s="39">
        <v>1</v>
      </c>
      <c r="M489" s="39" t="s">
        <v>1484</v>
      </c>
      <c r="N489" s="39" t="s">
        <v>593</v>
      </c>
      <c r="O489" s="39" t="s">
        <v>198</v>
      </c>
      <c r="P489" s="39">
        <v>8.2745265989999996</v>
      </c>
      <c r="Q489" s="39" t="s">
        <v>24</v>
      </c>
      <c r="R489" s="39" t="s">
        <v>33</v>
      </c>
      <c r="S489" s="39" t="s">
        <v>34</v>
      </c>
    </row>
    <row r="490" spans="1:19" x14ac:dyDescent="0.25">
      <c r="A490" s="40" t="s">
        <v>1499</v>
      </c>
      <c r="B490" s="40"/>
      <c r="C490" s="40" t="s">
        <v>783</v>
      </c>
      <c r="D490" s="40">
        <v>5850000</v>
      </c>
      <c r="E490" s="40">
        <v>5867122.9500000002</v>
      </c>
      <c r="F490" s="40">
        <v>5850000</v>
      </c>
      <c r="G490" s="40" t="s">
        <v>594</v>
      </c>
      <c r="H490" s="40">
        <v>7.3319900000000002</v>
      </c>
      <c r="I490" s="40" t="s">
        <v>784</v>
      </c>
      <c r="J490" s="44">
        <v>50243</v>
      </c>
      <c r="K490" s="40">
        <v>300</v>
      </c>
      <c r="L490" s="40">
        <v>1</v>
      </c>
      <c r="M490" s="40" t="s">
        <v>1484</v>
      </c>
      <c r="N490" s="40" t="s">
        <v>783</v>
      </c>
      <c r="O490" s="40" t="s">
        <v>198</v>
      </c>
      <c r="P490" s="40">
        <v>8.8400926979999994</v>
      </c>
      <c r="Q490" s="40" t="s">
        <v>28</v>
      </c>
      <c r="R490" s="40" t="s">
        <v>33</v>
      </c>
      <c r="S490" s="40" t="s">
        <v>38</v>
      </c>
    </row>
    <row r="491" spans="1:19" x14ac:dyDescent="0.25">
      <c r="A491" s="39" t="s">
        <v>1499</v>
      </c>
      <c r="B491" s="39"/>
      <c r="C491" s="39" t="s">
        <v>601</v>
      </c>
      <c r="D491" s="39">
        <v>2000000</v>
      </c>
      <c r="E491" s="39">
        <v>2013182</v>
      </c>
      <c r="F491" s="39">
        <v>2000000</v>
      </c>
      <c r="G491" s="39" t="s">
        <v>594</v>
      </c>
      <c r="H491" s="39">
        <v>6.7254899999999997</v>
      </c>
      <c r="I491" s="39" t="s">
        <v>602</v>
      </c>
      <c r="J491" s="43">
        <v>50149</v>
      </c>
      <c r="K491" s="39">
        <v>240</v>
      </c>
      <c r="L491" s="39">
        <v>1</v>
      </c>
      <c r="M491" s="39" t="s">
        <v>1484</v>
      </c>
      <c r="N491" s="39" t="s">
        <v>601</v>
      </c>
      <c r="O491" s="39" t="s">
        <v>198</v>
      </c>
      <c r="P491" s="39">
        <v>8.0334814090000002</v>
      </c>
      <c r="Q491" s="39" t="s">
        <v>24</v>
      </c>
      <c r="R491" s="39" t="s">
        <v>33</v>
      </c>
      <c r="S491" s="39" t="s">
        <v>34</v>
      </c>
    </row>
    <row r="492" spans="1:19" x14ac:dyDescent="0.25">
      <c r="A492" s="40" t="s">
        <v>1499</v>
      </c>
      <c r="B492" s="40"/>
      <c r="C492" s="40" t="s">
        <v>785</v>
      </c>
      <c r="D492" s="40">
        <v>2000000</v>
      </c>
      <c r="E492" s="40">
        <v>2017566</v>
      </c>
      <c r="F492" s="40">
        <v>2000000</v>
      </c>
      <c r="G492" s="40" t="s">
        <v>594</v>
      </c>
      <c r="H492" s="40">
        <v>7.7254899999999997</v>
      </c>
      <c r="I492" s="40" t="s">
        <v>786</v>
      </c>
      <c r="J492" s="44">
        <v>50149</v>
      </c>
      <c r="K492" s="40">
        <v>340</v>
      </c>
      <c r="L492" s="40">
        <v>1</v>
      </c>
      <c r="M492" s="40" t="s">
        <v>1484</v>
      </c>
      <c r="N492" s="40" t="s">
        <v>785</v>
      </c>
      <c r="O492" s="40" t="s">
        <v>198</v>
      </c>
      <c r="P492" s="40">
        <v>8.6491277780000004</v>
      </c>
      <c r="Q492" s="40" t="s">
        <v>28</v>
      </c>
      <c r="R492" s="40" t="s">
        <v>33</v>
      </c>
      <c r="S492" s="40" t="s">
        <v>38</v>
      </c>
    </row>
    <row r="493" spans="1:19" x14ac:dyDescent="0.25">
      <c r="A493" s="39" t="s">
        <v>1499</v>
      </c>
      <c r="B493" s="39" t="s">
        <v>1530</v>
      </c>
      <c r="C493" s="39" t="s">
        <v>793</v>
      </c>
      <c r="D493" s="39">
        <v>1875000</v>
      </c>
      <c r="E493" s="39">
        <v>1882241.25</v>
      </c>
      <c r="F493" s="39">
        <v>1875000</v>
      </c>
      <c r="G493" s="39" t="s">
        <v>605</v>
      </c>
      <c r="H493" s="39">
        <v>8.1291600000000006</v>
      </c>
      <c r="I493" s="39" t="s">
        <v>794</v>
      </c>
      <c r="J493" s="43">
        <v>49232</v>
      </c>
      <c r="K493" s="39">
        <v>381.161</v>
      </c>
      <c r="L493" s="39">
        <v>1</v>
      </c>
      <c r="M493" s="39" t="s">
        <v>1484</v>
      </c>
      <c r="N493" s="39" t="s">
        <v>793</v>
      </c>
      <c r="O493" s="39" t="s">
        <v>68</v>
      </c>
      <c r="P493" s="39">
        <v>6.3388070499999998</v>
      </c>
      <c r="Q493" s="39" t="s">
        <v>28</v>
      </c>
      <c r="R493" s="39" t="s">
        <v>29</v>
      </c>
      <c r="S493" s="39" t="s">
        <v>38</v>
      </c>
    </row>
    <row r="494" spans="1:19" x14ac:dyDescent="0.25">
      <c r="A494" s="40" t="s">
        <v>1499</v>
      </c>
      <c r="B494" s="40"/>
      <c r="C494" s="40" t="s">
        <v>793</v>
      </c>
      <c r="D494" s="40">
        <v>40000</v>
      </c>
      <c r="E494" s="40">
        <v>40154.480000000003</v>
      </c>
      <c r="F494" s="40">
        <v>39999.68</v>
      </c>
      <c r="G494" s="40" t="s">
        <v>605</v>
      </c>
      <c r="H494" s="40">
        <v>8.1291600000000006</v>
      </c>
      <c r="I494" s="40" t="s">
        <v>794</v>
      </c>
      <c r="J494" s="44">
        <v>49232</v>
      </c>
      <c r="K494" s="40">
        <v>381.161</v>
      </c>
      <c r="L494" s="40">
        <v>1</v>
      </c>
      <c r="M494" s="40" t="s">
        <v>1484</v>
      </c>
      <c r="N494" s="40" t="s">
        <v>793</v>
      </c>
      <c r="O494" s="40" t="s">
        <v>68</v>
      </c>
      <c r="P494" s="40">
        <v>6.3388070499999998</v>
      </c>
      <c r="Q494" s="40" t="s">
        <v>28</v>
      </c>
      <c r="R494" s="40" t="s">
        <v>29</v>
      </c>
      <c r="S494" s="40" t="s">
        <v>38</v>
      </c>
    </row>
    <row r="495" spans="1:19" x14ac:dyDescent="0.25">
      <c r="A495" s="39" t="s">
        <v>1499</v>
      </c>
      <c r="B495" s="39" t="s">
        <v>1530</v>
      </c>
      <c r="C495" s="39" t="s">
        <v>793</v>
      </c>
      <c r="D495" s="39">
        <v>90000</v>
      </c>
      <c r="E495" s="39">
        <v>90347.58</v>
      </c>
      <c r="F495" s="39">
        <v>89999.28</v>
      </c>
      <c r="G495" s="39" t="s">
        <v>605</v>
      </c>
      <c r="H495" s="39">
        <v>8.1291600000000006</v>
      </c>
      <c r="I495" s="39" t="s">
        <v>794</v>
      </c>
      <c r="J495" s="43">
        <v>49232</v>
      </c>
      <c r="K495" s="39">
        <v>381.161</v>
      </c>
      <c r="L495" s="39">
        <v>1</v>
      </c>
      <c r="M495" s="39" t="s">
        <v>1484</v>
      </c>
      <c r="N495" s="39" t="s">
        <v>793</v>
      </c>
      <c r="O495" s="39" t="s">
        <v>68</v>
      </c>
      <c r="P495" s="39">
        <v>6.3388070499999998</v>
      </c>
      <c r="Q495" s="39" t="s">
        <v>28</v>
      </c>
      <c r="R495" s="39" t="s">
        <v>29</v>
      </c>
      <c r="S495" s="39" t="s">
        <v>38</v>
      </c>
    </row>
    <row r="496" spans="1:19" x14ac:dyDescent="0.25">
      <c r="A496" s="40" t="s">
        <v>1499</v>
      </c>
      <c r="B496" s="40"/>
      <c r="C496" s="40" t="s">
        <v>793</v>
      </c>
      <c r="D496" s="40">
        <v>130000</v>
      </c>
      <c r="E496" s="40">
        <v>130502.06</v>
      </c>
      <c r="F496" s="40">
        <v>129998.96</v>
      </c>
      <c r="G496" s="40" t="s">
        <v>605</v>
      </c>
      <c r="H496" s="40">
        <v>8.1291600000000006</v>
      </c>
      <c r="I496" s="40" t="s">
        <v>794</v>
      </c>
      <c r="J496" s="44">
        <v>49232</v>
      </c>
      <c r="K496" s="40">
        <v>381.161</v>
      </c>
      <c r="L496" s="40">
        <v>1</v>
      </c>
      <c r="M496" s="40" t="s">
        <v>1484</v>
      </c>
      <c r="N496" s="40" t="s">
        <v>793</v>
      </c>
      <c r="O496" s="40" t="s">
        <v>68</v>
      </c>
      <c r="P496" s="40">
        <v>6.3388070499999998</v>
      </c>
      <c r="Q496" s="40" t="s">
        <v>28</v>
      </c>
      <c r="R496" s="40" t="s">
        <v>29</v>
      </c>
      <c r="S496" s="40" t="s">
        <v>38</v>
      </c>
    </row>
    <row r="497" spans="1:19" x14ac:dyDescent="0.25">
      <c r="A497" s="39" t="s">
        <v>1499</v>
      </c>
      <c r="B497" s="39"/>
      <c r="C497" s="39" t="s">
        <v>415</v>
      </c>
      <c r="D497" s="39">
        <v>7160000</v>
      </c>
      <c r="E497" s="39">
        <v>7186850</v>
      </c>
      <c r="F497" s="39">
        <v>7160000</v>
      </c>
      <c r="G497" s="39" t="s">
        <v>605</v>
      </c>
      <c r="H497" s="39">
        <v>0</v>
      </c>
      <c r="I497" s="39" t="s">
        <v>414</v>
      </c>
      <c r="J497" s="43">
        <v>50608</v>
      </c>
      <c r="K497" s="39">
        <v>305</v>
      </c>
      <c r="L497" s="39">
        <v>1</v>
      </c>
      <c r="M497" s="39" t="s">
        <v>1484</v>
      </c>
      <c r="N497" s="39" t="s">
        <v>415</v>
      </c>
      <c r="O497" s="39" t="s">
        <v>68</v>
      </c>
      <c r="P497" s="39">
        <v>0</v>
      </c>
      <c r="Q497" s="39" t="s">
        <v>28</v>
      </c>
      <c r="R497" s="39" t="s">
        <v>18</v>
      </c>
      <c r="S497" s="39" t="s">
        <v>19</v>
      </c>
    </row>
    <row r="498" spans="1:19" x14ac:dyDescent="0.25">
      <c r="A498" s="40" t="s">
        <v>1499</v>
      </c>
      <c r="B498" s="40"/>
      <c r="C498" s="40" t="s">
        <v>604</v>
      </c>
      <c r="D498" s="40">
        <v>2500000</v>
      </c>
      <c r="E498" s="40">
        <v>2515297.5</v>
      </c>
      <c r="F498" s="40">
        <v>2500000</v>
      </c>
      <c r="G498" s="40" t="s">
        <v>605</v>
      </c>
      <c r="H498" s="40">
        <v>6.6675500000000003</v>
      </c>
      <c r="I498" s="40" t="s">
        <v>606</v>
      </c>
      <c r="J498" s="44">
        <v>50236</v>
      </c>
      <c r="K498" s="40">
        <v>235</v>
      </c>
      <c r="L498" s="40">
        <v>1</v>
      </c>
      <c r="M498" s="40" t="s">
        <v>1484</v>
      </c>
      <c r="N498" s="40" t="s">
        <v>604</v>
      </c>
      <c r="O498" s="40" t="s">
        <v>68</v>
      </c>
      <c r="P498" s="40">
        <v>8.1799956120000008</v>
      </c>
      <c r="Q498" s="40" t="s">
        <v>24</v>
      </c>
      <c r="R498" s="40" t="s">
        <v>33</v>
      </c>
      <c r="S498" s="40" t="s">
        <v>34</v>
      </c>
    </row>
    <row r="499" spans="1:19" x14ac:dyDescent="0.25">
      <c r="A499" s="39" t="s">
        <v>1499</v>
      </c>
      <c r="B499" s="39"/>
      <c r="C499" s="39" t="s">
        <v>787</v>
      </c>
      <c r="D499" s="39">
        <v>2750000</v>
      </c>
      <c r="E499" s="39">
        <v>2771606.75</v>
      </c>
      <c r="F499" s="39">
        <v>2750000</v>
      </c>
      <c r="G499" s="39" t="s">
        <v>605</v>
      </c>
      <c r="H499" s="39">
        <v>7.9675500000000001</v>
      </c>
      <c r="I499" s="39" t="s">
        <v>788</v>
      </c>
      <c r="J499" s="43">
        <v>50236</v>
      </c>
      <c r="K499" s="39">
        <v>365</v>
      </c>
      <c r="L499" s="39">
        <v>1</v>
      </c>
      <c r="M499" s="39" t="s">
        <v>1484</v>
      </c>
      <c r="N499" s="39" t="s">
        <v>787</v>
      </c>
      <c r="O499" s="39" t="s">
        <v>68</v>
      </c>
      <c r="P499" s="39">
        <v>8.8331148559999999</v>
      </c>
      <c r="Q499" s="39" t="s">
        <v>28</v>
      </c>
      <c r="R499" s="39" t="s">
        <v>33</v>
      </c>
      <c r="S499" s="39" t="s">
        <v>38</v>
      </c>
    </row>
    <row r="500" spans="1:19" x14ac:dyDescent="0.25">
      <c r="A500" s="40" t="s">
        <v>1499</v>
      </c>
      <c r="B500" s="40"/>
      <c r="C500" s="40" t="s">
        <v>789</v>
      </c>
      <c r="D500" s="40">
        <v>5000000</v>
      </c>
      <c r="E500" s="40">
        <v>5043145</v>
      </c>
      <c r="F500" s="40">
        <v>5000000</v>
      </c>
      <c r="G500" s="40" t="s">
        <v>605</v>
      </c>
      <c r="H500" s="40">
        <v>8.0819899999999993</v>
      </c>
      <c r="I500" s="40" t="s">
        <v>790</v>
      </c>
      <c r="J500" s="44">
        <v>50243</v>
      </c>
      <c r="K500" s="40">
        <v>375</v>
      </c>
      <c r="L500" s="40">
        <v>1</v>
      </c>
      <c r="M500" s="40" t="s">
        <v>1484</v>
      </c>
      <c r="N500" s="40" t="s">
        <v>789</v>
      </c>
      <c r="O500" s="40" t="s">
        <v>68</v>
      </c>
      <c r="P500" s="40">
        <v>8.7565212839999997</v>
      </c>
      <c r="Q500" s="40" t="s">
        <v>28</v>
      </c>
      <c r="R500" s="40" t="s">
        <v>33</v>
      </c>
      <c r="S500" s="40" t="s">
        <v>38</v>
      </c>
    </row>
    <row r="501" spans="1:19" x14ac:dyDescent="0.25">
      <c r="A501" s="39" t="s">
        <v>1499</v>
      </c>
      <c r="B501" s="39" t="s">
        <v>1530</v>
      </c>
      <c r="C501" s="39" t="s">
        <v>791</v>
      </c>
      <c r="D501" s="39">
        <v>5680000</v>
      </c>
      <c r="E501" s="39">
        <v>5702208.7999999998</v>
      </c>
      <c r="F501" s="39">
        <v>5680000</v>
      </c>
      <c r="G501" s="39" t="s">
        <v>605</v>
      </c>
      <c r="H501" s="39">
        <v>8.0291599999999992</v>
      </c>
      <c r="I501" s="39" t="s">
        <v>792</v>
      </c>
      <c r="J501" s="43">
        <v>49049</v>
      </c>
      <c r="K501" s="39">
        <v>371.161</v>
      </c>
      <c r="L501" s="39">
        <v>1</v>
      </c>
      <c r="M501" s="39" t="s">
        <v>1484</v>
      </c>
      <c r="N501" s="39" t="s">
        <v>791</v>
      </c>
      <c r="O501" s="39" t="s">
        <v>199</v>
      </c>
      <c r="P501" s="39">
        <v>6.0237551800000002</v>
      </c>
      <c r="Q501" s="39" t="s">
        <v>28</v>
      </c>
      <c r="R501" s="39" t="s">
        <v>29</v>
      </c>
      <c r="S501" s="39" t="s">
        <v>38</v>
      </c>
    </row>
    <row r="502" spans="1:19" x14ac:dyDescent="0.25">
      <c r="A502" s="40" t="s">
        <v>1499</v>
      </c>
      <c r="B502" s="40"/>
      <c r="C502" s="40" t="s">
        <v>791</v>
      </c>
      <c r="D502" s="40">
        <v>270000</v>
      </c>
      <c r="E502" s="40">
        <v>271055.7</v>
      </c>
      <c r="F502" s="40">
        <v>269143.83</v>
      </c>
      <c r="G502" s="40" t="s">
        <v>605</v>
      </c>
      <c r="H502" s="40">
        <v>8.0291599999999992</v>
      </c>
      <c r="I502" s="40" t="s">
        <v>792</v>
      </c>
      <c r="J502" s="44">
        <v>49049</v>
      </c>
      <c r="K502" s="40">
        <v>371.161</v>
      </c>
      <c r="L502" s="40">
        <v>1</v>
      </c>
      <c r="M502" s="40" t="s">
        <v>1484</v>
      </c>
      <c r="N502" s="40" t="s">
        <v>791</v>
      </c>
      <c r="O502" s="40" t="s">
        <v>199</v>
      </c>
      <c r="P502" s="40">
        <v>6.0237551800000002</v>
      </c>
      <c r="Q502" s="40" t="s">
        <v>28</v>
      </c>
      <c r="R502" s="40" t="s">
        <v>29</v>
      </c>
      <c r="S502" s="40" t="s">
        <v>38</v>
      </c>
    </row>
    <row r="503" spans="1:19" x14ac:dyDescent="0.25">
      <c r="A503" s="39" t="s">
        <v>1499</v>
      </c>
      <c r="B503" s="39"/>
      <c r="C503" s="39" t="s">
        <v>612</v>
      </c>
      <c r="D503" s="39">
        <v>2600000</v>
      </c>
      <c r="E503" s="39">
        <v>2609302.7999999998</v>
      </c>
      <c r="F503" s="39">
        <v>2600000</v>
      </c>
      <c r="G503" s="39" t="s">
        <v>613</v>
      </c>
      <c r="H503" s="39">
        <v>6.1754899999999999</v>
      </c>
      <c r="I503" s="39" t="s">
        <v>614</v>
      </c>
      <c r="J503" s="43">
        <v>50060</v>
      </c>
      <c r="K503" s="39">
        <v>185</v>
      </c>
      <c r="L503" s="39">
        <v>1</v>
      </c>
      <c r="M503" s="39" t="s">
        <v>1484</v>
      </c>
      <c r="N503" s="39" t="s">
        <v>612</v>
      </c>
      <c r="O503" s="39" t="s">
        <v>69</v>
      </c>
      <c r="P503" s="39">
        <v>6.6005668120000003</v>
      </c>
      <c r="Q503" s="39" t="s">
        <v>24</v>
      </c>
      <c r="R503" s="39" t="s">
        <v>29</v>
      </c>
      <c r="S503" s="39" t="s">
        <v>34</v>
      </c>
    </row>
    <row r="504" spans="1:19" x14ac:dyDescent="0.25">
      <c r="A504" s="40" t="s">
        <v>1499</v>
      </c>
      <c r="B504" s="40"/>
      <c r="C504" s="40" t="s">
        <v>801</v>
      </c>
      <c r="D504" s="40">
        <v>3800000</v>
      </c>
      <c r="E504" s="40">
        <v>3804905.8</v>
      </c>
      <c r="F504" s="40">
        <v>3800000</v>
      </c>
      <c r="G504" s="40" t="s">
        <v>613</v>
      </c>
      <c r="H504" s="40">
        <v>7.0754900000000003</v>
      </c>
      <c r="I504" s="40" t="s">
        <v>802</v>
      </c>
      <c r="J504" s="44">
        <v>50060</v>
      </c>
      <c r="K504" s="40">
        <v>275</v>
      </c>
      <c r="L504" s="40">
        <v>1</v>
      </c>
      <c r="M504" s="40" t="s">
        <v>1484</v>
      </c>
      <c r="N504" s="40" t="s">
        <v>801</v>
      </c>
      <c r="O504" s="40" t="s">
        <v>69</v>
      </c>
      <c r="P504" s="40">
        <v>7.0697700780000003</v>
      </c>
      <c r="Q504" s="40" t="s">
        <v>28</v>
      </c>
      <c r="R504" s="40" t="s">
        <v>29</v>
      </c>
      <c r="S504" s="40" t="s">
        <v>38</v>
      </c>
    </row>
    <row r="505" spans="1:19" x14ac:dyDescent="0.25">
      <c r="A505" s="39" t="s">
        <v>1499</v>
      </c>
      <c r="B505" s="39"/>
      <c r="C505" s="39" t="s">
        <v>803</v>
      </c>
      <c r="D505" s="39">
        <v>963000</v>
      </c>
      <c r="E505" s="39">
        <v>964792.14</v>
      </c>
      <c r="F505" s="39">
        <v>963000</v>
      </c>
      <c r="G505" s="39" t="s">
        <v>613</v>
      </c>
      <c r="H505" s="39">
        <v>7.0754900000000003</v>
      </c>
      <c r="I505" s="39" t="s">
        <v>804</v>
      </c>
      <c r="J505" s="43">
        <v>48599</v>
      </c>
      <c r="K505" s="39">
        <v>275</v>
      </c>
      <c r="L505" s="39">
        <v>1</v>
      </c>
      <c r="M505" s="39" t="s">
        <v>1484</v>
      </c>
      <c r="N505" s="39" t="s">
        <v>803</v>
      </c>
      <c r="O505" s="39" t="s">
        <v>200</v>
      </c>
      <c r="P505" s="39">
        <v>4.6776646770000001</v>
      </c>
      <c r="Q505" s="39" t="s">
        <v>28</v>
      </c>
      <c r="R505" s="39" t="s">
        <v>25</v>
      </c>
      <c r="S505" s="39" t="s">
        <v>38</v>
      </c>
    </row>
    <row r="506" spans="1:19" x14ac:dyDescent="0.25">
      <c r="A506" s="40" t="s">
        <v>1499</v>
      </c>
      <c r="B506" s="40"/>
      <c r="C506" s="40" t="s">
        <v>805</v>
      </c>
      <c r="D506" s="40">
        <v>3750000</v>
      </c>
      <c r="E506" s="40">
        <v>3760511.25</v>
      </c>
      <c r="F506" s="40">
        <v>3750000</v>
      </c>
      <c r="G506" s="40" t="s">
        <v>613</v>
      </c>
      <c r="H506" s="40">
        <v>7.3254900000000003</v>
      </c>
      <c r="I506" s="40" t="s">
        <v>806</v>
      </c>
      <c r="J506" s="44">
        <v>50333</v>
      </c>
      <c r="K506" s="40">
        <v>300</v>
      </c>
      <c r="L506" s="40">
        <v>1</v>
      </c>
      <c r="M506" s="40" t="s">
        <v>1484</v>
      </c>
      <c r="N506" s="40" t="s">
        <v>805</v>
      </c>
      <c r="O506" s="40" t="s">
        <v>69</v>
      </c>
      <c r="P506" s="40">
        <v>9.1320602490000002</v>
      </c>
      <c r="Q506" s="40" t="s">
        <v>28</v>
      </c>
      <c r="R506" s="40" t="s">
        <v>33</v>
      </c>
      <c r="S506" s="40" t="s">
        <v>38</v>
      </c>
    </row>
    <row r="507" spans="1:19" x14ac:dyDescent="0.25">
      <c r="A507" s="39" t="s">
        <v>1499</v>
      </c>
      <c r="B507" s="39"/>
      <c r="C507" s="39" t="s">
        <v>424</v>
      </c>
      <c r="D507" s="39">
        <v>1910000</v>
      </c>
      <c r="E507" s="39">
        <v>1913672.93</v>
      </c>
      <c r="F507" s="39">
        <v>1910000</v>
      </c>
      <c r="G507" s="39" t="s">
        <v>613</v>
      </c>
      <c r="H507" s="39">
        <v>7.1027300000000002</v>
      </c>
      <c r="I507" s="39" t="s">
        <v>423</v>
      </c>
      <c r="J507" s="43">
        <v>50612</v>
      </c>
      <c r="K507" s="39">
        <v>285</v>
      </c>
      <c r="L507" s="39"/>
      <c r="M507" s="39" t="s">
        <v>1484</v>
      </c>
      <c r="N507" s="39" t="s">
        <v>424</v>
      </c>
      <c r="O507" s="39" t="s">
        <v>69</v>
      </c>
      <c r="P507" s="39">
        <v>9.7105043670000004</v>
      </c>
      <c r="Q507" s="39" t="s">
        <v>28</v>
      </c>
      <c r="R507" s="39" t="s">
        <v>33</v>
      </c>
      <c r="S507" s="39" t="s">
        <v>38</v>
      </c>
    </row>
    <row r="508" spans="1:19" x14ac:dyDescent="0.25">
      <c r="A508" s="40" t="s">
        <v>1499</v>
      </c>
      <c r="B508" s="40"/>
      <c r="C508" s="40" t="s">
        <v>811</v>
      </c>
      <c r="D508" s="40">
        <v>4400000</v>
      </c>
      <c r="E508" s="40">
        <v>4412531.2</v>
      </c>
      <c r="F508" s="40">
        <v>4400000</v>
      </c>
      <c r="G508" s="40" t="s">
        <v>613</v>
      </c>
      <c r="H508" s="40">
        <v>7.8285400000000003</v>
      </c>
      <c r="I508" s="40" t="s">
        <v>812</v>
      </c>
      <c r="J508" s="44">
        <v>50606</v>
      </c>
      <c r="K508" s="40">
        <v>350</v>
      </c>
      <c r="L508" s="40">
        <v>1</v>
      </c>
      <c r="M508" s="40" t="s">
        <v>1484</v>
      </c>
      <c r="N508" s="40" t="s">
        <v>811</v>
      </c>
      <c r="O508" s="40" t="s">
        <v>69</v>
      </c>
      <c r="P508" s="40">
        <v>9.6992957729999993</v>
      </c>
      <c r="Q508" s="40" t="s">
        <v>28</v>
      </c>
      <c r="R508" s="40" t="s">
        <v>33</v>
      </c>
      <c r="S508" s="40" t="s">
        <v>38</v>
      </c>
    </row>
    <row r="509" spans="1:19" x14ac:dyDescent="0.25">
      <c r="A509" s="39" t="s">
        <v>1499</v>
      </c>
      <c r="B509" s="39"/>
      <c r="C509" s="39" t="s">
        <v>616</v>
      </c>
      <c r="D509" s="39">
        <v>700000</v>
      </c>
      <c r="E509" s="39">
        <v>700856.1</v>
      </c>
      <c r="F509" s="39">
        <v>700000</v>
      </c>
      <c r="G509" s="39" t="s">
        <v>613</v>
      </c>
      <c r="H509" s="39">
        <v>6.0754900000000003</v>
      </c>
      <c r="I509" s="39" t="s">
        <v>617</v>
      </c>
      <c r="J509" s="43">
        <v>50425</v>
      </c>
      <c r="K509" s="39">
        <v>175</v>
      </c>
      <c r="L509" s="39">
        <v>1</v>
      </c>
      <c r="M509" s="39" t="s">
        <v>1484</v>
      </c>
      <c r="N509" s="39" t="s">
        <v>616</v>
      </c>
      <c r="O509" s="39" t="s">
        <v>69</v>
      </c>
      <c r="P509" s="39">
        <v>8.7332148689999993</v>
      </c>
      <c r="Q509" s="39" t="s">
        <v>24</v>
      </c>
      <c r="R509" s="39" t="s">
        <v>33</v>
      </c>
      <c r="S509" s="39" t="s">
        <v>34</v>
      </c>
    </row>
    <row r="510" spans="1:19" x14ac:dyDescent="0.25">
      <c r="A510" s="40" t="s">
        <v>1499</v>
      </c>
      <c r="B510" s="40"/>
      <c r="C510" s="40" t="s">
        <v>809</v>
      </c>
      <c r="D510" s="40">
        <v>3500000</v>
      </c>
      <c r="E510" s="40">
        <v>3509138.5</v>
      </c>
      <c r="F510" s="40">
        <v>3500000</v>
      </c>
      <c r="G510" s="40" t="s">
        <v>613</v>
      </c>
      <c r="H510" s="40">
        <v>6.9254899999999999</v>
      </c>
      <c r="I510" s="40" t="s">
        <v>810</v>
      </c>
      <c r="J510" s="44">
        <v>50425</v>
      </c>
      <c r="K510" s="40">
        <v>260</v>
      </c>
      <c r="L510" s="40">
        <v>1</v>
      </c>
      <c r="M510" s="40" t="s">
        <v>1484</v>
      </c>
      <c r="N510" s="40" t="s">
        <v>809</v>
      </c>
      <c r="O510" s="40" t="s">
        <v>69</v>
      </c>
      <c r="P510" s="40">
        <v>9.254495082</v>
      </c>
      <c r="Q510" s="40" t="s">
        <v>28</v>
      </c>
      <c r="R510" s="40" t="s">
        <v>33</v>
      </c>
      <c r="S510" s="40" t="s">
        <v>34</v>
      </c>
    </row>
    <row r="511" spans="1:19" x14ac:dyDescent="0.25">
      <c r="A511" s="39" t="s">
        <v>1499</v>
      </c>
      <c r="B511" s="39"/>
      <c r="C511" s="39" t="s">
        <v>807</v>
      </c>
      <c r="D511" s="39">
        <v>1644000</v>
      </c>
      <c r="E511" s="39">
        <v>1649372.59</v>
      </c>
      <c r="F511" s="39">
        <v>1644000</v>
      </c>
      <c r="G511" s="39" t="s">
        <v>613</v>
      </c>
      <c r="H511" s="39">
        <v>7.1638099999999998</v>
      </c>
      <c r="I511" s="39" t="s">
        <v>808</v>
      </c>
      <c r="J511" s="43">
        <v>50339</v>
      </c>
      <c r="K511" s="39">
        <v>285</v>
      </c>
      <c r="L511" s="39">
        <v>1</v>
      </c>
      <c r="M511" s="39" t="s">
        <v>1484</v>
      </c>
      <c r="N511" s="39" t="s">
        <v>807</v>
      </c>
      <c r="O511" s="39" t="s">
        <v>69</v>
      </c>
      <c r="P511" s="39">
        <v>9.0925476589999992</v>
      </c>
      <c r="Q511" s="39" t="s">
        <v>28</v>
      </c>
      <c r="R511" s="39" t="s">
        <v>33</v>
      </c>
      <c r="S511" s="39" t="s">
        <v>38</v>
      </c>
    </row>
    <row r="512" spans="1:19" x14ac:dyDescent="0.25">
      <c r="A512" s="40" t="s">
        <v>1499</v>
      </c>
      <c r="B512" s="40"/>
      <c r="C512" s="40" t="s">
        <v>429</v>
      </c>
      <c r="D512" s="40">
        <v>2600000</v>
      </c>
      <c r="E512" s="40">
        <v>2610111.4</v>
      </c>
      <c r="F512" s="40">
        <v>2600000</v>
      </c>
      <c r="G512" s="40" t="s">
        <v>619</v>
      </c>
      <c r="H512" s="40">
        <v>0</v>
      </c>
      <c r="I512" s="40" t="s">
        <v>428</v>
      </c>
      <c r="J512" s="44">
        <v>50693</v>
      </c>
      <c r="K512" s="40">
        <v>300</v>
      </c>
      <c r="L512" s="40">
        <v>1</v>
      </c>
      <c r="M512" s="40" t="s">
        <v>1484</v>
      </c>
      <c r="N512" s="40" t="s">
        <v>429</v>
      </c>
      <c r="O512" s="40" t="s">
        <v>70</v>
      </c>
      <c r="P512" s="40">
        <v>0</v>
      </c>
      <c r="Q512" s="40" t="s">
        <v>28</v>
      </c>
      <c r="R512" s="40" t="s">
        <v>18</v>
      </c>
      <c r="S512" s="40" t="s">
        <v>19</v>
      </c>
    </row>
    <row r="513" spans="1:19" x14ac:dyDescent="0.25">
      <c r="A513" s="39" t="s">
        <v>1499</v>
      </c>
      <c r="B513" s="39"/>
      <c r="C513" s="39" t="s">
        <v>621</v>
      </c>
      <c r="D513" s="39">
        <v>4300000</v>
      </c>
      <c r="E513" s="39">
        <v>4312900</v>
      </c>
      <c r="F513" s="39">
        <v>4300000</v>
      </c>
      <c r="G513" s="39" t="s">
        <v>619</v>
      </c>
      <c r="H513" s="39">
        <v>6.1675500000000003</v>
      </c>
      <c r="I513" s="39" t="s">
        <v>622</v>
      </c>
      <c r="J513" s="43">
        <v>50055</v>
      </c>
      <c r="K513" s="39">
        <v>185</v>
      </c>
      <c r="L513" s="39">
        <v>1</v>
      </c>
      <c r="M513" s="39" t="s">
        <v>1484</v>
      </c>
      <c r="N513" s="39" t="s">
        <v>621</v>
      </c>
      <c r="O513" s="39" t="s">
        <v>70</v>
      </c>
      <c r="P513" s="39">
        <v>8.7414526759999998</v>
      </c>
      <c r="Q513" s="39" t="s">
        <v>24</v>
      </c>
      <c r="R513" s="39" t="s">
        <v>33</v>
      </c>
      <c r="S513" s="39" t="s">
        <v>34</v>
      </c>
    </row>
    <row r="514" spans="1:19" x14ac:dyDescent="0.25">
      <c r="A514" s="40" t="s">
        <v>1499</v>
      </c>
      <c r="B514" s="40"/>
      <c r="C514" s="40" t="s">
        <v>838</v>
      </c>
      <c r="D514" s="40">
        <v>10600000</v>
      </c>
      <c r="E514" s="40">
        <v>10699947.4</v>
      </c>
      <c r="F514" s="40">
        <v>10600000</v>
      </c>
      <c r="G514" s="40" t="s">
        <v>619</v>
      </c>
      <c r="H514" s="40">
        <v>7.1175499999999996</v>
      </c>
      <c r="I514" s="40" t="s">
        <v>839</v>
      </c>
      <c r="J514" s="44">
        <v>50055</v>
      </c>
      <c r="K514" s="40">
        <v>280</v>
      </c>
      <c r="L514" s="40">
        <v>1</v>
      </c>
      <c r="M514" s="40" t="s">
        <v>1484</v>
      </c>
      <c r="N514" s="40" t="s">
        <v>838</v>
      </c>
      <c r="O514" s="40" t="s">
        <v>70</v>
      </c>
      <c r="P514" s="40">
        <v>9.2397407549999997</v>
      </c>
      <c r="Q514" s="40" t="s">
        <v>28</v>
      </c>
      <c r="R514" s="40" t="s">
        <v>33</v>
      </c>
      <c r="S514" s="40" t="s">
        <v>38</v>
      </c>
    </row>
    <row r="515" spans="1:19" x14ac:dyDescent="0.25">
      <c r="A515" s="39" t="s">
        <v>1499</v>
      </c>
      <c r="B515" s="39"/>
      <c r="C515" s="39" t="s">
        <v>832</v>
      </c>
      <c r="D515" s="39">
        <v>10000000</v>
      </c>
      <c r="E515" s="39">
        <v>10056340</v>
      </c>
      <c r="F515" s="39">
        <v>10000000</v>
      </c>
      <c r="G515" s="39" t="s">
        <v>619</v>
      </c>
      <c r="H515" s="39">
        <v>8.81846</v>
      </c>
      <c r="I515" s="39" t="s">
        <v>833</v>
      </c>
      <c r="J515" s="43">
        <v>49607</v>
      </c>
      <c r="K515" s="39">
        <v>450</v>
      </c>
      <c r="L515" s="39">
        <v>1</v>
      </c>
      <c r="M515" s="39" t="s">
        <v>1484</v>
      </c>
      <c r="N515" s="39" t="s">
        <v>832</v>
      </c>
      <c r="O515" s="39" t="s">
        <v>196</v>
      </c>
      <c r="P515" s="39">
        <v>7.9824591739999997</v>
      </c>
      <c r="Q515" s="39" t="s">
        <v>28</v>
      </c>
      <c r="R515" s="39" t="s">
        <v>29</v>
      </c>
      <c r="S515" s="39" t="s">
        <v>38</v>
      </c>
    </row>
    <row r="516" spans="1:19" x14ac:dyDescent="0.25">
      <c r="A516" s="40" t="s">
        <v>1499</v>
      </c>
      <c r="B516" s="40"/>
      <c r="C516" s="40" t="s">
        <v>836</v>
      </c>
      <c r="D516" s="40">
        <v>8000000</v>
      </c>
      <c r="E516" s="40">
        <v>8045048</v>
      </c>
      <c r="F516" s="40">
        <v>8000000</v>
      </c>
      <c r="G516" s="40" t="s">
        <v>619</v>
      </c>
      <c r="H516" s="40">
        <v>7.9175500000000003</v>
      </c>
      <c r="I516" s="40" t="s">
        <v>837</v>
      </c>
      <c r="J516" s="44">
        <v>49780</v>
      </c>
      <c r="K516" s="40">
        <v>360</v>
      </c>
      <c r="L516" s="40">
        <v>1</v>
      </c>
      <c r="M516" s="40" t="s">
        <v>1484</v>
      </c>
      <c r="N516" s="40" t="s">
        <v>836</v>
      </c>
      <c r="O516" s="40" t="s">
        <v>70</v>
      </c>
      <c r="P516" s="40">
        <v>8.6684641829999993</v>
      </c>
      <c r="Q516" s="40" t="s">
        <v>28</v>
      </c>
      <c r="R516" s="40" t="s">
        <v>33</v>
      </c>
      <c r="S516" s="40" t="s">
        <v>38</v>
      </c>
    </row>
    <row r="517" spans="1:19" x14ac:dyDescent="0.25">
      <c r="A517" s="39" t="s">
        <v>1502</v>
      </c>
      <c r="B517" s="39" t="s">
        <v>1530</v>
      </c>
      <c r="C517" s="39" t="s">
        <v>1395</v>
      </c>
      <c r="D517" s="39">
        <v>4230000</v>
      </c>
      <c r="E517" s="39">
        <v>4230211.51</v>
      </c>
      <c r="F517" s="39">
        <v>4248782.38</v>
      </c>
      <c r="G517" s="39" t="s">
        <v>649</v>
      </c>
      <c r="H517" s="39">
        <v>10.8371</v>
      </c>
      <c r="I517" s="39" t="s">
        <v>1396</v>
      </c>
      <c r="J517" s="43">
        <v>49145</v>
      </c>
      <c r="K517" s="39">
        <v>651.16099999999994</v>
      </c>
      <c r="L517" s="39">
        <v>1</v>
      </c>
      <c r="M517" s="39" t="s">
        <v>1487</v>
      </c>
      <c r="N517" s="39" t="s">
        <v>1395</v>
      </c>
      <c r="O517" s="39" t="s">
        <v>79</v>
      </c>
      <c r="P517" s="39">
        <v>6.3979172569999996</v>
      </c>
      <c r="Q517" s="39" t="s">
        <v>32</v>
      </c>
      <c r="R517" s="39" t="s">
        <v>29</v>
      </c>
      <c r="S517" s="39" t="s">
        <v>38</v>
      </c>
    </row>
    <row r="518" spans="1:19" x14ac:dyDescent="0.25">
      <c r="A518" s="40" t="s">
        <v>1502</v>
      </c>
      <c r="B518" s="40"/>
      <c r="C518" s="40" t="s">
        <v>1407</v>
      </c>
      <c r="D518" s="40">
        <v>3060000</v>
      </c>
      <c r="E518" s="40">
        <v>3027616.02</v>
      </c>
      <c r="F518" s="40">
        <v>3060000</v>
      </c>
      <c r="G518" s="40" t="s">
        <v>1408</v>
      </c>
      <c r="H518" s="40">
        <v>8.7319899999999997</v>
      </c>
      <c r="I518" s="40" t="s">
        <v>1409</v>
      </c>
      <c r="J518" s="44">
        <v>49056</v>
      </c>
      <c r="K518" s="40">
        <v>440</v>
      </c>
      <c r="L518" s="40">
        <v>1</v>
      </c>
      <c r="M518" s="40" t="s">
        <v>1487</v>
      </c>
      <c r="N518" s="40" t="s">
        <v>1407</v>
      </c>
      <c r="O518" s="40" t="s">
        <v>201</v>
      </c>
      <c r="P518" s="40">
        <v>6.2107459030000003</v>
      </c>
      <c r="Q518" s="40" t="s">
        <v>32</v>
      </c>
      <c r="R518" s="40" t="s">
        <v>29</v>
      </c>
      <c r="S518" s="40" t="s">
        <v>38</v>
      </c>
    </row>
    <row r="519" spans="1:19" x14ac:dyDescent="0.25">
      <c r="A519" s="39" t="s">
        <v>1502</v>
      </c>
      <c r="B519" s="39"/>
      <c r="C519" s="39" t="s">
        <v>1405</v>
      </c>
      <c r="D519" s="39">
        <v>220000</v>
      </c>
      <c r="E519" s="39">
        <v>221506.56</v>
      </c>
      <c r="F519" s="39">
        <v>222088.02</v>
      </c>
      <c r="G519" s="39" t="s">
        <v>667</v>
      </c>
      <c r="H519" s="39">
        <v>10.67549</v>
      </c>
      <c r="I519" s="39" t="s">
        <v>1406</v>
      </c>
      <c r="J519" s="43">
        <v>49419</v>
      </c>
      <c r="K519" s="39">
        <v>635</v>
      </c>
      <c r="L519" s="39">
        <v>1</v>
      </c>
      <c r="M519" s="39" t="s">
        <v>1487</v>
      </c>
      <c r="N519" s="39" t="s">
        <v>1405</v>
      </c>
      <c r="O519" s="39" t="s">
        <v>85</v>
      </c>
      <c r="P519" s="39">
        <v>6.9013661749999997</v>
      </c>
      <c r="Q519" s="39" t="s">
        <v>32</v>
      </c>
      <c r="R519" s="39" t="s">
        <v>29</v>
      </c>
      <c r="S519" s="39" t="s">
        <v>38</v>
      </c>
    </row>
    <row r="520" spans="1:19" x14ac:dyDescent="0.25">
      <c r="A520" s="40" t="s">
        <v>1502</v>
      </c>
      <c r="B520" s="40"/>
      <c r="C520" s="40" t="s">
        <v>1405</v>
      </c>
      <c r="D520" s="40">
        <v>500000</v>
      </c>
      <c r="E520" s="40">
        <v>503424</v>
      </c>
      <c r="F520" s="40">
        <v>485500</v>
      </c>
      <c r="G520" s="40" t="s">
        <v>667</v>
      </c>
      <c r="H520" s="40">
        <v>10.67549</v>
      </c>
      <c r="I520" s="40" t="s">
        <v>1406</v>
      </c>
      <c r="J520" s="44">
        <v>49419</v>
      </c>
      <c r="K520" s="40">
        <v>635</v>
      </c>
      <c r="L520" s="40">
        <v>1</v>
      </c>
      <c r="M520" s="40" t="s">
        <v>1487</v>
      </c>
      <c r="N520" s="40" t="s">
        <v>1405</v>
      </c>
      <c r="O520" s="40" t="s">
        <v>85</v>
      </c>
      <c r="P520" s="40">
        <v>6.9013661749999997</v>
      </c>
      <c r="Q520" s="40" t="s">
        <v>32</v>
      </c>
      <c r="R520" s="40" t="s">
        <v>29</v>
      </c>
      <c r="S520" s="40" t="s">
        <v>38</v>
      </c>
    </row>
    <row r="521" spans="1:19" x14ac:dyDescent="0.25">
      <c r="A521" s="39" t="s">
        <v>1502</v>
      </c>
      <c r="B521" s="39"/>
      <c r="C521" s="39" t="s">
        <v>1405</v>
      </c>
      <c r="D521" s="39">
        <v>180000</v>
      </c>
      <c r="E521" s="39">
        <v>181232.64000000001</v>
      </c>
      <c r="F521" s="39">
        <v>181559.52</v>
      </c>
      <c r="G521" s="39" t="s">
        <v>667</v>
      </c>
      <c r="H521" s="39">
        <v>10.67549</v>
      </c>
      <c r="I521" s="39" t="s">
        <v>1406</v>
      </c>
      <c r="J521" s="43">
        <v>49419</v>
      </c>
      <c r="K521" s="39">
        <v>635</v>
      </c>
      <c r="L521" s="39">
        <v>1</v>
      </c>
      <c r="M521" s="39" t="s">
        <v>1487</v>
      </c>
      <c r="N521" s="39" t="s">
        <v>1405</v>
      </c>
      <c r="O521" s="39" t="s">
        <v>85</v>
      </c>
      <c r="P521" s="39">
        <v>6.9013661749999997</v>
      </c>
      <c r="Q521" s="39" t="s">
        <v>32</v>
      </c>
      <c r="R521" s="39" t="s">
        <v>29</v>
      </c>
      <c r="S521" s="39" t="s">
        <v>38</v>
      </c>
    </row>
    <row r="522" spans="1:19" x14ac:dyDescent="0.25">
      <c r="A522" s="40" t="s">
        <v>1502</v>
      </c>
      <c r="B522" s="40"/>
      <c r="C522" s="40" t="s">
        <v>1410</v>
      </c>
      <c r="D522" s="40">
        <v>4320000</v>
      </c>
      <c r="E522" s="40">
        <v>4258867.68</v>
      </c>
      <c r="F522" s="40">
        <v>4320000</v>
      </c>
      <c r="G522" s="40" t="s">
        <v>283</v>
      </c>
      <c r="H522" s="40">
        <v>8.8254900000000003</v>
      </c>
      <c r="I522" s="40" t="s">
        <v>1411</v>
      </c>
      <c r="J522" s="44">
        <v>49054</v>
      </c>
      <c r="K522" s="40">
        <v>450</v>
      </c>
      <c r="L522" s="40">
        <v>1</v>
      </c>
      <c r="M522" s="40" t="s">
        <v>1487</v>
      </c>
      <c r="N522" s="40" t="s">
        <v>1410</v>
      </c>
      <c r="O522" s="40" t="s">
        <v>202</v>
      </c>
      <c r="P522" s="40">
        <v>6.1085949670000002</v>
      </c>
      <c r="Q522" s="40" t="s">
        <v>32</v>
      </c>
      <c r="R522" s="40" t="s">
        <v>29</v>
      </c>
      <c r="S522" s="40" t="s">
        <v>38</v>
      </c>
    </row>
    <row r="523" spans="1:19" x14ac:dyDescent="0.25">
      <c r="A523" s="39" t="s">
        <v>1502</v>
      </c>
      <c r="B523" s="39"/>
      <c r="C523" s="39" t="s">
        <v>1410</v>
      </c>
      <c r="D523" s="39">
        <v>1080000</v>
      </c>
      <c r="E523" s="39">
        <v>1064716.92</v>
      </c>
      <c r="F523" s="39">
        <v>1085387.04</v>
      </c>
      <c r="G523" s="39" t="s">
        <v>283</v>
      </c>
      <c r="H523" s="39">
        <v>8.8254900000000003</v>
      </c>
      <c r="I523" s="39" t="s">
        <v>1411</v>
      </c>
      <c r="J523" s="43">
        <v>49054</v>
      </c>
      <c r="K523" s="39">
        <v>450</v>
      </c>
      <c r="L523" s="39">
        <v>1</v>
      </c>
      <c r="M523" s="39" t="s">
        <v>1487</v>
      </c>
      <c r="N523" s="39" t="s">
        <v>1410</v>
      </c>
      <c r="O523" s="39" t="s">
        <v>202</v>
      </c>
      <c r="P523" s="39">
        <v>6.1085949670000002</v>
      </c>
      <c r="Q523" s="39" t="s">
        <v>32</v>
      </c>
      <c r="R523" s="39" t="s">
        <v>29</v>
      </c>
      <c r="S523" s="39" t="s">
        <v>38</v>
      </c>
    </row>
    <row r="524" spans="1:19" x14ac:dyDescent="0.25">
      <c r="A524" s="40" t="s">
        <v>1502</v>
      </c>
      <c r="B524" s="40"/>
      <c r="C524" s="40" t="s">
        <v>1412</v>
      </c>
      <c r="D524" s="40">
        <v>990000</v>
      </c>
      <c r="E524" s="40">
        <v>997328.97</v>
      </c>
      <c r="F524" s="40">
        <v>1002897.72</v>
      </c>
      <c r="G524" s="40" t="s">
        <v>685</v>
      </c>
      <c r="H524" s="40">
        <v>10.82549</v>
      </c>
      <c r="I524" s="40" t="s">
        <v>1413</v>
      </c>
      <c r="J524" s="44">
        <v>49968</v>
      </c>
      <c r="K524" s="40">
        <v>650</v>
      </c>
      <c r="L524" s="40">
        <v>1</v>
      </c>
      <c r="M524" s="40" t="s">
        <v>1487</v>
      </c>
      <c r="N524" s="40" t="s">
        <v>1412</v>
      </c>
      <c r="O524" s="40" t="s">
        <v>94</v>
      </c>
      <c r="P524" s="40">
        <v>8.5456958170000004</v>
      </c>
      <c r="Q524" s="40" t="s">
        <v>32</v>
      </c>
      <c r="R524" s="40" t="s">
        <v>33</v>
      </c>
      <c r="S524" s="40" t="s">
        <v>38</v>
      </c>
    </row>
    <row r="525" spans="1:19" x14ac:dyDescent="0.25">
      <c r="A525" s="39" t="s">
        <v>1502</v>
      </c>
      <c r="B525" s="39"/>
      <c r="C525" s="39" t="s">
        <v>1412</v>
      </c>
      <c r="D525" s="39">
        <v>2250000</v>
      </c>
      <c r="E525" s="39">
        <v>2266656.75</v>
      </c>
      <c r="F525" s="39">
        <v>2181937.5</v>
      </c>
      <c r="G525" s="39" t="s">
        <v>685</v>
      </c>
      <c r="H525" s="39">
        <v>10.82549</v>
      </c>
      <c r="I525" s="39" t="s">
        <v>1413</v>
      </c>
      <c r="J525" s="43">
        <v>49968</v>
      </c>
      <c r="K525" s="39">
        <v>650</v>
      </c>
      <c r="L525" s="39">
        <v>1</v>
      </c>
      <c r="M525" s="39" t="s">
        <v>1487</v>
      </c>
      <c r="N525" s="39" t="s">
        <v>1412</v>
      </c>
      <c r="O525" s="39" t="s">
        <v>94</v>
      </c>
      <c r="P525" s="39">
        <v>8.5456958170000004</v>
      </c>
      <c r="Q525" s="39" t="s">
        <v>32</v>
      </c>
      <c r="R525" s="39" t="s">
        <v>33</v>
      </c>
      <c r="S525" s="39" t="s">
        <v>38</v>
      </c>
    </row>
    <row r="526" spans="1:19" x14ac:dyDescent="0.25">
      <c r="A526" s="40" t="s">
        <v>1502</v>
      </c>
      <c r="B526" s="40"/>
      <c r="C526" s="40" t="s">
        <v>1412</v>
      </c>
      <c r="D526" s="40">
        <v>810000</v>
      </c>
      <c r="E526" s="40">
        <v>815996.43</v>
      </c>
      <c r="F526" s="40">
        <v>830484.09</v>
      </c>
      <c r="G526" s="40" t="s">
        <v>685</v>
      </c>
      <c r="H526" s="40">
        <v>10.82549</v>
      </c>
      <c r="I526" s="40" t="s">
        <v>1413</v>
      </c>
      <c r="J526" s="44">
        <v>49968</v>
      </c>
      <c r="K526" s="40">
        <v>650</v>
      </c>
      <c r="L526" s="40">
        <v>1</v>
      </c>
      <c r="M526" s="40" t="s">
        <v>1487</v>
      </c>
      <c r="N526" s="40" t="s">
        <v>1412</v>
      </c>
      <c r="O526" s="40" t="s">
        <v>94</v>
      </c>
      <c r="P526" s="40">
        <v>8.5456958170000004</v>
      </c>
      <c r="Q526" s="40" t="s">
        <v>32</v>
      </c>
      <c r="R526" s="40" t="s">
        <v>33</v>
      </c>
      <c r="S526" s="40" t="s">
        <v>38</v>
      </c>
    </row>
    <row r="527" spans="1:19" x14ac:dyDescent="0.25">
      <c r="A527" s="39" t="s">
        <v>1502</v>
      </c>
      <c r="B527" s="39"/>
      <c r="C527" s="39" t="s">
        <v>1414</v>
      </c>
      <c r="D527" s="39">
        <v>170000</v>
      </c>
      <c r="E527" s="39">
        <v>170008.5</v>
      </c>
      <c r="F527" s="39">
        <v>171044.65</v>
      </c>
      <c r="G527" s="39" t="s">
        <v>690</v>
      </c>
      <c r="H527" s="39">
        <v>11.0806</v>
      </c>
      <c r="I527" s="39" t="s">
        <v>1415</v>
      </c>
      <c r="J527" s="43">
        <v>49332</v>
      </c>
      <c r="K527" s="39">
        <v>676.16099999999994</v>
      </c>
      <c r="L527" s="39">
        <v>1</v>
      </c>
      <c r="M527" s="39" t="s">
        <v>1487</v>
      </c>
      <c r="N527" s="39" t="s">
        <v>1414</v>
      </c>
      <c r="O527" s="39" t="s">
        <v>105</v>
      </c>
      <c r="P527" s="39">
        <v>6.8361607070000003</v>
      </c>
      <c r="Q527" s="39" t="s">
        <v>32</v>
      </c>
      <c r="R527" s="39" t="s">
        <v>29</v>
      </c>
      <c r="S527" s="39" t="s">
        <v>38</v>
      </c>
    </row>
    <row r="528" spans="1:19" x14ac:dyDescent="0.25">
      <c r="A528" s="40" t="s">
        <v>1502</v>
      </c>
      <c r="B528" s="40"/>
      <c r="C528" s="40" t="s">
        <v>1414</v>
      </c>
      <c r="D528" s="40">
        <v>1080000</v>
      </c>
      <c r="E528" s="40">
        <v>1080054</v>
      </c>
      <c r="F528" s="40">
        <v>1001013.72</v>
      </c>
      <c r="G528" s="40" t="s">
        <v>690</v>
      </c>
      <c r="H528" s="40">
        <v>11.0806</v>
      </c>
      <c r="I528" s="40" t="s">
        <v>1415</v>
      </c>
      <c r="J528" s="44">
        <v>49332</v>
      </c>
      <c r="K528" s="40">
        <v>676.16099999999994</v>
      </c>
      <c r="L528" s="40">
        <v>1</v>
      </c>
      <c r="M528" s="40" t="s">
        <v>1487</v>
      </c>
      <c r="N528" s="40" t="s">
        <v>1414</v>
      </c>
      <c r="O528" s="40" t="s">
        <v>105</v>
      </c>
      <c r="P528" s="40">
        <v>6.8361607070000003</v>
      </c>
      <c r="Q528" s="40" t="s">
        <v>32</v>
      </c>
      <c r="R528" s="40" t="s">
        <v>29</v>
      </c>
      <c r="S528" s="40" t="s">
        <v>38</v>
      </c>
    </row>
    <row r="529" spans="1:19" x14ac:dyDescent="0.25">
      <c r="A529" s="39" t="s">
        <v>1502</v>
      </c>
      <c r="B529" s="39"/>
      <c r="C529" s="39" t="s">
        <v>505</v>
      </c>
      <c r="D529" s="39">
        <v>2700000</v>
      </c>
      <c r="E529" s="39">
        <v>2707074</v>
      </c>
      <c r="F529" s="39">
        <v>2700000</v>
      </c>
      <c r="G529" s="39" t="s">
        <v>690</v>
      </c>
      <c r="H529" s="39">
        <v>10.32549</v>
      </c>
      <c r="I529" s="39" t="s">
        <v>504</v>
      </c>
      <c r="J529" s="43">
        <v>50971</v>
      </c>
      <c r="K529" s="39">
        <v>600</v>
      </c>
      <c r="L529" s="39">
        <v>1</v>
      </c>
      <c r="M529" s="39" t="s">
        <v>1487</v>
      </c>
      <c r="N529" s="39" t="s">
        <v>505</v>
      </c>
      <c r="O529" s="39" t="s">
        <v>105</v>
      </c>
      <c r="P529" s="39">
        <v>10.331832274</v>
      </c>
      <c r="Q529" s="39" t="s">
        <v>32</v>
      </c>
      <c r="R529" s="39" t="s">
        <v>37</v>
      </c>
      <c r="S529" s="39" t="s">
        <v>38</v>
      </c>
    </row>
    <row r="530" spans="1:19" x14ac:dyDescent="0.25">
      <c r="A530" s="40" t="s">
        <v>1502</v>
      </c>
      <c r="B530" s="40"/>
      <c r="C530" s="40" t="s">
        <v>1416</v>
      </c>
      <c r="D530" s="40">
        <v>720000</v>
      </c>
      <c r="E530" s="40">
        <v>711997.92</v>
      </c>
      <c r="F530" s="40">
        <v>727180.56</v>
      </c>
      <c r="G530" s="40" t="s">
        <v>297</v>
      </c>
      <c r="H530" s="40">
        <v>12.0571</v>
      </c>
      <c r="I530" s="40" t="s">
        <v>1417</v>
      </c>
      <c r="J530" s="44">
        <v>49237</v>
      </c>
      <c r="K530" s="40">
        <v>773.16099999999994</v>
      </c>
      <c r="L530" s="40">
        <v>1</v>
      </c>
      <c r="M530" s="40" t="s">
        <v>1487</v>
      </c>
      <c r="N530" s="40" t="s">
        <v>1416</v>
      </c>
      <c r="O530" s="40" t="s">
        <v>106</v>
      </c>
      <c r="P530" s="40">
        <v>6.6054041970000004</v>
      </c>
      <c r="Q530" s="40" t="s">
        <v>32</v>
      </c>
      <c r="R530" s="40" t="s">
        <v>29</v>
      </c>
      <c r="S530" s="40" t="s">
        <v>38</v>
      </c>
    </row>
    <row r="531" spans="1:19" x14ac:dyDescent="0.25">
      <c r="A531" s="39" t="s">
        <v>1502</v>
      </c>
      <c r="B531" s="39"/>
      <c r="C531" s="39" t="s">
        <v>1416</v>
      </c>
      <c r="D531" s="39">
        <v>250000</v>
      </c>
      <c r="E531" s="39">
        <v>247221.5</v>
      </c>
      <c r="F531" s="39">
        <v>246250</v>
      </c>
      <c r="G531" s="39" t="s">
        <v>297</v>
      </c>
      <c r="H531" s="39">
        <v>12.0571</v>
      </c>
      <c r="I531" s="39" t="s">
        <v>1417</v>
      </c>
      <c r="J531" s="43">
        <v>49237</v>
      </c>
      <c r="K531" s="39">
        <v>773.16099999999994</v>
      </c>
      <c r="L531" s="39">
        <v>1</v>
      </c>
      <c r="M531" s="39" t="s">
        <v>1487</v>
      </c>
      <c r="N531" s="39" t="s">
        <v>1416</v>
      </c>
      <c r="O531" s="39" t="s">
        <v>106</v>
      </c>
      <c r="P531" s="39">
        <v>6.6054041970000004</v>
      </c>
      <c r="Q531" s="39" t="s">
        <v>32</v>
      </c>
      <c r="R531" s="39" t="s">
        <v>29</v>
      </c>
      <c r="S531" s="39" t="s">
        <v>38</v>
      </c>
    </row>
    <row r="532" spans="1:19" x14ac:dyDescent="0.25">
      <c r="A532" s="40" t="s">
        <v>1502</v>
      </c>
      <c r="B532" s="40" t="s">
        <v>1530</v>
      </c>
      <c r="C532" s="40" t="s">
        <v>1416</v>
      </c>
      <c r="D532" s="40">
        <v>880000</v>
      </c>
      <c r="E532" s="40">
        <v>870219.68</v>
      </c>
      <c r="F532" s="40">
        <v>866800</v>
      </c>
      <c r="G532" s="40" t="s">
        <v>297</v>
      </c>
      <c r="H532" s="40">
        <v>12.0571</v>
      </c>
      <c r="I532" s="40" t="s">
        <v>1417</v>
      </c>
      <c r="J532" s="44">
        <v>49237</v>
      </c>
      <c r="K532" s="40">
        <v>773.16099999999994</v>
      </c>
      <c r="L532" s="40">
        <v>1</v>
      </c>
      <c r="M532" s="40" t="s">
        <v>1487</v>
      </c>
      <c r="N532" s="40" t="s">
        <v>1416</v>
      </c>
      <c r="O532" s="40" t="s">
        <v>106</v>
      </c>
      <c r="P532" s="40">
        <v>6.6054041970000004</v>
      </c>
      <c r="Q532" s="40" t="s">
        <v>32</v>
      </c>
      <c r="R532" s="40" t="s">
        <v>29</v>
      </c>
      <c r="S532" s="40" t="s">
        <v>38</v>
      </c>
    </row>
    <row r="533" spans="1:19" x14ac:dyDescent="0.25">
      <c r="A533" s="39" t="s">
        <v>1502</v>
      </c>
      <c r="B533" s="39" t="s">
        <v>1530</v>
      </c>
      <c r="C533" s="39" t="s">
        <v>1075</v>
      </c>
      <c r="D533" s="39">
        <v>7500000</v>
      </c>
      <c r="E533" s="39">
        <v>7521487.5</v>
      </c>
      <c r="F533" s="39">
        <v>7500000</v>
      </c>
      <c r="G533" s="39" t="s">
        <v>297</v>
      </c>
      <c r="H533" s="39">
        <v>8.2258899999999997</v>
      </c>
      <c r="I533" s="39" t="s">
        <v>1076</v>
      </c>
      <c r="J533" s="43">
        <v>49063</v>
      </c>
      <c r="K533" s="39">
        <v>391.161</v>
      </c>
      <c r="L533" s="39">
        <v>1</v>
      </c>
      <c r="M533" s="39" t="s">
        <v>1487</v>
      </c>
      <c r="N533" s="39" t="s">
        <v>1075</v>
      </c>
      <c r="O533" s="39" t="s">
        <v>106</v>
      </c>
      <c r="P533" s="39">
        <v>5.258315981</v>
      </c>
      <c r="Q533" s="39" t="s">
        <v>28</v>
      </c>
      <c r="R533" s="39" t="s">
        <v>25</v>
      </c>
      <c r="S533" s="39" t="s">
        <v>38</v>
      </c>
    </row>
    <row r="534" spans="1:19" x14ac:dyDescent="0.25">
      <c r="A534" s="40" t="s">
        <v>1502</v>
      </c>
      <c r="B534" s="40" t="s">
        <v>1530</v>
      </c>
      <c r="C534" s="40" t="s">
        <v>1420</v>
      </c>
      <c r="D534" s="40">
        <v>1305000</v>
      </c>
      <c r="E534" s="40">
        <v>1290216.96</v>
      </c>
      <c r="F534" s="40">
        <v>1313368.97</v>
      </c>
      <c r="G534" s="40" t="s">
        <v>568</v>
      </c>
      <c r="H534" s="40">
        <v>11.197100000000001</v>
      </c>
      <c r="I534" s="40" t="s">
        <v>1421</v>
      </c>
      <c r="J534" s="44">
        <v>49145</v>
      </c>
      <c r="K534" s="40">
        <v>687.16099999999994</v>
      </c>
      <c r="L534" s="40">
        <v>1</v>
      </c>
      <c r="M534" s="40" t="s">
        <v>1487</v>
      </c>
      <c r="N534" s="40" t="s">
        <v>1420</v>
      </c>
      <c r="O534" s="40" t="s">
        <v>121</v>
      </c>
      <c r="P534" s="40">
        <v>6.4809548530000001</v>
      </c>
      <c r="Q534" s="40" t="s">
        <v>32</v>
      </c>
      <c r="R534" s="40" t="s">
        <v>29</v>
      </c>
      <c r="S534" s="40" t="s">
        <v>38</v>
      </c>
    </row>
    <row r="535" spans="1:19" x14ac:dyDescent="0.25">
      <c r="A535" s="39" t="s">
        <v>1502</v>
      </c>
      <c r="B535" s="39"/>
      <c r="C535" s="39" t="s">
        <v>1420</v>
      </c>
      <c r="D535" s="39">
        <v>1885000</v>
      </c>
      <c r="E535" s="39">
        <v>1863646.72</v>
      </c>
      <c r="F535" s="39">
        <v>1873331.85</v>
      </c>
      <c r="G535" s="39" t="s">
        <v>568</v>
      </c>
      <c r="H535" s="39">
        <v>11.197100000000001</v>
      </c>
      <c r="I535" s="39" t="s">
        <v>1421</v>
      </c>
      <c r="J535" s="43">
        <v>49145</v>
      </c>
      <c r="K535" s="39">
        <v>687.16099999999994</v>
      </c>
      <c r="L535" s="39">
        <v>1</v>
      </c>
      <c r="M535" s="39" t="s">
        <v>1487</v>
      </c>
      <c r="N535" s="39" t="s">
        <v>1420</v>
      </c>
      <c r="O535" s="39" t="s">
        <v>121</v>
      </c>
      <c r="P535" s="39">
        <v>6.4809548530000001</v>
      </c>
      <c r="Q535" s="39" t="s">
        <v>32</v>
      </c>
      <c r="R535" s="39" t="s">
        <v>29</v>
      </c>
      <c r="S535" s="39" t="s">
        <v>38</v>
      </c>
    </row>
    <row r="536" spans="1:19" x14ac:dyDescent="0.25">
      <c r="A536" s="40" t="s">
        <v>1502</v>
      </c>
      <c r="B536" s="40" t="s">
        <v>1530</v>
      </c>
      <c r="C536" s="40" t="s">
        <v>1420</v>
      </c>
      <c r="D536" s="40">
        <v>240000</v>
      </c>
      <c r="E536" s="40">
        <v>237281.28</v>
      </c>
      <c r="F536" s="40">
        <v>239011.20000000001</v>
      </c>
      <c r="G536" s="40" t="s">
        <v>568</v>
      </c>
      <c r="H536" s="40">
        <v>11.197100000000001</v>
      </c>
      <c r="I536" s="40" t="s">
        <v>1421</v>
      </c>
      <c r="J536" s="44">
        <v>49145</v>
      </c>
      <c r="K536" s="40">
        <v>687.16099999999994</v>
      </c>
      <c r="L536" s="40">
        <v>1</v>
      </c>
      <c r="M536" s="40" t="s">
        <v>1487</v>
      </c>
      <c r="N536" s="40" t="s">
        <v>1420</v>
      </c>
      <c r="O536" s="40" t="s">
        <v>121</v>
      </c>
      <c r="P536" s="40">
        <v>6.4809548530000001</v>
      </c>
      <c r="Q536" s="40" t="s">
        <v>32</v>
      </c>
      <c r="R536" s="40" t="s">
        <v>29</v>
      </c>
      <c r="S536" s="40" t="s">
        <v>38</v>
      </c>
    </row>
    <row r="537" spans="1:19" x14ac:dyDescent="0.25">
      <c r="A537" s="39" t="s">
        <v>1502</v>
      </c>
      <c r="B537" s="39"/>
      <c r="C537" s="39" t="s">
        <v>1420</v>
      </c>
      <c r="D537" s="39">
        <v>1630000</v>
      </c>
      <c r="E537" s="39">
        <v>1611535.3600000001</v>
      </c>
      <c r="F537" s="39">
        <v>1632950.3</v>
      </c>
      <c r="G537" s="39" t="s">
        <v>568</v>
      </c>
      <c r="H537" s="39">
        <v>11.197100000000001</v>
      </c>
      <c r="I537" s="39" t="s">
        <v>1421</v>
      </c>
      <c r="J537" s="43">
        <v>49145</v>
      </c>
      <c r="K537" s="39">
        <v>687.16099999999994</v>
      </c>
      <c r="L537" s="39">
        <v>1</v>
      </c>
      <c r="M537" s="39" t="s">
        <v>1487</v>
      </c>
      <c r="N537" s="39" t="s">
        <v>1420</v>
      </c>
      <c r="O537" s="39" t="s">
        <v>121</v>
      </c>
      <c r="P537" s="39">
        <v>6.4809548530000001</v>
      </c>
      <c r="Q537" s="39" t="s">
        <v>32</v>
      </c>
      <c r="R537" s="39" t="s">
        <v>29</v>
      </c>
      <c r="S537" s="39" t="s">
        <v>38</v>
      </c>
    </row>
    <row r="538" spans="1:19" x14ac:dyDescent="0.25">
      <c r="A538" s="40" t="s">
        <v>1502</v>
      </c>
      <c r="B538" s="40"/>
      <c r="C538" s="40" t="s">
        <v>1420</v>
      </c>
      <c r="D538" s="40">
        <v>2365000</v>
      </c>
      <c r="E538" s="40">
        <v>2338209.2799999998</v>
      </c>
      <c r="F538" s="40">
        <v>2353985.5</v>
      </c>
      <c r="G538" s="40" t="s">
        <v>568</v>
      </c>
      <c r="H538" s="40">
        <v>11.197100000000001</v>
      </c>
      <c r="I538" s="40" t="s">
        <v>1421</v>
      </c>
      <c r="J538" s="44">
        <v>49145</v>
      </c>
      <c r="K538" s="40">
        <v>687.16099999999994</v>
      </c>
      <c r="L538" s="40">
        <v>1</v>
      </c>
      <c r="M538" s="40" t="s">
        <v>1487</v>
      </c>
      <c r="N538" s="40" t="s">
        <v>1420</v>
      </c>
      <c r="O538" s="40" t="s">
        <v>121</v>
      </c>
      <c r="P538" s="40">
        <v>6.4809548530000001</v>
      </c>
      <c r="Q538" s="40" t="s">
        <v>32</v>
      </c>
      <c r="R538" s="40" t="s">
        <v>29</v>
      </c>
      <c r="S538" s="40" t="s">
        <v>38</v>
      </c>
    </row>
    <row r="539" spans="1:19" x14ac:dyDescent="0.25">
      <c r="A539" s="39" t="s">
        <v>1502</v>
      </c>
      <c r="B539" s="39" t="s">
        <v>1530</v>
      </c>
      <c r="C539" s="39" t="s">
        <v>1424</v>
      </c>
      <c r="D539" s="39">
        <v>880000</v>
      </c>
      <c r="E539" s="39">
        <v>862122.8</v>
      </c>
      <c r="F539" s="39">
        <v>882367.2</v>
      </c>
      <c r="G539" s="39" t="s">
        <v>568</v>
      </c>
      <c r="H539" s="39">
        <v>11.859159999999999</v>
      </c>
      <c r="I539" s="39" t="s">
        <v>1425</v>
      </c>
      <c r="J539" s="43">
        <v>49232</v>
      </c>
      <c r="K539" s="39">
        <v>754.16099999999994</v>
      </c>
      <c r="L539" s="39">
        <v>1</v>
      </c>
      <c r="M539" s="39" t="s">
        <v>1487</v>
      </c>
      <c r="N539" s="39" t="s">
        <v>1424</v>
      </c>
      <c r="O539" s="39" t="s">
        <v>121</v>
      </c>
      <c r="P539" s="39">
        <v>6.6193589729999998</v>
      </c>
      <c r="Q539" s="39" t="s">
        <v>32</v>
      </c>
      <c r="R539" s="39" t="s">
        <v>29</v>
      </c>
      <c r="S539" s="39" t="s">
        <v>38</v>
      </c>
    </row>
    <row r="540" spans="1:19" x14ac:dyDescent="0.25">
      <c r="A540" s="40" t="s">
        <v>1502</v>
      </c>
      <c r="B540" s="40"/>
      <c r="C540" s="40" t="s">
        <v>1424</v>
      </c>
      <c r="D540" s="40">
        <v>2000000</v>
      </c>
      <c r="E540" s="40">
        <v>1959370</v>
      </c>
      <c r="F540" s="40">
        <v>1772500</v>
      </c>
      <c r="G540" s="40" t="s">
        <v>568</v>
      </c>
      <c r="H540" s="40">
        <v>11.859159999999999</v>
      </c>
      <c r="I540" s="40" t="s">
        <v>1425</v>
      </c>
      <c r="J540" s="44">
        <v>49232</v>
      </c>
      <c r="K540" s="40">
        <v>754.16099999999994</v>
      </c>
      <c r="L540" s="40">
        <v>1</v>
      </c>
      <c r="M540" s="40" t="s">
        <v>1487</v>
      </c>
      <c r="N540" s="40" t="s">
        <v>1424</v>
      </c>
      <c r="O540" s="40" t="s">
        <v>121</v>
      </c>
      <c r="P540" s="40">
        <v>6.6193589729999998</v>
      </c>
      <c r="Q540" s="40" t="s">
        <v>32</v>
      </c>
      <c r="R540" s="40" t="s">
        <v>29</v>
      </c>
      <c r="S540" s="40" t="s">
        <v>38</v>
      </c>
    </row>
    <row r="541" spans="1:19" x14ac:dyDescent="0.25">
      <c r="A541" s="39" t="s">
        <v>1502</v>
      </c>
      <c r="B541" s="39"/>
      <c r="C541" s="39" t="s">
        <v>1424</v>
      </c>
      <c r="D541" s="39">
        <v>720000</v>
      </c>
      <c r="E541" s="39">
        <v>705373.2</v>
      </c>
      <c r="F541" s="39">
        <v>723975.84</v>
      </c>
      <c r="G541" s="39" t="s">
        <v>568</v>
      </c>
      <c r="H541" s="39">
        <v>11.859159999999999</v>
      </c>
      <c r="I541" s="39" t="s">
        <v>1425</v>
      </c>
      <c r="J541" s="43">
        <v>49232</v>
      </c>
      <c r="K541" s="39">
        <v>754.16099999999994</v>
      </c>
      <c r="L541" s="39">
        <v>1</v>
      </c>
      <c r="M541" s="39" t="s">
        <v>1487</v>
      </c>
      <c r="N541" s="39" t="s">
        <v>1424</v>
      </c>
      <c r="O541" s="39" t="s">
        <v>121</v>
      </c>
      <c r="P541" s="39">
        <v>6.6193589729999998</v>
      </c>
      <c r="Q541" s="39" t="s">
        <v>32</v>
      </c>
      <c r="R541" s="39" t="s">
        <v>29</v>
      </c>
      <c r="S541" s="39" t="s">
        <v>38</v>
      </c>
    </row>
    <row r="542" spans="1:19" x14ac:dyDescent="0.25">
      <c r="A542" s="40" t="s">
        <v>1502</v>
      </c>
      <c r="B542" s="40"/>
      <c r="C542" s="40" t="s">
        <v>1418</v>
      </c>
      <c r="D542" s="40">
        <v>900000</v>
      </c>
      <c r="E542" s="40">
        <v>864668.7</v>
      </c>
      <c r="F542" s="40">
        <v>904108.5</v>
      </c>
      <c r="G542" s="40" t="s">
        <v>568</v>
      </c>
      <c r="H542" s="40">
        <v>11.01755</v>
      </c>
      <c r="I542" s="40" t="s">
        <v>1419</v>
      </c>
      <c r="J542" s="44">
        <v>49414</v>
      </c>
      <c r="K542" s="40">
        <v>670</v>
      </c>
      <c r="L542" s="40">
        <v>1</v>
      </c>
      <c r="M542" s="40" t="s">
        <v>1487</v>
      </c>
      <c r="N542" s="40" t="s">
        <v>1418</v>
      </c>
      <c r="O542" s="40" t="s">
        <v>121</v>
      </c>
      <c r="P542" s="40">
        <v>7.0719032500000001</v>
      </c>
      <c r="Q542" s="40" t="s">
        <v>32</v>
      </c>
      <c r="R542" s="40" t="s">
        <v>29</v>
      </c>
      <c r="S542" s="40" t="s">
        <v>38</v>
      </c>
    </row>
    <row r="543" spans="1:19" x14ac:dyDescent="0.25">
      <c r="A543" s="39" t="s">
        <v>1502</v>
      </c>
      <c r="B543" s="39"/>
      <c r="C543" s="39" t="s">
        <v>1418</v>
      </c>
      <c r="D543" s="39">
        <v>1100000</v>
      </c>
      <c r="E543" s="39">
        <v>1056817.3</v>
      </c>
      <c r="F543" s="39">
        <v>1089000</v>
      </c>
      <c r="G543" s="39" t="s">
        <v>568</v>
      </c>
      <c r="H543" s="39">
        <v>11.01755</v>
      </c>
      <c r="I543" s="39" t="s">
        <v>1419</v>
      </c>
      <c r="J543" s="43">
        <v>49414</v>
      </c>
      <c r="K543" s="39">
        <v>670</v>
      </c>
      <c r="L543" s="39">
        <v>1</v>
      </c>
      <c r="M543" s="39" t="s">
        <v>1487</v>
      </c>
      <c r="N543" s="39" t="s">
        <v>1418</v>
      </c>
      <c r="O543" s="39" t="s">
        <v>121</v>
      </c>
      <c r="P543" s="39">
        <v>7.0719032500000001</v>
      </c>
      <c r="Q543" s="39" t="s">
        <v>32</v>
      </c>
      <c r="R543" s="39" t="s">
        <v>29</v>
      </c>
      <c r="S543" s="39" t="s">
        <v>38</v>
      </c>
    </row>
    <row r="544" spans="1:19" x14ac:dyDescent="0.25">
      <c r="A544" s="40" t="s">
        <v>1502</v>
      </c>
      <c r="B544" s="40"/>
      <c r="C544" s="40" t="s">
        <v>1418</v>
      </c>
      <c r="D544" s="40">
        <v>2500000</v>
      </c>
      <c r="E544" s="40">
        <v>2401857.5</v>
      </c>
      <c r="F544" s="40">
        <v>2478077.5</v>
      </c>
      <c r="G544" s="40" t="s">
        <v>568</v>
      </c>
      <c r="H544" s="40">
        <v>11.01755</v>
      </c>
      <c r="I544" s="40" t="s">
        <v>1419</v>
      </c>
      <c r="J544" s="44">
        <v>49414</v>
      </c>
      <c r="K544" s="40">
        <v>670</v>
      </c>
      <c r="L544" s="40">
        <v>1</v>
      </c>
      <c r="M544" s="40" t="s">
        <v>1487</v>
      </c>
      <c r="N544" s="40" t="s">
        <v>1418</v>
      </c>
      <c r="O544" s="40" t="s">
        <v>121</v>
      </c>
      <c r="P544" s="40">
        <v>7.0719032500000001</v>
      </c>
      <c r="Q544" s="40" t="s">
        <v>32</v>
      </c>
      <c r="R544" s="40" t="s">
        <v>29</v>
      </c>
      <c r="S544" s="40" t="s">
        <v>38</v>
      </c>
    </row>
    <row r="545" spans="1:19" x14ac:dyDescent="0.25">
      <c r="A545" s="39" t="s">
        <v>1502</v>
      </c>
      <c r="B545" s="39"/>
      <c r="C545" s="39" t="s">
        <v>1422</v>
      </c>
      <c r="D545" s="39">
        <v>10332000</v>
      </c>
      <c r="E545" s="39">
        <v>9789570</v>
      </c>
      <c r="F545" s="39">
        <v>10332000</v>
      </c>
      <c r="G545" s="39" t="s">
        <v>568</v>
      </c>
      <c r="H545" s="39">
        <v>9.2254900000000006</v>
      </c>
      <c r="I545" s="39" t="s">
        <v>1423</v>
      </c>
      <c r="J545" s="43">
        <v>50425</v>
      </c>
      <c r="K545" s="39">
        <v>490</v>
      </c>
      <c r="L545" s="39">
        <v>1</v>
      </c>
      <c r="M545" s="39" t="s">
        <v>1487</v>
      </c>
      <c r="N545" s="39" t="s">
        <v>1422</v>
      </c>
      <c r="O545" s="39" t="s">
        <v>121</v>
      </c>
      <c r="P545" s="39">
        <v>9.7758091189999998</v>
      </c>
      <c r="Q545" s="39" t="s">
        <v>32</v>
      </c>
      <c r="R545" s="39" t="s">
        <v>33</v>
      </c>
      <c r="S545" s="39" t="s">
        <v>38</v>
      </c>
    </row>
    <row r="546" spans="1:19" x14ac:dyDescent="0.25">
      <c r="A546" s="40" t="s">
        <v>1502</v>
      </c>
      <c r="B546" s="40"/>
      <c r="C546" s="40" t="s">
        <v>1474</v>
      </c>
      <c r="D546" s="40">
        <v>261000</v>
      </c>
      <c r="E546" s="40">
        <v>266548.34000000003</v>
      </c>
      <c r="F546" s="40">
        <v>272781.28000000003</v>
      </c>
      <c r="G546" s="40" t="s">
        <v>698</v>
      </c>
      <c r="H546" s="40">
        <v>13.549160000000001</v>
      </c>
      <c r="I546" s="40" t="s">
        <v>1475</v>
      </c>
      <c r="J546" s="44">
        <v>48684</v>
      </c>
      <c r="K546" s="40">
        <v>923.16099999999994</v>
      </c>
      <c r="L546" s="40">
        <v>1</v>
      </c>
      <c r="M546" s="40" t="s">
        <v>1487</v>
      </c>
      <c r="N546" s="40" t="s">
        <v>1474</v>
      </c>
      <c r="O546" s="40" t="s">
        <v>154</v>
      </c>
      <c r="P546" s="40">
        <v>4.218523362</v>
      </c>
      <c r="Q546" s="40" t="s">
        <v>36</v>
      </c>
      <c r="R546" s="40" t="s">
        <v>25</v>
      </c>
      <c r="S546" s="40" t="s">
        <v>38</v>
      </c>
    </row>
    <row r="547" spans="1:19" x14ac:dyDescent="0.25">
      <c r="A547" s="39" t="s">
        <v>1502</v>
      </c>
      <c r="B547" s="39"/>
      <c r="C547" s="39" t="s">
        <v>1474</v>
      </c>
      <c r="D547" s="39">
        <v>319000</v>
      </c>
      <c r="E547" s="39">
        <v>325781.3</v>
      </c>
      <c r="F547" s="39">
        <v>308632.5</v>
      </c>
      <c r="G547" s="39" t="s">
        <v>698</v>
      </c>
      <c r="H547" s="39">
        <v>13.549160000000001</v>
      </c>
      <c r="I547" s="39" t="s">
        <v>1475</v>
      </c>
      <c r="J547" s="43">
        <v>48684</v>
      </c>
      <c r="K547" s="39">
        <v>923.16099999999994</v>
      </c>
      <c r="L547" s="39">
        <v>1</v>
      </c>
      <c r="M547" s="39" t="s">
        <v>1487</v>
      </c>
      <c r="N547" s="39" t="s">
        <v>1474</v>
      </c>
      <c r="O547" s="39" t="s">
        <v>154</v>
      </c>
      <c r="P547" s="39">
        <v>4.218523362</v>
      </c>
      <c r="Q547" s="39" t="s">
        <v>36</v>
      </c>
      <c r="R547" s="39" t="s">
        <v>25</v>
      </c>
      <c r="S547" s="39" t="s">
        <v>38</v>
      </c>
    </row>
    <row r="548" spans="1:19" x14ac:dyDescent="0.25">
      <c r="A548" s="40" t="s">
        <v>1502</v>
      </c>
      <c r="B548" s="40"/>
      <c r="C548" s="40" t="s">
        <v>1474</v>
      </c>
      <c r="D548" s="40">
        <v>725000</v>
      </c>
      <c r="E548" s="40">
        <v>740412.05</v>
      </c>
      <c r="F548" s="40">
        <v>733606.48</v>
      </c>
      <c r="G548" s="40" t="s">
        <v>698</v>
      </c>
      <c r="H548" s="40">
        <v>13.549160000000001</v>
      </c>
      <c r="I548" s="40" t="s">
        <v>1475</v>
      </c>
      <c r="J548" s="44">
        <v>48684</v>
      </c>
      <c r="K548" s="40">
        <v>923.16099999999994</v>
      </c>
      <c r="L548" s="40">
        <v>1</v>
      </c>
      <c r="M548" s="40" t="s">
        <v>1487</v>
      </c>
      <c r="N548" s="40" t="s">
        <v>1474</v>
      </c>
      <c r="O548" s="40" t="s">
        <v>154</v>
      </c>
      <c r="P548" s="40">
        <v>4.218523362</v>
      </c>
      <c r="Q548" s="40" t="s">
        <v>36</v>
      </c>
      <c r="R548" s="40" t="s">
        <v>25</v>
      </c>
      <c r="S548" s="40" t="s">
        <v>38</v>
      </c>
    </row>
    <row r="549" spans="1:19" x14ac:dyDescent="0.25">
      <c r="A549" s="39" t="s">
        <v>1502</v>
      </c>
      <c r="B549" s="39"/>
      <c r="C549" s="39" t="s">
        <v>316</v>
      </c>
      <c r="D549" s="39">
        <v>900000</v>
      </c>
      <c r="E549" s="39">
        <v>907803.9</v>
      </c>
      <c r="F549" s="39">
        <v>908483.4</v>
      </c>
      <c r="G549" s="39" t="s">
        <v>312</v>
      </c>
      <c r="H549" s="39">
        <v>10.584009999999999</v>
      </c>
      <c r="I549" s="39" t="s">
        <v>315</v>
      </c>
      <c r="J549" s="43">
        <v>49142</v>
      </c>
      <c r="K549" s="39">
        <v>626.16099999999994</v>
      </c>
      <c r="L549" s="39">
        <v>1</v>
      </c>
      <c r="M549" s="39" t="s">
        <v>1487</v>
      </c>
      <c r="N549" s="39" t="s">
        <v>316</v>
      </c>
      <c r="O549" s="39" t="s">
        <v>124</v>
      </c>
      <c r="P549" s="39">
        <v>6.4471528229999997</v>
      </c>
      <c r="Q549" s="39" t="s">
        <v>32</v>
      </c>
      <c r="R549" s="39" t="s">
        <v>29</v>
      </c>
      <c r="S549" s="39" t="s">
        <v>38</v>
      </c>
    </row>
    <row r="550" spans="1:19" x14ac:dyDescent="0.25">
      <c r="A550" s="40" t="s">
        <v>1499</v>
      </c>
      <c r="B550" s="40" t="s">
        <v>1530</v>
      </c>
      <c r="C550" s="40" t="s">
        <v>816</v>
      </c>
      <c r="D550" s="40">
        <v>3300000</v>
      </c>
      <c r="E550" s="40">
        <v>3304547.4</v>
      </c>
      <c r="F550" s="40">
        <v>3299930.7</v>
      </c>
      <c r="G550" s="40" t="s">
        <v>619</v>
      </c>
      <c r="H550" s="40">
        <v>7.6840099999999998</v>
      </c>
      <c r="I550" s="40" t="s">
        <v>817</v>
      </c>
      <c r="J550" s="44">
        <v>48686</v>
      </c>
      <c r="K550" s="40">
        <v>336.161</v>
      </c>
      <c r="L550" s="40">
        <v>1</v>
      </c>
      <c r="M550" s="40" t="s">
        <v>1484</v>
      </c>
      <c r="N550" s="40" t="s">
        <v>816</v>
      </c>
      <c r="O550" s="40" t="s">
        <v>70</v>
      </c>
      <c r="P550" s="40">
        <v>5.1649049729999996</v>
      </c>
      <c r="Q550" s="40" t="s">
        <v>28</v>
      </c>
      <c r="R550" s="40" t="s">
        <v>25</v>
      </c>
      <c r="S550" s="40" t="s">
        <v>38</v>
      </c>
    </row>
    <row r="551" spans="1:19" x14ac:dyDescent="0.25">
      <c r="A551" s="39" t="s">
        <v>1499</v>
      </c>
      <c r="B551" s="39"/>
      <c r="C551" s="39" t="s">
        <v>816</v>
      </c>
      <c r="D551" s="39">
        <v>3850000</v>
      </c>
      <c r="E551" s="39">
        <v>3855305.3</v>
      </c>
      <c r="F551" s="39">
        <v>3856860.7</v>
      </c>
      <c r="G551" s="39" t="s">
        <v>619</v>
      </c>
      <c r="H551" s="39">
        <v>7.6840099999999998</v>
      </c>
      <c r="I551" s="39" t="s">
        <v>817</v>
      </c>
      <c r="J551" s="43">
        <v>48686</v>
      </c>
      <c r="K551" s="39">
        <v>336.161</v>
      </c>
      <c r="L551" s="39">
        <v>1</v>
      </c>
      <c r="M551" s="39" t="s">
        <v>1484</v>
      </c>
      <c r="N551" s="39" t="s">
        <v>816</v>
      </c>
      <c r="O551" s="39" t="s">
        <v>70</v>
      </c>
      <c r="P551" s="39">
        <v>5.1649049729999996</v>
      </c>
      <c r="Q551" s="39" t="s">
        <v>28</v>
      </c>
      <c r="R551" s="39" t="s">
        <v>25</v>
      </c>
      <c r="S551" s="39" t="s">
        <v>38</v>
      </c>
    </row>
    <row r="552" spans="1:19" x14ac:dyDescent="0.25">
      <c r="A552" s="40" t="s">
        <v>1499</v>
      </c>
      <c r="B552" s="40"/>
      <c r="C552" s="40" t="s">
        <v>820</v>
      </c>
      <c r="D552" s="40">
        <v>1452000</v>
      </c>
      <c r="E552" s="40">
        <v>1452072.6</v>
      </c>
      <c r="F552" s="40">
        <v>1452000</v>
      </c>
      <c r="G552" s="40" t="s">
        <v>619</v>
      </c>
      <c r="H552" s="40">
        <v>7.9791600000000003</v>
      </c>
      <c r="I552" s="40" t="s">
        <v>821</v>
      </c>
      <c r="J552" s="44">
        <v>49049</v>
      </c>
      <c r="K552" s="40">
        <v>366.161</v>
      </c>
      <c r="L552" s="40">
        <v>1</v>
      </c>
      <c r="M552" s="40" t="s">
        <v>1484</v>
      </c>
      <c r="N552" s="40" t="s">
        <v>820</v>
      </c>
      <c r="O552" s="40" t="s">
        <v>70</v>
      </c>
      <c r="P552" s="40">
        <v>5.7848788879999997</v>
      </c>
      <c r="Q552" s="40" t="s">
        <v>28</v>
      </c>
      <c r="R552" s="40" t="s">
        <v>25</v>
      </c>
      <c r="S552" s="40" t="s">
        <v>38</v>
      </c>
    </row>
    <row r="553" spans="1:19" x14ac:dyDescent="0.25">
      <c r="A553" s="39" t="s">
        <v>1499</v>
      </c>
      <c r="B553" s="39"/>
      <c r="C553" s="39" t="s">
        <v>820</v>
      </c>
      <c r="D553" s="39">
        <v>1936000</v>
      </c>
      <c r="E553" s="39">
        <v>1936096.8</v>
      </c>
      <c r="F553" s="39">
        <v>1936000</v>
      </c>
      <c r="G553" s="39" t="s">
        <v>619</v>
      </c>
      <c r="H553" s="39">
        <v>7.9791600000000003</v>
      </c>
      <c r="I553" s="39" t="s">
        <v>821</v>
      </c>
      <c r="J553" s="43">
        <v>49049</v>
      </c>
      <c r="K553" s="39">
        <v>366.161</v>
      </c>
      <c r="L553" s="39">
        <v>1</v>
      </c>
      <c r="M553" s="39" t="s">
        <v>1484</v>
      </c>
      <c r="N553" s="39" t="s">
        <v>820</v>
      </c>
      <c r="O553" s="39" t="s">
        <v>70</v>
      </c>
      <c r="P553" s="39">
        <v>5.7848788879999997</v>
      </c>
      <c r="Q553" s="39" t="s">
        <v>28</v>
      </c>
      <c r="R553" s="39" t="s">
        <v>25</v>
      </c>
      <c r="S553" s="39" t="s">
        <v>38</v>
      </c>
    </row>
    <row r="554" spans="1:19" x14ac:dyDescent="0.25">
      <c r="A554" s="40" t="s">
        <v>1499</v>
      </c>
      <c r="B554" s="40"/>
      <c r="C554" s="40" t="s">
        <v>820</v>
      </c>
      <c r="D554" s="40">
        <v>1470000</v>
      </c>
      <c r="E554" s="40">
        <v>1470073.5</v>
      </c>
      <c r="F554" s="40">
        <v>1479146.61</v>
      </c>
      <c r="G554" s="40" t="s">
        <v>619</v>
      </c>
      <c r="H554" s="40">
        <v>7.9791600000000003</v>
      </c>
      <c r="I554" s="40" t="s">
        <v>821</v>
      </c>
      <c r="J554" s="44">
        <v>49049</v>
      </c>
      <c r="K554" s="40">
        <v>366.161</v>
      </c>
      <c r="L554" s="40">
        <v>1</v>
      </c>
      <c r="M554" s="40" t="s">
        <v>1484</v>
      </c>
      <c r="N554" s="40" t="s">
        <v>820</v>
      </c>
      <c r="O554" s="40" t="s">
        <v>70</v>
      </c>
      <c r="P554" s="40">
        <v>5.7848788879999997</v>
      </c>
      <c r="Q554" s="40" t="s">
        <v>28</v>
      </c>
      <c r="R554" s="40" t="s">
        <v>25</v>
      </c>
      <c r="S554" s="40" t="s">
        <v>38</v>
      </c>
    </row>
    <row r="555" spans="1:19" x14ac:dyDescent="0.25">
      <c r="A555" s="39" t="s">
        <v>1499</v>
      </c>
      <c r="B555" s="39"/>
      <c r="C555" s="39" t="s">
        <v>820</v>
      </c>
      <c r="D555" s="39">
        <v>1500000</v>
      </c>
      <c r="E555" s="39">
        <v>1500075</v>
      </c>
      <c r="F555" s="39">
        <v>1506204.08</v>
      </c>
      <c r="G555" s="39" t="s">
        <v>619</v>
      </c>
      <c r="H555" s="39">
        <v>7.9791600000000003</v>
      </c>
      <c r="I555" s="39" t="s">
        <v>821</v>
      </c>
      <c r="J555" s="43">
        <v>49049</v>
      </c>
      <c r="K555" s="39">
        <v>366.161</v>
      </c>
      <c r="L555" s="39">
        <v>1</v>
      </c>
      <c r="M555" s="39" t="s">
        <v>1484</v>
      </c>
      <c r="N555" s="39" t="s">
        <v>820</v>
      </c>
      <c r="O555" s="39" t="s">
        <v>70</v>
      </c>
      <c r="P555" s="39">
        <v>5.7848788879999997</v>
      </c>
      <c r="Q555" s="39" t="s">
        <v>28</v>
      </c>
      <c r="R555" s="39" t="s">
        <v>25</v>
      </c>
      <c r="S555" s="39" t="s">
        <v>38</v>
      </c>
    </row>
    <row r="556" spans="1:19" x14ac:dyDescent="0.25">
      <c r="A556" s="40" t="s">
        <v>1499</v>
      </c>
      <c r="B556" s="40"/>
      <c r="C556" s="40" t="s">
        <v>818</v>
      </c>
      <c r="D556" s="40">
        <v>12000000</v>
      </c>
      <c r="E556" s="40">
        <v>12114888</v>
      </c>
      <c r="F556" s="40">
        <v>12000000</v>
      </c>
      <c r="G556" s="40" t="s">
        <v>619</v>
      </c>
      <c r="H556" s="40">
        <v>7.3175499999999998</v>
      </c>
      <c r="I556" s="40" t="s">
        <v>819</v>
      </c>
      <c r="J556" s="44">
        <v>50420</v>
      </c>
      <c r="K556" s="40">
        <v>300</v>
      </c>
      <c r="L556" s="40">
        <v>1</v>
      </c>
      <c r="M556" s="40" t="s">
        <v>1484</v>
      </c>
      <c r="N556" s="40" t="s">
        <v>818</v>
      </c>
      <c r="O556" s="40" t="s">
        <v>70</v>
      </c>
      <c r="P556" s="40">
        <v>9.246522637</v>
      </c>
      <c r="Q556" s="40" t="s">
        <v>28</v>
      </c>
      <c r="R556" s="40" t="s">
        <v>33</v>
      </c>
      <c r="S556" s="40" t="s">
        <v>38</v>
      </c>
    </row>
    <row r="557" spans="1:19" x14ac:dyDescent="0.25">
      <c r="A557" s="39" t="s">
        <v>1499</v>
      </c>
      <c r="B557" s="39"/>
      <c r="C557" s="39" t="s">
        <v>826</v>
      </c>
      <c r="D557" s="39">
        <v>1163000</v>
      </c>
      <c r="E557" s="39">
        <v>1167902.05</v>
      </c>
      <c r="F557" s="39">
        <v>1163000</v>
      </c>
      <c r="G557" s="39" t="s">
        <v>619</v>
      </c>
      <c r="H557" s="39">
        <v>7.7300700000000004</v>
      </c>
      <c r="I557" s="39" t="s">
        <v>827</v>
      </c>
      <c r="J557" s="43">
        <v>49059</v>
      </c>
      <c r="K557" s="39">
        <v>341.161</v>
      </c>
      <c r="L557" s="39">
        <v>1</v>
      </c>
      <c r="M557" s="39" t="s">
        <v>1484</v>
      </c>
      <c r="N557" s="39" t="s">
        <v>826</v>
      </c>
      <c r="O557" s="39" t="s">
        <v>70</v>
      </c>
      <c r="P557" s="39">
        <v>5.8614029460000001</v>
      </c>
      <c r="Q557" s="39" t="s">
        <v>28</v>
      </c>
      <c r="R557" s="39" t="s">
        <v>25</v>
      </c>
      <c r="S557" s="39" t="s">
        <v>38</v>
      </c>
    </row>
    <row r="558" spans="1:19" x14ac:dyDescent="0.25">
      <c r="A558" s="40" t="s">
        <v>1499</v>
      </c>
      <c r="B558" s="40" t="s">
        <v>1530</v>
      </c>
      <c r="C558" s="40" t="s">
        <v>826</v>
      </c>
      <c r="D558" s="40">
        <v>1550000</v>
      </c>
      <c r="E558" s="40">
        <v>1556533.25</v>
      </c>
      <c r="F558" s="40">
        <v>1550000</v>
      </c>
      <c r="G558" s="40" t="s">
        <v>619</v>
      </c>
      <c r="H558" s="40">
        <v>7.7300700000000004</v>
      </c>
      <c r="I558" s="40" t="s">
        <v>827</v>
      </c>
      <c r="J558" s="44">
        <v>49059</v>
      </c>
      <c r="K558" s="40">
        <v>341.161</v>
      </c>
      <c r="L558" s="40">
        <v>1</v>
      </c>
      <c r="M558" s="40" t="s">
        <v>1484</v>
      </c>
      <c r="N558" s="40" t="s">
        <v>826</v>
      </c>
      <c r="O558" s="40" t="s">
        <v>70</v>
      </c>
      <c r="P558" s="40">
        <v>5.8614029460000001</v>
      </c>
      <c r="Q558" s="40" t="s">
        <v>28</v>
      </c>
      <c r="R558" s="40" t="s">
        <v>25</v>
      </c>
      <c r="S558" s="40" t="s">
        <v>38</v>
      </c>
    </row>
    <row r="559" spans="1:19" x14ac:dyDescent="0.25">
      <c r="A559" s="39" t="s">
        <v>1499</v>
      </c>
      <c r="B559" s="39" t="s">
        <v>1530</v>
      </c>
      <c r="C559" s="39" t="s">
        <v>826</v>
      </c>
      <c r="D559" s="39">
        <v>180000</v>
      </c>
      <c r="E559" s="39">
        <v>180758.7</v>
      </c>
      <c r="F559" s="39">
        <v>180372.42</v>
      </c>
      <c r="G559" s="39" t="s">
        <v>619</v>
      </c>
      <c r="H559" s="39">
        <v>7.7300700000000004</v>
      </c>
      <c r="I559" s="39" t="s">
        <v>827</v>
      </c>
      <c r="J559" s="43">
        <v>49059</v>
      </c>
      <c r="K559" s="39">
        <v>341.161</v>
      </c>
      <c r="L559" s="39">
        <v>1</v>
      </c>
      <c r="M559" s="39" t="s">
        <v>1484</v>
      </c>
      <c r="N559" s="39" t="s">
        <v>826</v>
      </c>
      <c r="O559" s="39" t="s">
        <v>70</v>
      </c>
      <c r="P559" s="39">
        <v>5.8614029460000001</v>
      </c>
      <c r="Q559" s="39" t="s">
        <v>28</v>
      </c>
      <c r="R559" s="39" t="s">
        <v>25</v>
      </c>
      <c r="S559" s="39" t="s">
        <v>38</v>
      </c>
    </row>
    <row r="560" spans="1:19" x14ac:dyDescent="0.25">
      <c r="A560" s="40" t="s">
        <v>1499</v>
      </c>
      <c r="B560" s="40"/>
      <c r="C560" s="40" t="s">
        <v>824</v>
      </c>
      <c r="D560" s="40">
        <v>2887500</v>
      </c>
      <c r="E560" s="40">
        <v>2898406.09</v>
      </c>
      <c r="F560" s="40">
        <v>2887500</v>
      </c>
      <c r="G560" s="40" t="s">
        <v>619</v>
      </c>
      <c r="H560" s="40">
        <v>7.1684599999999996</v>
      </c>
      <c r="I560" s="40" t="s">
        <v>825</v>
      </c>
      <c r="J560" s="44">
        <v>50430</v>
      </c>
      <c r="K560" s="40">
        <v>285</v>
      </c>
      <c r="L560" s="40">
        <v>1</v>
      </c>
      <c r="M560" s="40" t="s">
        <v>1484</v>
      </c>
      <c r="N560" s="40" t="s">
        <v>824</v>
      </c>
      <c r="O560" s="40" t="s">
        <v>70</v>
      </c>
      <c r="P560" s="40">
        <v>9.2682575049999993</v>
      </c>
      <c r="Q560" s="40" t="s">
        <v>28</v>
      </c>
      <c r="R560" s="40" t="s">
        <v>33</v>
      </c>
      <c r="S560" s="40" t="s">
        <v>38</v>
      </c>
    </row>
    <row r="561" spans="1:19" x14ac:dyDescent="0.25">
      <c r="A561" s="39" t="s">
        <v>1499</v>
      </c>
      <c r="B561" s="39"/>
      <c r="C561" s="39" t="s">
        <v>828</v>
      </c>
      <c r="D561" s="39">
        <v>3000000</v>
      </c>
      <c r="E561" s="39">
        <v>3025479</v>
      </c>
      <c r="F561" s="39">
        <v>3000000</v>
      </c>
      <c r="G561" s="39" t="s">
        <v>619</v>
      </c>
      <c r="H561" s="39">
        <v>8.2254900000000006</v>
      </c>
      <c r="I561" s="39" t="s">
        <v>829</v>
      </c>
      <c r="J561" s="43">
        <v>50150</v>
      </c>
      <c r="K561" s="39">
        <v>390</v>
      </c>
      <c r="L561" s="39">
        <v>1</v>
      </c>
      <c r="M561" s="39" t="s">
        <v>1484</v>
      </c>
      <c r="N561" s="39" t="s">
        <v>828</v>
      </c>
      <c r="O561" s="39" t="s">
        <v>70</v>
      </c>
      <c r="P561" s="39">
        <v>8.6960655219999996</v>
      </c>
      <c r="Q561" s="39" t="s">
        <v>28</v>
      </c>
      <c r="R561" s="39" t="s">
        <v>33</v>
      </c>
      <c r="S561" s="39" t="s">
        <v>38</v>
      </c>
    </row>
    <row r="562" spans="1:19" x14ac:dyDescent="0.25">
      <c r="A562" s="40" t="s">
        <v>1499</v>
      </c>
      <c r="B562" s="40"/>
      <c r="C562" s="40" t="s">
        <v>822</v>
      </c>
      <c r="D562" s="40">
        <v>5993015</v>
      </c>
      <c r="E562" s="40">
        <v>6043182.5300000003</v>
      </c>
      <c r="F562" s="40">
        <v>5993015</v>
      </c>
      <c r="G562" s="40" t="s">
        <v>619</v>
      </c>
      <c r="H562" s="40">
        <v>7.4675500000000001</v>
      </c>
      <c r="I562" s="40" t="s">
        <v>823</v>
      </c>
      <c r="J562" s="44">
        <v>50328</v>
      </c>
      <c r="K562" s="40">
        <v>315</v>
      </c>
      <c r="L562" s="40">
        <v>1</v>
      </c>
      <c r="M562" s="40" t="s">
        <v>1484</v>
      </c>
      <c r="N562" s="40" t="s">
        <v>822</v>
      </c>
      <c r="O562" s="40" t="s">
        <v>70</v>
      </c>
      <c r="P562" s="40">
        <v>8.6515573440000004</v>
      </c>
      <c r="Q562" s="40" t="s">
        <v>28</v>
      </c>
      <c r="R562" s="40" t="s">
        <v>33</v>
      </c>
      <c r="S562" s="40" t="s">
        <v>38</v>
      </c>
    </row>
    <row r="563" spans="1:19" x14ac:dyDescent="0.25">
      <c r="A563" s="39" t="s">
        <v>1499</v>
      </c>
      <c r="B563" s="39"/>
      <c r="C563" s="39" t="s">
        <v>830</v>
      </c>
      <c r="D563" s="39">
        <v>2775000</v>
      </c>
      <c r="E563" s="39">
        <v>2796625.58</v>
      </c>
      <c r="F563" s="39">
        <v>2775000</v>
      </c>
      <c r="G563" s="39" t="s">
        <v>619</v>
      </c>
      <c r="H563" s="39">
        <v>9.31846</v>
      </c>
      <c r="I563" s="39" t="s">
        <v>831</v>
      </c>
      <c r="J563" s="43">
        <v>49881</v>
      </c>
      <c r="K563" s="39">
        <v>500</v>
      </c>
      <c r="L563" s="39">
        <v>1</v>
      </c>
      <c r="M563" s="39" t="s">
        <v>1484</v>
      </c>
      <c r="N563" s="39" t="s">
        <v>830</v>
      </c>
      <c r="O563" s="39" t="s">
        <v>70</v>
      </c>
      <c r="P563" s="39">
        <v>7.6701939509999999</v>
      </c>
      <c r="Q563" s="39" t="s">
        <v>28</v>
      </c>
      <c r="R563" s="39" t="s">
        <v>29</v>
      </c>
      <c r="S563" s="39" t="s">
        <v>38</v>
      </c>
    </row>
    <row r="564" spans="1:19" x14ac:dyDescent="0.25">
      <c r="A564" s="40" t="s">
        <v>1499</v>
      </c>
      <c r="B564" s="40"/>
      <c r="C564" s="40" t="s">
        <v>618</v>
      </c>
      <c r="D564" s="40">
        <v>4000000</v>
      </c>
      <c r="E564" s="40">
        <v>4022736</v>
      </c>
      <c r="F564" s="40">
        <v>4000000</v>
      </c>
      <c r="G564" s="40" t="s">
        <v>619</v>
      </c>
      <c r="H564" s="40">
        <v>7.4175500000000003</v>
      </c>
      <c r="I564" s="40" t="s">
        <v>620</v>
      </c>
      <c r="J564" s="44">
        <v>49963</v>
      </c>
      <c r="K564" s="40">
        <v>310</v>
      </c>
      <c r="L564" s="40">
        <v>1</v>
      </c>
      <c r="M564" s="40" t="s">
        <v>1484</v>
      </c>
      <c r="N564" s="40" t="s">
        <v>618</v>
      </c>
      <c r="O564" s="40" t="s">
        <v>70</v>
      </c>
      <c r="P564" s="40">
        <v>7.3271128210000001</v>
      </c>
      <c r="Q564" s="40" t="s">
        <v>24</v>
      </c>
      <c r="R564" s="40" t="s">
        <v>29</v>
      </c>
      <c r="S564" s="40" t="s">
        <v>38</v>
      </c>
    </row>
    <row r="565" spans="1:19" x14ac:dyDescent="0.25">
      <c r="A565" s="39" t="s">
        <v>1499</v>
      </c>
      <c r="B565" s="39"/>
      <c r="C565" s="39" t="s">
        <v>834</v>
      </c>
      <c r="D565" s="39">
        <v>4000000</v>
      </c>
      <c r="E565" s="39">
        <v>4033936</v>
      </c>
      <c r="F565" s="39">
        <v>3920000</v>
      </c>
      <c r="G565" s="39" t="s">
        <v>619</v>
      </c>
      <c r="H565" s="39">
        <v>8.9975500000000004</v>
      </c>
      <c r="I565" s="39" t="s">
        <v>835</v>
      </c>
      <c r="J565" s="43">
        <v>49963</v>
      </c>
      <c r="K565" s="39">
        <v>468</v>
      </c>
      <c r="L565" s="39">
        <v>1</v>
      </c>
      <c r="M565" s="39" t="s">
        <v>1484</v>
      </c>
      <c r="N565" s="39" t="s">
        <v>834</v>
      </c>
      <c r="O565" s="39" t="s">
        <v>70</v>
      </c>
      <c r="P565" s="39">
        <v>7.9490822019999996</v>
      </c>
      <c r="Q565" s="39" t="s">
        <v>28</v>
      </c>
      <c r="R565" s="39" t="s">
        <v>29</v>
      </c>
      <c r="S565" s="39" t="s">
        <v>38</v>
      </c>
    </row>
    <row r="566" spans="1:19" x14ac:dyDescent="0.25">
      <c r="A566" s="40" t="s">
        <v>1499</v>
      </c>
      <c r="B566" s="40"/>
      <c r="C566" s="40" t="s">
        <v>434</v>
      </c>
      <c r="D566" s="40">
        <v>3900000</v>
      </c>
      <c r="E566" s="40">
        <v>3915167.1</v>
      </c>
      <c r="F566" s="40">
        <v>3900000</v>
      </c>
      <c r="G566" s="40" t="s">
        <v>840</v>
      </c>
      <c r="H566" s="40">
        <v>0</v>
      </c>
      <c r="I566" s="40" t="s">
        <v>433</v>
      </c>
      <c r="J566" s="44">
        <v>50495</v>
      </c>
      <c r="K566" s="40">
        <v>325</v>
      </c>
      <c r="L566" s="40">
        <v>1</v>
      </c>
      <c r="M566" s="40" t="s">
        <v>1484</v>
      </c>
      <c r="N566" s="40" t="s">
        <v>434</v>
      </c>
      <c r="O566" s="40" t="s">
        <v>71</v>
      </c>
      <c r="P566" s="40">
        <v>9.6083370880000007</v>
      </c>
      <c r="Q566" s="40" t="s">
        <v>28</v>
      </c>
      <c r="R566" s="40" t="s">
        <v>33</v>
      </c>
      <c r="S566" s="40" t="s">
        <v>19</v>
      </c>
    </row>
    <row r="567" spans="1:19" x14ac:dyDescent="0.25">
      <c r="A567" s="39" t="s">
        <v>1499</v>
      </c>
      <c r="B567" s="39"/>
      <c r="C567" s="39" t="s">
        <v>254</v>
      </c>
      <c r="D567" s="39">
        <v>10000000</v>
      </c>
      <c r="E567" s="39">
        <v>10000500</v>
      </c>
      <c r="F567" s="39">
        <v>10000000</v>
      </c>
      <c r="G567" s="39" t="s">
        <v>868</v>
      </c>
      <c r="H567" s="39">
        <v>9.8290000000000006</v>
      </c>
      <c r="I567" s="39" t="s">
        <v>253</v>
      </c>
      <c r="J567" s="43">
        <v>49874</v>
      </c>
      <c r="K567" s="39">
        <v>550</v>
      </c>
      <c r="L567" s="39">
        <v>1</v>
      </c>
      <c r="M567" s="39" t="s">
        <v>1484</v>
      </c>
      <c r="N567" s="39" t="s">
        <v>254</v>
      </c>
      <c r="O567" s="39" t="s">
        <v>74</v>
      </c>
      <c r="P567" s="39">
        <v>7.6345538089999998</v>
      </c>
      <c r="Q567" s="39" t="s">
        <v>28</v>
      </c>
      <c r="R567" s="39" t="s">
        <v>29</v>
      </c>
      <c r="S567" s="39" t="s">
        <v>38</v>
      </c>
    </row>
    <row r="568" spans="1:19" x14ac:dyDescent="0.25">
      <c r="A568" s="40" t="s">
        <v>1499</v>
      </c>
      <c r="B568" s="40"/>
      <c r="C568" s="40" t="s">
        <v>867</v>
      </c>
      <c r="D568" s="40">
        <v>1000000</v>
      </c>
      <c r="E568" s="40">
        <v>1009026</v>
      </c>
      <c r="F568" s="40">
        <v>1000000</v>
      </c>
      <c r="G568" s="40" t="s">
        <v>868</v>
      </c>
      <c r="H568" s="40">
        <v>9.0754900000000003</v>
      </c>
      <c r="I568" s="40" t="s">
        <v>869</v>
      </c>
      <c r="J568" s="44">
        <v>49968</v>
      </c>
      <c r="K568" s="40">
        <v>475</v>
      </c>
      <c r="L568" s="40">
        <v>1</v>
      </c>
      <c r="M568" s="40" t="s">
        <v>1484</v>
      </c>
      <c r="N568" s="40" t="s">
        <v>867</v>
      </c>
      <c r="O568" s="40" t="s">
        <v>203</v>
      </c>
      <c r="P568" s="40">
        <v>7.751804023</v>
      </c>
      <c r="Q568" s="40" t="s">
        <v>28</v>
      </c>
      <c r="R568" s="40" t="s">
        <v>29</v>
      </c>
      <c r="S568" s="40" t="s">
        <v>38</v>
      </c>
    </row>
    <row r="569" spans="1:19" x14ac:dyDescent="0.25">
      <c r="A569" s="39" t="s">
        <v>1499</v>
      </c>
      <c r="B569" s="39"/>
      <c r="C569" s="39" t="s">
        <v>874</v>
      </c>
      <c r="D569" s="39">
        <v>1000000</v>
      </c>
      <c r="E569" s="39">
        <v>1006226</v>
      </c>
      <c r="F569" s="39">
        <v>923750</v>
      </c>
      <c r="G569" s="39" t="s">
        <v>868</v>
      </c>
      <c r="H569" s="39">
        <v>8.0223999999999993</v>
      </c>
      <c r="I569" s="39" t="s">
        <v>875</v>
      </c>
      <c r="J569" s="43">
        <v>49507</v>
      </c>
      <c r="K569" s="39">
        <v>370</v>
      </c>
      <c r="L569" s="39">
        <v>1</v>
      </c>
      <c r="M569" s="39" t="s">
        <v>1484</v>
      </c>
      <c r="N569" s="39" t="s">
        <v>874</v>
      </c>
      <c r="O569" s="39" t="s">
        <v>74</v>
      </c>
      <c r="P569" s="39">
        <v>6.7290495960000003</v>
      </c>
      <c r="Q569" s="39" t="s">
        <v>28</v>
      </c>
      <c r="R569" s="39" t="s">
        <v>29</v>
      </c>
      <c r="S569" s="39" t="s">
        <v>38</v>
      </c>
    </row>
    <row r="570" spans="1:19" x14ac:dyDescent="0.25">
      <c r="A570" s="40" t="s">
        <v>1499</v>
      </c>
      <c r="B570" s="40"/>
      <c r="C570" s="40" t="s">
        <v>870</v>
      </c>
      <c r="D570" s="40">
        <v>3750000</v>
      </c>
      <c r="E570" s="40">
        <v>3747862.5</v>
      </c>
      <c r="F570" s="40">
        <v>3750000</v>
      </c>
      <c r="G570" s="40" t="s">
        <v>868</v>
      </c>
      <c r="H570" s="40">
        <v>7.2754899999999996</v>
      </c>
      <c r="I570" s="40" t="s">
        <v>871</v>
      </c>
      <c r="J570" s="44">
        <v>49238</v>
      </c>
      <c r="K570" s="40">
        <v>295</v>
      </c>
      <c r="L570" s="40">
        <v>1</v>
      </c>
      <c r="M570" s="40" t="s">
        <v>1484</v>
      </c>
      <c r="N570" s="40" t="s">
        <v>870</v>
      </c>
      <c r="O570" s="40" t="s">
        <v>203</v>
      </c>
      <c r="P570" s="40">
        <v>6.1968193359999999</v>
      </c>
      <c r="Q570" s="40" t="s">
        <v>28</v>
      </c>
      <c r="R570" s="40" t="s">
        <v>29</v>
      </c>
      <c r="S570" s="40" t="s">
        <v>38</v>
      </c>
    </row>
    <row r="571" spans="1:19" x14ac:dyDescent="0.25">
      <c r="A571" s="39" t="s">
        <v>1499</v>
      </c>
      <c r="B571" s="39"/>
      <c r="C571" s="39" t="s">
        <v>872</v>
      </c>
      <c r="D571" s="39">
        <v>2500000</v>
      </c>
      <c r="E571" s="39">
        <v>2461615</v>
      </c>
      <c r="F571" s="39">
        <v>2215000</v>
      </c>
      <c r="G571" s="39" t="s">
        <v>868</v>
      </c>
      <c r="H571" s="39">
        <v>7.5289999999999999</v>
      </c>
      <c r="I571" s="39" t="s">
        <v>873</v>
      </c>
      <c r="J571" s="43">
        <v>49417</v>
      </c>
      <c r="K571" s="39">
        <v>320</v>
      </c>
      <c r="L571" s="39">
        <v>1</v>
      </c>
      <c r="M571" s="39" t="s">
        <v>1484</v>
      </c>
      <c r="N571" s="39" t="s">
        <v>872</v>
      </c>
      <c r="O571" s="39" t="s">
        <v>204</v>
      </c>
      <c r="P571" s="39">
        <v>6.5558587199999998</v>
      </c>
      <c r="Q571" s="39" t="s">
        <v>28</v>
      </c>
      <c r="R571" s="39" t="s">
        <v>29</v>
      </c>
      <c r="S571" s="39" t="s">
        <v>38</v>
      </c>
    </row>
    <row r="572" spans="1:19" x14ac:dyDescent="0.25">
      <c r="A572" s="40" t="s">
        <v>1499</v>
      </c>
      <c r="B572" s="40"/>
      <c r="C572" s="40" t="s">
        <v>877</v>
      </c>
      <c r="D572" s="40">
        <v>480000</v>
      </c>
      <c r="E572" s="40">
        <v>482483.04</v>
      </c>
      <c r="F572" s="40">
        <v>480000</v>
      </c>
      <c r="G572" s="40" t="s">
        <v>868</v>
      </c>
      <c r="H572" s="40">
        <v>9.3254900000000003</v>
      </c>
      <c r="I572" s="40" t="s">
        <v>878</v>
      </c>
      <c r="J572" s="44">
        <v>49969</v>
      </c>
      <c r="K572" s="40">
        <v>500</v>
      </c>
      <c r="L572" s="40">
        <v>1</v>
      </c>
      <c r="M572" s="40" t="s">
        <v>1484</v>
      </c>
      <c r="N572" s="40" t="s">
        <v>877</v>
      </c>
      <c r="O572" s="40" t="s">
        <v>74</v>
      </c>
      <c r="P572" s="40">
        <v>8.0449414650000008</v>
      </c>
      <c r="Q572" s="40" t="s">
        <v>28</v>
      </c>
      <c r="R572" s="40" t="s">
        <v>33</v>
      </c>
      <c r="S572" s="40" t="s">
        <v>38</v>
      </c>
    </row>
    <row r="573" spans="1:19" x14ac:dyDescent="0.25">
      <c r="A573" s="39" t="s">
        <v>1499</v>
      </c>
      <c r="B573" s="39"/>
      <c r="C573" s="39" t="s">
        <v>855</v>
      </c>
      <c r="D573" s="39">
        <v>2412000</v>
      </c>
      <c r="E573" s="39">
        <v>2422528.38</v>
      </c>
      <c r="F573" s="39">
        <v>2295888.73</v>
      </c>
      <c r="G573" s="39" t="s">
        <v>856</v>
      </c>
      <c r="H573" s="39">
        <v>7.8254900000000003</v>
      </c>
      <c r="I573" s="39" t="s">
        <v>857</v>
      </c>
      <c r="J573" s="43">
        <v>49419</v>
      </c>
      <c r="K573" s="39">
        <v>350</v>
      </c>
      <c r="L573" s="39">
        <v>1</v>
      </c>
      <c r="M573" s="39" t="s">
        <v>1484</v>
      </c>
      <c r="N573" s="39" t="s">
        <v>855</v>
      </c>
      <c r="O573" s="39" t="s">
        <v>75</v>
      </c>
      <c r="P573" s="39">
        <v>6.5891017080000003</v>
      </c>
      <c r="Q573" s="39" t="s">
        <v>28</v>
      </c>
      <c r="R573" s="39" t="s">
        <v>29</v>
      </c>
      <c r="S573" s="39" t="s">
        <v>38</v>
      </c>
    </row>
    <row r="574" spans="1:19" x14ac:dyDescent="0.25">
      <c r="A574" s="40" t="s">
        <v>1499</v>
      </c>
      <c r="B574" s="40"/>
      <c r="C574" s="40" t="s">
        <v>855</v>
      </c>
      <c r="D574" s="40">
        <v>5000000</v>
      </c>
      <c r="E574" s="40">
        <v>5021825</v>
      </c>
      <c r="F574" s="40">
        <v>4715000</v>
      </c>
      <c r="G574" s="40" t="s">
        <v>856</v>
      </c>
      <c r="H574" s="40">
        <v>7.8254900000000003</v>
      </c>
      <c r="I574" s="40" t="s">
        <v>857</v>
      </c>
      <c r="J574" s="44">
        <v>49419</v>
      </c>
      <c r="K574" s="40">
        <v>350</v>
      </c>
      <c r="L574" s="40">
        <v>1</v>
      </c>
      <c r="M574" s="40" t="s">
        <v>1484</v>
      </c>
      <c r="N574" s="40" t="s">
        <v>855</v>
      </c>
      <c r="O574" s="40" t="s">
        <v>75</v>
      </c>
      <c r="P574" s="40">
        <v>6.5891017080000003</v>
      </c>
      <c r="Q574" s="40" t="s">
        <v>28</v>
      </c>
      <c r="R574" s="40" t="s">
        <v>29</v>
      </c>
      <c r="S574" s="40" t="s">
        <v>38</v>
      </c>
    </row>
    <row r="575" spans="1:19" x14ac:dyDescent="0.25">
      <c r="A575" s="39" t="s">
        <v>1499</v>
      </c>
      <c r="B575" s="39"/>
      <c r="C575" s="39" t="s">
        <v>438</v>
      </c>
      <c r="D575" s="39">
        <v>4100000</v>
      </c>
      <c r="E575" s="39">
        <v>4107232.4</v>
      </c>
      <c r="F575" s="39">
        <v>4100000</v>
      </c>
      <c r="G575" s="39" t="s">
        <v>856</v>
      </c>
      <c r="H575" s="39">
        <v>7.2781099999999999</v>
      </c>
      <c r="I575" s="39" t="s">
        <v>437</v>
      </c>
      <c r="J575" s="43">
        <v>50601</v>
      </c>
      <c r="K575" s="39">
        <v>295</v>
      </c>
      <c r="L575" s="39">
        <v>1</v>
      </c>
      <c r="M575" s="39" t="s">
        <v>1484</v>
      </c>
      <c r="N575" s="39" t="s">
        <v>438</v>
      </c>
      <c r="O575" s="39" t="s">
        <v>75</v>
      </c>
      <c r="P575" s="39">
        <v>9.7609554579999998</v>
      </c>
      <c r="Q575" s="39" t="s">
        <v>28</v>
      </c>
      <c r="R575" s="39" t="s">
        <v>33</v>
      </c>
      <c r="S575" s="39" t="s">
        <v>38</v>
      </c>
    </row>
    <row r="576" spans="1:19" x14ac:dyDescent="0.25">
      <c r="A576" s="40" t="s">
        <v>1499</v>
      </c>
      <c r="B576" s="40"/>
      <c r="C576" s="40" t="s">
        <v>441</v>
      </c>
      <c r="D576" s="40">
        <v>6450000</v>
      </c>
      <c r="E576" s="40">
        <v>6457198.2000000002</v>
      </c>
      <c r="F576" s="40">
        <v>6450000</v>
      </c>
      <c r="G576" s="40" t="s">
        <v>856</v>
      </c>
      <c r="H576" s="40">
        <v>7.2120600000000001</v>
      </c>
      <c r="I576" s="40" t="s">
        <v>440</v>
      </c>
      <c r="J576" s="44">
        <v>50611</v>
      </c>
      <c r="K576" s="40">
        <v>290</v>
      </c>
      <c r="L576" s="40">
        <v>1</v>
      </c>
      <c r="M576" s="40" t="s">
        <v>1484</v>
      </c>
      <c r="N576" s="40" t="s">
        <v>441</v>
      </c>
      <c r="O576" s="40" t="s">
        <v>75</v>
      </c>
      <c r="P576" s="40">
        <v>9.7128119650000002</v>
      </c>
      <c r="Q576" s="40" t="s">
        <v>28</v>
      </c>
      <c r="R576" s="40" t="s">
        <v>33</v>
      </c>
      <c r="S576" s="40" t="s">
        <v>38</v>
      </c>
    </row>
    <row r="577" spans="1:19" x14ac:dyDescent="0.25">
      <c r="A577" s="39" t="s">
        <v>1499</v>
      </c>
      <c r="B577" s="39"/>
      <c r="C577" s="39" t="s">
        <v>443</v>
      </c>
      <c r="D577" s="39">
        <v>2800000</v>
      </c>
      <c r="E577" s="39">
        <v>2807389.2</v>
      </c>
      <c r="F577" s="39">
        <v>2800000</v>
      </c>
      <c r="G577" s="39" t="s">
        <v>856</v>
      </c>
      <c r="H577" s="39">
        <v>0</v>
      </c>
      <c r="I577" s="39" t="s">
        <v>442</v>
      </c>
      <c r="J577" s="43">
        <v>50703</v>
      </c>
      <c r="K577" s="39">
        <v>285</v>
      </c>
      <c r="L577" s="39">
        <v>1</v>
      </c>
      <c r="M577" s="39" t="s">
        <v>1484</v>
      </c>
      <c r="N577" s="39" t="s">
        <v>443</v>
      </c>
      <c r="O577" s="39" t="s">
        <v>76</v>
      </c>
      <c r="P577" s="39"/>
      <c r="Q577" s="39" t="s">
        <v>28</v>
      </c>
      <c r="R577" s="39" t="s">
        <v>41</v>
      </c>
      <c r="S577" s="39" t="s">
        <v>19</v>
      </c>
    </row>
    <row r="578" spans="1:19" x14ac:dyDescent="0.25">
      <c r="A578" s="40" t="s">
        <v>1499</v>
      </c>
      <c r="B578" s="40" t="s">
        <v>1530</v>
      </c>
      <c r="C578" s="40" t="s">
        <v>859</v>
      </c>
      <c r="D578" s="40">
        <v>3825000</v>
      </c>
      <c r="E578" s="40">
        <v>3812136.53</v>
      </c>
      <c r="F578" s="40">
        <v>3710250</v>
      </c>
      <c r="G578" s="40" t="s">
        <v>860</v>
      </c>
      <c r="H578" s="40">
        <v>7.9400700000000004</v>
      </c>
      <c r="I578" s="40" t="s">
        <v>861</v>
      </c>
      <c r="J578" s="44">
        <v>49242</v>
      </c>
      <c r="K578" s="40">
        <v>362.161</v>
      </c>
      <c r="L578" s="40">
        <v>1</v>
      </c>
      <c r="M578" s="40" t="s">
        <v>1484</v>
      </c>
      <c r="N578" s="40" t="s">
        <v>859</v>
      </c>
      <c r="O578" s="40" t="s">
        <v>205</v>
      </c>
      <c r="P578" s="40">
        <v>6.1038457599999996</v>
      </c>
      <c r="Q578" s="40" t="s">
        <v>28</v>
      </c>
      <c r="R578" s="40" t="s">
        <v>29</v>
      </c>
      <c r="S578" s="40" t="s">
        <v>38</v>
      </c>
    </row>
    <row r="579" spans="1:19" x14ac:dyDescent="0.25">
      <c r="A579" s="39" t="s">
        <v>1499</v>
      </c>
      <c r="B579" s="39" t="s">
        <v>1530</v>
      </c>
      <c r="C579" s="39" t="s">
        <v>859</v>
      </c>
      <c r="D579" s="39">
        <v>270000</v>
      </c>
      <c r="E579" s="39">
        <v>269091.99</v>
      </c>
      <c r="F579" s="39">
        <v>269284.68</v>
      </c>
      <c r="G579" s="39" t="s">
        <v>860</v>
      </c>
      <c r="H579" s="39">
        <v>7.9400700000000004</v>
      </c>
      <c r="I579" s="39" t="s">
        <v>861</v>
      </c>
      <c r="J579" s="43">
        <v>49242</v>
      </c>
      <c r="K579" s="39">
        <v>362.161</v>
      </c>
      <c r="L579" s="39">
        <v>1</v>
      </c>
      <c r="M579" s="39" t="s">
        <v>1484</v>
      </c>
      <c r="N579" s="39" t="s">
        <v>859</v>
      </c>
      <c r="O579" s="39" t="s">
        <v>205</v>
      </c>
      <c r="P579" s="39">
        <v>6.1038457599999996</v>
      </c>
      <c r="Q579" s="39" t="s">
        <v>28</v>
      </c>
      <c r="R579" s="39" t="s">
        <v>29</v>
      </c>
      <c r="S579" s="39" t="s">
        <v>38</v>
      </c>
    </row>
    <row r="580" spans="1:19" x14ac:dyDescent="0.25">
      <c r="A580" s="40" t="s">
        <v>1499</v>
      </c>
      <c r="B580" s="40"/>
      <c r="C580" s="40" t="s">
        <v>859</v>
      </c>
      <c r="D580" s="40">
        <v>290000</v>
      </c>
      <c r="E580" s="40">
        <v>289024.73</v>
      </c>
      <c r="F580" s="40">
        <v>290006.58</v>
      </c>
      <c r="G580" s="40" t="s">
        <v>860</v>
      </c>
      <c r="H580" s="40">
        <v>7.9400700000000004</v>
      </c>
      <c r="I580" s="40" t="s">
        <v>861</v>
      </c>
      <c r="J580" s="44">
        <v>49242</v>
      </c>
      <c r="K580" s="40">
        <v>362.161</v>
      </c>
      <c r="L580" s="40">
        <v>1</v>
      </c>
      <c r="M580" s="40" t="s">
        <v>1484</v>
      </c>
      <c r="N580" s="40" t="s">
        <v>859</v>
      </c>
      <c r="O580" s="40" t="s">
        <v>205</v>
      </c>
      <c r="P580" s="40">
        <v>6.1038457599999996</v>
      </c>
      <c r="Q580" s="40" t="s">
        <v>28</v>
      </c>
      <c r="R580" s="40" t="s">
        <v>29</v>
      </c>
      <c r="S580" s="40" t="s">
        <v>38</v>
      </c>
    </row>
    <row r="581" spans="1:19" x14ac:dyDescent="0.25">
      <c r="A581" s="39" t="s">
        <v>1502</v>
      </c>
      <c r="B581" s="39" t="s">
        <v>1530</v>
      </c>
      <c r="C581" s="39" t="s">
        <v>316</v>
      </c>
      <c r="D581" s="39">
        <v>1100000</v>
      </c>
      <c r="E581" s="39">
        <v>1109538.1000000001</v>
      </c>
      <c r="F581" s="39">
        <v>1100000</v>
      </c>
      <c r="G581" s="39" t="s">
        <v>312</v>
      </c>
      <c r="H581" s="39">
        <v>10.584009999999999</v>
      </c>
      <c r="I581" s="39" t="s">
        <v>315</v>
      </c>
      <c r="J581" s="43">
        <v>49142</v>
      </c>
      <c r="K581" s="39">
        <v>626.16099999999994</v>
      </c>
      <c r="L581" s="39">
        <v>1</v>
      </c>
      <c r="M581" s="39" t="s">
        <v>1487</v>
      </c>
      <c r="N581" s="39" t="s">
        <v>316</v>
      </c>
      <c r="O581" s="39" t="s">
        <v>124</v>
      </c>
      <c r="P581" s="39">
        <v>6.4471528229999997</v>
      </c>
      <c r="Q581" s="39" t="s">
        <v>32</v>
      </c>
      <c r="R581" s="39" t="s">
        <v>29</v>
      </c>
      <c r="S581" s="39" t="s">
        <v>38</v>
      </c>
    </row>
    <row r="582" spans="1:19" x14ac:dyDescent="0.25">
      <c r="A582" s="40" t="s">
        <v>1502</v>
      </c>
      <c r="B582" s="40"/>
      <c r="C582" s="40" t="s">
        <v>316</v>
      </c>
      <c r="D582" s="40">
        <v>2500000</v>
      </c>
      <c r="E582" s="40">
        <v>2521677.5</v>
      </c>
      <c r="F582" s="40">
        <v>2515002.5</v>
      </c>
      <c r="G582" s="40" t="s">
        <v>312</v>
      </c>
      <c r="H582" s="40">
        <v>10.584009999999999</v>
      </c>
      <c r="I582" s="40" t="s">
        <v>315</v>
      </c>
      <c r="J582" s="44">
        <v>49142</v>
      </c>
      <c r="K582" s="40">
        <v>626.16099999999994</v>
      </c>
      <c r="L582" s="40">
        <v>1</v>
      </c>
      <c r="M582" s="40" t="s">
        <v>1487</v>
      </c>
      <c r="N582" s="40" t="s">
        <v>316</v>
      </c>
      <c r="O582" s="40" t="s">
        <v>124</v>
      </c>
      <c r="P582" s="40">
        <v>6.4471528229999997</v>
      </c>
      <c r="Q582" s="40" t="s">
        <v>32</v>
      </c>
      <c r="R582" s="40" t="s">
        <v>29</v>
      </c>
      <c r="S582" s="40" t="s">
        <v>38</v>
      </c>
    </row>
    <row r="583" spans="1:19" x14ac:dyDescent="0.25">
      <c r="A583" s="39" t="s">
        <v>1502</v>
      </c>
      <c r="B583" s="39" t="s">
        <v>1530</v>
      </c>
      <c r="C583" s="39" t="s">
        <v>1428</v>
      </c>
      <c r="D583" s="39">
        <v>1382000</v>
      </c>
      <c r="E583" s="39">
        <v>1367722.56</v>
      </c>
      <c r="F583" s="39">
        <v>1387059.5</v>
      </c>
      <c r="G583" s="39" t="s">
        <v>312</v>
      </c>
      <c r="H583" s="39">
        <v>10.8436</v>
      </c>
      <c r="I583" s="39" t="s">
        <v>1429</v>
      </c>
      <c r="J583" s="43">
        <v>49239</v>
      </c>
      <c r="K583" s="39">
        <v>651.16099999999994</v>
      </c>
      <c r="L583" s="39">
        <v>1</v>
      </c>
      <c r="M583" s="39" t="s">
        <v>1487</v>
      </c>
      <c r="N583" s="39" t="s">
        <v>1428</v>
      </c>
      <c r="O583" s="39" t="s">
        <v>123</v>
      </c>
      <c r="P583" s="39">
        <v>6.6210127060000001</v>
      </c>
      <c r="Q583" s="39" t="s">
        <v>32</v>
      </c>
      <c r="R583" s="39" t="s">
        <v>29</v>
      </c>
      <c r="S583" s="39" t="s">
        <v>38</v>
      </c>
    </row>
    <row r="584" spans="1:19" x14ac:dyDescent="0.25">
      <c r="A584" s="40" t="s">
        <v>1502</v>
      </c>
      <c r="B584" s="40"/>
      <c r="C584" s="40" t="s">
        <v>1428</v>
      </c>
      <c r="D584" s="40">
        <v>3145000</v>
      </c>
      <c r="E584" s="40">
        <v>3112509.01</v>
      </c>
      <c r="F584" s="40">
        <v>3152790.17</v>
      </c>
      <c r="G584" s="40" t="s">
        <v>312</v>
      </c>
      <c r="H584" s="40">
        <v>10.8436</v>
      </c>
      <c r="I584" s="40" t="s">
        <v>1429</v>
      </c>
      <c r="J584" s="44">
        <v>49239</v>
      </c>
      <c r="K584" s="40">
        <v>651.16099999999994</v>
      </c>
      <c r="L584" s="40">
        <v>1</v>
      </c>
      <c r="M584" s="40" t="s">
        <v>1487</v>
      </c>
      <c r="N584" s="40" t="s">
        <v>1428</v>
      </c>
      <c r="O584" s="40" t="s">
        <v>123</v>
      </c>
      <c r="P584" s="40">
        <v>6.6210127060000001</v>
      </c>
      <c r="Q584" s="40" t="s">
        <v>32</v>
      </c>
      <c r="R584" s="40" t="s">
        <v>29</v>
      </c>
      <c r="S584" s="40" t="s">
        <v>38</v>
      </c>
    </row>
    <row r="585" spans="1:19" x14ac:dyDescent="0.25">
      <c r="A585" s="39" t="s">
        <v>1502</v>
      </c>
      <c r="B585" s="39"/>
      <c r="C585" s="39" t="s">
        <v>1428</v>
      </c>
      <c r="D585" s="39">
        <v>120000</v>
      </c>
      <c r="E585" s="39">
        <v>118760.28</v>
      </c>
      <c r="F585" s="39">
        <v>119702.28</v>
      </c>
      <c r="G585" s="39" t="s">
        <v>312</v>
      </c>
      <c r="H585" s="39">
        <v>10.8436</v>
      </c>
      <c r="I585" s="39" t="s">
        <v>1429</v>
      </c>
      <c r="J585" s="43">
        <v>49239</v>
      </c>
      <c r="K585" s="39">
        <v>651.16099999999994</v>
      </c>
      <c r="L585" s="39">
        <v>1</v>
      </c>
      <c r="M585" s="39" t="s">
        <v>1487</v>
      </c>
      <c r="N585" s="39" t="s">
        <v>1428</v>
      </c>
      <c r="O585" s="39" t="s">
        <v>123</v>
      </c>
      <c r="P585" s="39">
        <v>6.6210127060000001</v>
      </c>
      <c r="Q585" s="39" t="s">
        <v>32</v>
      </c>
      <c r="R585" s="39" t="s">
        <v>29</v>
      </c>
      <c r="S585" s="39" t="s">
        <v>38</v>
      </c>
    </row>
    <row r="586" spans="1:19" x14ac:dyDescent="0.25">
      <c r="A586" s="40" t="s">
        <v>1502</v>
      </c>
      <c r="B586" s="40"/>
      <c r="C586" s="40" t="s">
        <v>1428</v>
      </c>
      <c r="D586" s="40">
        <v>480000</v>
      </c>
      <c r="E586" s="40">
        <v>475041.12</v>
      </c>
      <c r="F586" s="40">
        <v>480453.83</v>
      </c>
      <c r="G586" s="40" t="s">
        <v>312</v>
      </c>
      <c r="H586" s="40">
        <v>10.8436</v>
      </c>
      <c r="I586" s="40" t="s">
        <v>1429</v>
      </c>
      <c r="J586" s="44">
        <v>49239</v>
      </c>
      <c r="K586" s="40">
        <v>651.16099999999994</v>
      </c>
      <c r="L586" s="40">
        <v>1</v>
      </c>
      <c r="M586" s="40" t="s">
        <v>1487</v>
      </c>
      <c r="N586" s="40" t="s">
        <v>1428</v>
      </c>
      <c r="O586" s="40" t="s">
        <v>123</v>
      </c>
      <c r="P586" s="40">
        <v>6.6210127060000001</v>
      </c>
      <c r="Q586" s="40" t="s">
        <v>32</v>
      </c>
      <c r="R586" s="40" t="s">
        <v>29</v>
      </c>
      <c r="S586" s="40" t="s">
        <v>38</v>
      </c>
    </row>
    <row r="587" spans="1:19" x14ac:dyDescent="0.25">
      <c r="A587" s="39" t="s">
        <v>1502</v>
      </c>
      <c r="B587" s="39" t="s">
        <v>1530</v>
      </c>
      <c r="C587" s="39" t="s">
        <v>1428</v>
      </c>
      <c r="D587" s="39">
        <v>2073000</v>
      </c>
      <c r="E587" s="39">
        <v>2051583.84</v>
      </c>
      <c r="F587" s="39">
        <v>2071458.66</v>
      </c>
      <c r="G587" s="39" t="s">
        <v>312</v>
      </c>
      <c r="H587" s="39">
        <v>10.8436</v>
      </c>
      <c r="I587" s="39" t="s">
        <v>1429</v>
      </c>
      <c r="J587" s="43">
        <v>49239</v>
      </c>
      <c r="K587" s="39">
        <v>651.16099999999994</v>
      </c>
      <c r="L587" s="39">
        <v>1</v>
      </c>
      <c r="M587" s="39" t="s">
        <v>1487</v>
      </c>
      <c r="N587" s="39" t="s">
        <v>1428</v>
      </c>
      <c r="O587" s="39" t="s">
        <v>123</v>
      </c>
      <c r="P587" s="39">
        <v>6.6210127060000001</v>
      </c>
      <c r="Q587" s="39" t="s">
        <v>32</v>
      </c>
      <c r="R587" s="39" t="s">
        <v>29</v>
      </c>
      <c r="S587" s="39" t="s">
        <v>38</v>
      </c>
    </row>
    <row r="588" spans="1:19" x14ac:dyDescent="0.25">
      <c r="A588" s="40" t="s">
        <v>1502</v>
      </c>
      <c r="B588" s="40"/>
      <c r="C588" s="40" t="s">
        <v>1426</v>
      </c>
      <c r="D588" s="40">
        <v>1504800</v>
      </c>
      <c r="E588" s="40">
        <v>1509655.99</v>
      </c>
      <c r="F588" s="40">
        <v>1504800</v>
      </c>
      <c r="G588" s="40" t="s">
        <v>317</v>
      </c>
      <c r="H588" s="40">
        <v>8.8175500000000007</v>
      </c>
      <c r="I588" s="40" t="s">
        <v>1427</v>
      </c>
      <c r="J588" s="44">
        <v>50420</v>
      </c>
      <c r="K588" s="40">
        <v>450</v>
      </c>
      <c r="L588" s="40">
        <v>1</v>
      </c>
      <c r="M588" s="40" t="s">
        <v>1487</v>
      </c>
      <c r="N588" s="40" t="s">
        <v>1426</v>
      </c>
      <c r="O588" s="40" t="s">
        <v>125</v>
      </c>
      <c r="P588" s="40">
        <v>9.8278796939999999</v>
      </c>
      <c r="Q588" s="40" t="s">
        <v>32</v>
      </c>
      <c r="R588" s="40" t="s">
        <v>33</v>
      </c>
      <c r="S588" s="40" t="s">
        <v>38</v>
      </c>
    </row>
    <row r="589" spans="1:19" x14ac:dyDescent="0.25">
      <c r="A589" s="39" t="s">
        <v>1502</v>
      </c>
      <c r="B589" s="39"/>
      <c r="C589" s="39" t="s">
        <v>333</v>
      </c>
      <c r="D589" s="39">
        <v>310000</v>
      </c>
      <c r="E589" s="39">
        <v>313343.34999999998</v>
      </c>
      <c r="F589" s="39">
        <v>312174.03000000003</v>
      </c>
      <c r="G589" s="39" t="s">
        <v>331</v>
      </c>
      <c r="H589" s="39">
        <v>11.625489999999999</v>
      </c>
      <c r="I589" s="39" t="s">
        <v>332</v>
      </c>
      <c r="J589" s="43">
        <v>48689</v>
      </c>
      <c r="K589" s="39">
        <v>730</v>
      </c>
      <c r="L589" s="39">
        <v>1</v>
      </c>
      <c r="M589" s="39" t="s">
        <v>1487</v>
      </c>
      <c r="N589" s="39" t="s">
        <v>333</v>
      </c>
      <c r="O589" s="39" t="s">
        <v>129</v>
      </c>
      <c r="P589" s="39">
        <v>5.4661879100000004</v>
      </c>
      <c r="Q589" s="39" t="s">
        <v>32</v>
      </c>
      <c r="R589" s="39" t="s">
        <v>25</v>
      </c>
      <c r="S589" s="39" t="s">
        <v>38</v>
      </c>
    </row>
    <row r="590" spans="1:19" x14ac:dyDescent="0.25">
      <c r="A590" s="40" t="s">
        <v>1502</v>
      </c>
      <c r="B590" s="40"/>
      <c r="C590" s="40" t="s">
        <v>333</v>
      </c>
      <c r="D590" s="40">
        <v>440000</v>
      </c>
      <c r="E590" s="40">
        <v>444745.4</v>
      </c>
      <c r="F590" s="40">
        <v>443152.16</v>
      </c>
      <c r="G590" s="40" t="s">
        <v>331</v>
      </c>
      <c r="H590" s="40">
        <v>11.625489999999999</v>
      </c>
      <c r="I590" s="40" t="s">
        <v>332</v>
      </c>
      <c r="J590" s="44">
        <v>48689</v>
      </c>
      <c r="K590" s="40">
        <v>730</v>
      </c>
      <c r="L590" s="40">
        <v>1</v>
      </c>
      <c r="M590" s="40" t="s">
        <v>1487</v>
      </c>
      <c r="N590" s="40" t="s">
        <v>333</v>
      </c>
      <c r="O590" s="40" t="s">
        <v>129</v>
      </c>
      <c r="P590" s="40">
        <v>5.4661879100000004</v>
      </c>
      <c r="Q590" s="40" t="s">
        <v>32</v>
      </c>
      <c r="R590" s="40" t="s">
        <v>25</v>
      </c>
      <c r="S590" s="40" t="s">
        <v>38</v>
      </c>
    </row>
    <row r="591" spans="1:19" x14ac:dyDescent="0.25">
      <c r="A591" s="39" t="s">
        <v>1502</v>
      </c>
      <c r="B591" s="39"/>
      <c r="C591" s="39" t="s">
        <v>333</v>
      </c>
      <c r="D591" s="39">
        <v>1000000</v>
      </c>
      <c r="E591" s="39">
        <v>1010785</v>
      </c>
      <c r="F591" s="39">
        <v>1000000</v>
      </c>
      <c r="G591" s="39" t="s">
        <v>331</v>
      </c>
      <c r="H591" s="39">
        <v>11.625489999999999</v>
      </c>
      <c r="I591" s="39" t="s">
        <v>332</v>
      </c>
      <c r="J591" s="43">
        <v>48689</v>
      </c>
      <c r="K591" s="39">
        <v>730</v>
      </c>
      <c r="L591" s="39">
        <v>1</v>
      </c>
      <c r="M591" s="39" t="s">
        <v>1487</v>
      </c>
      <c r="N591" s="39" t="s">
        <v>333</v>
      </c>
      <c r="O591" s="39" t="s">
        <v>129</v>
      </c>
      <c r="P591" s="39">
        <v>5.4661879100000004</v>
      </c>
      <c r="Q591" s="39" t="s">
        <v>32</v>
      </c>
      <c r="R591" s="39" t="s">
        <v>25</v>
      </c>
      <c r="S591" s="39" t="s">
        <v>38</v>
      </c>
    </row>
    <row r="592" spans="1:19" x14ac:dyDescent="0.25">
      <c r="A592" s="40" t="s">
        <v>1502</v>
      </c>
      <c r="B592" s="40"/>
      <c r="C592" s="40" t="s">
        <v>1468</v>
      </c>
      <c r="D592" s="40">
        <v>1724000</v>
      </c>
      <c r="E592" s="40">
        <v>1655962.34</v>
      </c>
      <c r="F592" s="40">
        <v>1682084.39</v>
      </c>
      <c r="G592" s="40" t="s">
        <v>768</v>
      </c>
      <c r="H592" s="40">
        <v>11.62401</v>
      </c>
      <c r="I592" s="40" t="s">
        <v>1469</v>
      </c>
      <c r="J592" s="44">
        <v>49234</v>
      </c>
      <c r="K592" s="40">
        <v>730.16099999999994</v>
      </c>
      <c r="L592" s="40">
        <v>1</v>
      </c>
      <c r="M592" s="40" t="s">
        <v>1487</v>
      </c>
      <c r="N592" s="40" t="s">
        <v>1468</v>
      </c>
      <c r="O592" s="40" t="s">
        <v>144</v>
      </c>
      <c r="P592" s="40">
        <v>6.6539392880000001</v>
      </c>
      <c r="Q592" s="40" t="s">
        <v>32</v>
      </c>
      <c r="R592" s="40" t="s">
        <v>29</v>
      </c>
      <c r="S592" s="40" t="s">
        <v>38</v>
      </c>
    </row>
    <row r="593" spans="1:19" x14ac:dyDescent="0.25">
      <c r="A593" s="39" t="s">
        <v>1502</v>
      </c>
      <c r="B593" s="39"/>
      <c r="C593" s="39" t="s">
        <v>1468</v>
      </c>
      <c r="D593" s="39">
        <v>3935000</v>
      </c>
      <c r="E593" s="39">
        <v>3779705.23</v>
      </c>
      <c r="F593" s="39">
        <v>3719106.23</v>
      </c>
      <c r="G593" s="39" t="s">
        <v>768</v>
      </c>
      <c r="H593" s="39">
        <v>11.62401</v>
      </c>
      <c r="I593" s="39" t="s">
        <v>1469</v>
      </c>
      <c r="J593" s="43">
        <v>49234</v>
      </c>
      <c r="K593" s="39">
        <v>730.16099999999994</v>
      </c>
      <c r="L593" s="39">
        <v>1</v>
      </c>
      <c r="M593" s="39" t="s">
        <v>1487</v>
      </c>
      <c r="N593" s="39" t="s">
        <v>1468</v>
      </c>
      <c r="O593" s="39" t="s">
        <v>144</v>
      </c>
      <c r="P593" s="39">
        <v>6.6539392880000001</v>
      </c>
      <c r="Q593" s="39" t="s">
        <v>32</v>
      </c>
      <c r="R593" s="39" t="s">
        <v>29</v>
      </c>
      <c r="S593" s="39" t="s">
        <v>38</v>
      </c>
    </row>
    <row r="594" spans="1:19" x14ac:dyDescent="0.25">
      <c r="A594" s="40" t="s">
        <v>1502</v>
      </c>
      <c r="B594" s="40"/>
      <c r="C594" s="40" t="s">
        <v>1468</v>
      </c>
      <c r="D594" s="40">
        <v>370000</v>
      </c>
      <c r="E594" s="40">
        <v>355397.95</v>
      </c>
      <c r="F594" s="40">
        <v>346625.05</v>
      </c>
      <c r="G594" s="40" t="s">
        <v>768</v>
      </c>
      <c r="H594" s="40">
        <v>11.62401</v>
      </c>
      <c r="I594" s="40" t="s">
        <v>1469</v>
      </c>
      <c r="J594" s="44">
        <v>49234</v>
      </c>
      <c r="K594" s="40">
        <v>730.16099999999994</v>
      </c>
      <c r="L594" s="40">
        <v>1</v>
      </c>
      <c r="M594" s="40" t="s">
        <v>1487</v>
      </c>
      <c r="N594" s="40" t="s">
        <v>1468</v>
      </c>
      <c r="O594" s="40" t="s">
        <v>144</v>
      </c>
      <c r="P594" s="40">
        <v>6.6539392880000001</v>
      </c>
      <c r="Q594" s="40" t="s">
        <v>32</v>
      </c>
      <c r="R594" s="40" t="s">
        <v>29</v>
      </c>
      <c r="S594" s="40" t="s">
        <v>38</v>
      </c>
    </row>
    <row r="595" spans="1:19" x14ac:dyDescent="0.25">
      <c r="A595" s="39" t="s">
        <v>1502</v>
      </c>
      <c r="B595" s="39"/>
      <c r="C595" s="39" t="s">
        <v>1468</v>
      </c>
      <c r="D595" s="39">
        <v>400000</v>
      </c>
      <c r="E595" s="39">
        <v>384214</v>
      </c>
      <c r="F595" s="39">
        <v>388655.2</v>
      </c>
      <c r="G595" s="39" t="s">
        <v>768</v>
      </c>
      <c r="H595" s="39">
        <v>11.62401</v>
      </c>
      <c r="I595" s="39" t="s">
        <v>1469</v>
      </c>
      <c r="J595" s="43">
        <v>49234</v>
      </c>
      <c r="K595" s="39">
        <v>730.16099999999994</v>
      </c>
      <c r="L595" s="39">
        <v>1</v>
      </c>
      <c r="M595" s="39" t="s">
        <v>1487</v>
      </c>
      <c r="N595" s="39" t="s">
        <v>1468</v>
      </c>
      <c r="O595" s="39" t="s">
        <v>144</v>
      </c>
      <c r="P595" s="39">
        <v>6.6539392880000001</v>
      </c>
      <c r="Q595" s="39" t="s">
        <v>32</v>
      </c>
      <c r="R595" s="39" t="s">
        <v>29</v>
      </c>
      <c r="S595" s="39" t="s">
        <v>38</v>
      </c>
    </row>
    <row r="596" spans="1:19" x14ac:dyDescent="0.25">
      <c r="A596" s="40" t="s">
        <v>1502</v>
      </c>
      <c r="B596" s="40"/>
      <c r="C596" s="40" t="s">
        <v>1468</v>
      </c>
      <c r="D596" s="40">
        <v>460000</v>
      </c>
      <c r="E596" s="40">
        <v>441846.1</v>
      </c>
      <c r="F596" s="40">
        <v>430778.79</v>
      </c>
      <c r="G596" s="40" t="s">
        <v>768</v>
      </c>
      <c r="H596" s="40">
        <v>11.62401</v>
      </c>
      <c r="I596" s="40" t="s">
        <v>1469</v>
      </c>
      <c r="J596" s="44">
        <v>49234</v>
      </c>
      <c r="K596" s="40">
        <v>730.16099999999994</v>
      </c>
      <c r="L596" s="40">
        <v>1</v>
      </c>
      <c r="M596" s="40" t="s">
        <v>1487</v>
      </c>
      <c r="N596" s="40" t="s">
        <v>1468</v>
      </c>
      <c r="O596" s="40" t="s">
        <v>144</v>
      </c>
      <c r="P596" s="40">
        <v>6.6539392880000001</v>
      </c>
      <c r="Q596" s="40" t="s">
        <v>32</v>
      </c>
      <c r="R596" s="40" t="s">
        <v>29</v>
      </c>
      <c r="S596" s="40" t="s">
        <v>38</v>
      </c>
    </row>
    <row r="597" spans="1:19" x14ac:dyDescent="0.25">
      <c r="A597" s="39" t="s">
        <v>1502</v>
      </c>
      <c r="B597" s="39"/>
      <c r="C597" s="39" t="s">
        <v>1468</v>
      </c>
      <c r="D597" s="39">
        <v>2111000</v>
      </c>
      <c r="E597" s="39">
        <v>2027689.39</v>
      </c>
      <c r="F597" s="39">
        <v>2047670</v>
      </c>
      <c r="G597" s="39" t="s">
        <v>768</v>
      </c>
      <c r="H597" s="39">
        <v>11.62401</v>
      </c>
      <c r="I597" s="39" t="s">
        <v>1469</v>
      </c>
      <c r="J597" s="43">
        <v>49234</v>
      </c>
      <c r="K597" s="39">
        <v>730.16099999999994</v>
      </c>
      <c r="L597" s="39">
        <v>1</v>
      </c>
      <c r="M597" s="39" t="s">
        <v>1487</v>
      </c>
      <c r="N597" s="39" t="s">
        <v>1468</v>
      </c>
      <c r="O597" s="39" t="s">
        <v>144</v>
      </c>
      <c r="P597" s="39">
        <v>6.6539392880000001</v>
      </c>
      <c r="Q597" s="39" t="s">
        <v>32</v>
      </c>
      <c r="R597" s="39" t="s">
        <v>29</v>
      </c>
      <c r="S597" s="39" t="s">
        <v>38</v>
      </c>
    </row>
    <row r="598" spans="1:19" x14ac:dyDescent="0.25">
      <c r="A598" s="40" t="s">
        <v>1502</v>
      </c>
      <c r="B598" s="40"/>
      <c r="C598" s="40" t="s">
        <v>1437</v>
      </c>
      <c r="D598" s="40">
        <v>6480000</v>
      </c>
      <c r="E598" s="40">
        <v>6791726.8799999999</v>
      </c>
      <c r="F598" s="40">
        <v>6285600</v>
      </c>
      <c r="G598" s="40" t="s">
        <v>1214</v>
      </c>
      <c r="H598" s="40">
        <v>12.215490000000001</v>
      </c>
      <c r="I598" s="40" t="s">
        <v>1438</v>
      </c>
      <c r="J598" s="44">
        <v>50515</v>
      </c>
      <c r="K598" s="40">
        <v>789</v>
      </c>
      <c r="L598" s="40">
        <v>1</v>
      </c>
      <c r="M598" s="40" t="s">
        <v>1487</v>
      </c>
      <c r="N598" s="40" t="s">
        <v>1437</v>
      </c>
      <c r="O598" s="40" t="s">
        <v>132</v>
      </c>
      <c r="P598" s="40">
        <v>10.012150377999999</v>
      </c>
      <c r="Q598" s="40" t="s">
        <v>32</v>
      </c>
      <c r="R598" s="40" t="s">
        <v>37</v>
      </c>
      <c r="S598" s="40" t="s">
        <v>38</v>
      </c>
    </row>
    <row r="599" spans="1:19" x14ac:dyDescent="0.25">
      <c r="A599" s="39" t="s">
        <v>1502</v>
      </c>
      <c r="B599" s="39"/>
      <c r="C599" s="39" t="s">
        <v>1439</v>
      </c>
      <c r="D599" s="39">
        <v>900000</v>
      </c>
      <c r="E599" s="39">
        <v>910746</v>
      </c>
      <c r="F599" s="39">
        <v>918790.2</v>
      </c>
      <c r="G599" s="39" t="s">
        <v>1231</v>
      </c>
      <c r="H599" s="39">
        <v>11.56549</v>
      </c>
      <c r="I599" s="39" t="s">
        <v>1440</v>
      </c>
      <c r="J599" s="43">
        <v>49968</v>
      </c>
      <c r="K599" s="39">
        <v>724</v>
      </c>
      <c r="L599" s="39">
        <v>1</v>
      </c>
      <c r="M599" s="39" t="s">
        <v>1487</v>
      </c>
      <c r="N599" s="39" t="s">
        <v>1439</v>
      </c>
      <c r="O599" s="39" t="s">
        <v>132</v>
      </c>
      <c r="P599" s="39">
        <v>8.5149907979999995</v>
      </c>
      <c r="Q599" s="39" t="s">
        <v>32</v>
      </c>
      <c r="R599" s="39" t="s">
        <v>33</v>
      </c>
      <c r="S599" s="39" t="s">
        <v>38</v>
      </c>
    </row>
    <row r="600" spans="1:19" x14ac:dyDescent="0.25">
      <c r="A600" s="40" t="s">
        <v>1502</v>
      </c>
      <c r="B600" s="40"/>
      <c r="C600" s="40" t="s">
        <v>1439</v>
      </c>
      <c r="D600" s="40">
        <v>1100000</v>
      </c>
      <c r="E600" s="40">
        <v>1113134</v>
      </c>
      <c r="F600" s="40">
        <v>1135842.3999999999</v>
      </c>
      <c r="G600" s="40" t="s">
        <v>1231</v>
      </c>
      <c r="H600" s="40">
        <v>11.56549</v>
      </c>
      <c r="I600" s="40" t="s">
        <v>1440</v>
      </c>
      <c r="J600" s="44">
        <v>49968</v>
      </c>
      <c r="K600" s="40">
        <v>724</v>
      </c>
      <c r="L600" s="40">
        <v>1</v>
      </c>
      <c r="M600" s="40" t="s">
        <v>1487</v>
      </c>
      <c r="N600" s="40" t="s">
        <v>1439</v>
      </c>
      <c r="O600" s="40" t="s">
        <v>132</v>
      </c>
      <c r="P600" s="40">
        <v>8.5149907979999995</v>
      </c>
      <c r="Q600" s="40" t="s">
        <v>32</v>
      </c>
      <c r="R600" s="40" t="s">
        <v>33</v>
      </c>
      <c r="S600" s="40" t="s">
        <v>38</v>
      </c>
    </row>
    <row r="601" spans="1:19" x14ac:dyDescent="0.25">
      <c r="A601" s="39" t="s">
        <v>1502</v>
      </c>
      <c r="B601" s="39"/>
      <c r="C601" s="39" t="s">
        <v>1439</v>
      </c>
      <c r="D601" s="39">
        <v>2500000</v>
      </c>
      <c r="E601" s="39">
        <v>2529850</v>
      </c>
      <c r="F601" s="39">
        <v>2462500</v>
      </c>
      <c r="G601" s="39" t="s">
        <v>1231</v>
      </c>
      <c r="H601" s="39">
        <v>11.56549</v>
      </c>
      <c r="I601" s="39" t="s">
        <v>1440</v>
      </c>
      <c r="J601" s="43">
        <v>49968</v>
      </c>
      <c r="K601" s="39">
        <v>724</v>
      </c>
      <c r="L601" s="39">
        <v>1</v>
      </c>
      <c r="M601" s="39" t="s">
        <v>1487</v>
      </c>
      <c r="N601" s="39" t="s">
        <v>1439</v>
      </c>
      <c r="O601" s="39" t="s">
        <v>132</v>
      </c>
      <c r="P601" s="39">
        <v>8.5149907979999995</v>
      </c>
      <c r="Q601" s="39" t="s">
        <v>32</v>
      </c>
      <c r="R601" s="39" t="s">
        <v>33</v>
      </c>
      <c r="S601" s="39" t="s">
        <v>38</v>
      </c>
    </row>
    <row r="602" spans="1:19" x14ac:dyDescent="0.25">
      <c r="A602" s="40" t="s">
        <v>1502</v>
      </c>
      <c r="B602" s="40"/>
      <c r="C602" s="40" t="s">
        <v>1364</v>
      </c>
      <c r="D602" s="40">
        <v>1080000</v>
      </c>
      <c r="E602" s="40">
        <v>1089531</v>
      </c>
      <c r="F602" s="40">
        <v>1108620</v>
      </c>
      <c r="G602" s="40" t="s">
        <v>797</v>
      </c>
      <c r="H602" s="40">
        <v>10.618460000000001</v>
      </c>
      <c r="I602" s="40" t="s">
        <v>1365</v>
      </c>
      <c r="J602" s="44">
        <v>50246</v>
      </c>
      <c r="K602" s="40">
        <v>630</v>
      </c>
      <c r="L602" s="40">
        <v>1</v>
      </c>
      <c r="M602" s="40" t="s">
        <v>1487</v>
      </c>
      <c r="N602" s="40" t="s">
        <v>1364</v>
      </c>
      <c r="O602" s="40" t="s">
        <v>180</v>
      </c>
      <c r="P602" s="40">
        <v>9.3036256569999995</v>
      </c>
      <c r="Q602" s="40" t="s">
        <v>32</v>
      </c>
      <c r="R602" s="40" t="s">
        <v>33</v>
      </c>
      <c r="S602" s="40" t="s">
        <v>38</v>
      </c>
    </row>
    <row r="603" spans="1:19" x14ac:dyDescent="0.25">
      <c r="A603" s="39" t="s">
        <v>1502</v>
      </c>
      <c r="B603" s="39"/>
      <c r="C603" s="39" t="s">
        <v>1364</v>
      </c>
      <c r="D603" s="39">
        <v>1320000</v>
      </c>
      <c r="E603" s="39">
        <v>1331649</v>
      </c>
      <c r="F603" s="39">
        <v>1325749.92</v>
      </c>
      <c r="G603" s="39" t="s">
        <v>797</v>
      </c>
      <c r="H603" s="39">
        <v>10.618460000000001</v>
      </c>
      <c r="I603" s="39" t="s">
        <v>1365</v>
      </c>
      <c r="J603" s="43">
        <v>50246</v>
      </c>
      <c r="K603" s="39">
        <v>630</v>
      </c>
      <c r="L603" s="39">
        <v>1</v>
      </c>
      <c r="M603" s="39" t="s">
        <v>1487</v>
      </c>
      <c r="N603" s="39" t="s">
        <v>1364</v>
      </c>
      <c r="O603" s="39" t="s">
        <v>180</v>
      </c>
      <c r="P603" s="39">
        <v>9.3036256569999995</v>
      </c>
      <c r="Q603" s="39" t="s">
        <v>32</v>
      </c>
      <c r="R603" s="39" t="s">
        <v>33</v>
      </c>
      <c r="S603" s="39" t="s">
        <v>38</v>
      </c>
    </row>
    <row r="604" spans="1:19" x14ac:dyDescent="0.25">
      <c r="A604" s="40" t="s">
        <v>1502</v>
      </c>
      <c r="B604" s="40"/>
      <c r="C604" s="40" t="s">
        <v>1364</v>
      </c>
      <c r="D604" s="40">
        <v>3000000</v>
      </c>
      <c r="E604" s="40">
        <v>3026475</v>
      </c>
      <c r="F604" s="40">
        <v>3000000</v>
      </c>
      <c r="G604" s="40" t="s">
        <v>797</v>
      </c>
      <c r="H604" s="40">
        <v>10.618460000000001</v>
      </c>
      <c r="I604" s="40" t="s">
        <v>1365</v>
      </c>
      <c r="J604" s="44">
        <v>50246</v>
      </c>
      <c r="K604" s="40">
        <v>630</v>
      </c>
      <c r="L604" s="40">
        <v>1</v>
      </c>
      <c r="M604" s="40" t="s">
        <v>1487</v>
      </c>
      <c r="N604" s="40" t="s">
        <v>1364</v>
      </c>
      <c r="O604" s="40" t="s">
        <v>180</v>
      </c>
      <c r="P604" s="40">
        <v>9.3036256569999995</v>
      </c>
      <c r="Q604" s="40" t="s">
        <v>32</v>
      </c>
      <c r="R604" s="40" t="s">
        <v>33</v>
      </c>
      <c r="S604" s="40" t="s">
        <v>38</v>
      </c>
    </row>
    <row r="605" spans="1:19" x14ac:dyDescent="0.25">
      <c r="A605" s="39" t="s">
        <v>1502</v>
      </c>
      <c r="B605" s="39"/>
      <c r="C605" s="39" t="s">
        <v>1441</v>
      </c>
      <c r="D605" s="39">
        <v>203500</v>
      </c>
      <c r="E605" s="39">
        <v>205618.44</v>
      </c>
      <c r="F605" s="39">
        <v>209605</v>
      </c>
      <c r="G605" s="39" t="s">
        <v>353</v>
      </c>
      <c r="H605" s="39">
        <v>11.57633</v>
      </c>
      <c r="I605" s="39" t="s">
        <v>1442</v>
      </c>
      <c r="J605" s="43">
        <v>49994</v>
      </c>
      <c r="K605" s="39">
        <v>725</v>
      </c>
      <c r="L605" s="39">
        <v>1</v>
      </c>
      <c r="M605" s="39" t="s">
        <v>1487</v>
      </c>
      <c r="N605" s="39" t="s">
        <v>1441</v>
      </c>
      <c r="O605" s="39" t="s">
        <v>206</v>
      </c>
      <c r="P605" s="39">
        <v>8.7018886179999999</v>
      </c>
      <c r="Q605" s="39" t="s">
        <v>32</v>
      </c>
      <c r="R605" s="39" t="s">
        <v>33</v>
      </c>
      <c r="S605" s="39" t="s">
        <v>38</v>
      </c>
    </row>
    <row r="606" spans="1:19" x14ac:dyDescent="0.25">
      <c r="A606" s="40" t="s">
        <v>1502</v>
      </c>
      <c r="B606" s="40"/>
      <c r="C606" s="40" t="s">
        <v>1441</v>
      </c>
      <c r="D606" s="40">
        <v>462500</v>
      </c>
      <c r="E606" s="40">
        <v>467314.63</v>
      </c>
      <c r="F606" s="40">
        <v>462500</v>
      </c>
      <c r="G606" s="40" t="s">
        <v>353</v>
      </c>
      <c r="H606" s="40">
        <v>11.57633</v>
      </c>
      <c r="I606" s="40" t="s">
        <v>1442</v>
      </c>
      <c r="J606" s="44">
        <v>49994</v>
      </c>
      <c r="K606" s="40">
        <v>725</v>
      </c>
      <c r="L606" s="40">
        <v>1</v>
      </c>
      <c r="M606" s="40" t="s">
        <v>1487</v>
      </c>
      <c r="N606" s="40" t="s">
        <v>1441</v>
      </c>
      <c r="O606" s="40" t="s">
        <v>206</v>
      </c>
      <c r="P606" s="40">
        <v>8.7018886179999999</v>
      </c>
      <c r="Q606" s="40" t="s">
        <v>32</v>
      </c>
      <c r="R606" s="40" t="s">
        <v>33</v>
      </c>
      <c r="S606" s="40" t="s">
        <v>38</v>
      </c>
    </row>
    <row r="607" spans="1:19" x14ac:dyDescent="0.25">
      <c r="A607" s="39" t="s">
        <v>1502</v>
      </c>
      <c r="B607" s="39"/>
      <c r="C607" s="39" t="s">
        <v>1451</v>
      </c>
      <c r="D607" s="39">
        <v>310000</v>
      </c>
      <c r="E607" s="39">
        <v>309510.2</v>
      </c>
      <c r="F607" s="39">
        <v>311643.93</v>
      </c>
      <c r="G607" s="39" t="s">
        <v>1452</v>
      </c>
      <c r="H607" s="39">
        <v>10.779159999999999</v>
      </c>
      <c r="I607" s="39" t="s">
        <v>1453</v>
      </c>
      <c r="J607" s="43">
        <v>49780</v>
      </c>
      <c r="K607" s="39">
        <v>646.16099999999994</v>
      </c>
      <c r="L607" s="39">
        <v>1</v>
      </c>
      <c r="M607" s="39" t="s">
        <v>1487</v>
      </c>
      <c r="N607" s="39" t="s">
        <v>1451</v>
      </c>
      <c r="O607" s="39" t="s">
        <v>136</v>
      </c>
      <c r="P607" s="39">
        <v>6.2760731610000002</v>
      </c>
      <c r="Q607" s="39" t="s">
        <v>32</v>
      </c>
      <c r="R607" s="39" t="s">
        <v>29</v>
      </c>
      <c r="S607" s="39" t="s">
        <v>38</v>
      </c>
    </row>
    <row r="608" spans="1:19" x14ac:dyDescent="0.25">
      <c r="A608" s="40" t="s">
        <v>1502</v>
      </c>
      <c r="B608" s="40"/>
      <c r="C608" s="40" t="s">
        <v>1451</v>
      </c>
      <c r="D608" s="40">
        <v>440000</v>
      </c>
      <c r="E608" s="40">
        <v>439304.8</v>
      </c>
      <c r="F608" s="40">
        <v>440000</v>
      </c>
      <c r="G608" s="40" t="s">
        <v>1452</v>
      </c>
      <c r="H608" s="40">
        <v>10.779159999999999</v>
      </c>
      <c r="I608" s="40" t="s">
        <v>1453</v>
      </c>
      <c r="J608" s="44">
        <v>49780</v>
      </c>
      <c r="K608" s="40">
        <v>646.16099999999994</v>
      </c>
      <c r="L608" s="40">
        <v>1</v>
      </c>
      <c r="M608" s="40" t="s">
        <v>1487</v>
      </c>
      <c r="N608" s="40" t="s">
        <v>1451</v>
      </c>
      <c r="O608" s="40" t="s">
        <v>136</v>
      </c>
      <c r="P608" s="40">
        <v>6.2760731610000002</v>
      </c>
      <c r="Q608" s="40" t="s">
        <v>32</v>
      </c>
      <c r="R608" s="40" t="s">
        <v>29</v>
      </c>
      <c r="S608" s="40" t="s">
        <v>38</v>
      </c>
    </row>
    <row r="609" spans="1:19" x14ac:dyDescent="0.25">
      <c r="A609" s="39" t="s">
        <v>1502</v>
      </c>
      <c r="B609" s="39"/>
      <c r="C609" s="39" t="s">
        <v>1451</v>
      </c>
      <c r="D609" s="39">
        <v>1000000</v>
      </c>
      <c r="E609" s="39">
        <v>998420</v>
      </c>
      <c r="F609" s="39">
        <v>1003031</v>
      </c>
      <c r="G609" s="39" t="s">
        <v>1452</v>
      </c>
      <c r="H609" s="39">
        <v>10.779159999999999</v>
      </c>
      <c r="I609" s="39" t="s">
        <v>1453</v>
      </c>
      <c r="J609" s="43">
        <v>49780</v>
      </c>
      <c r="K609" s="39">
        <v>646.16099999999994</v>
      </c>
      <c r="L609" s="39">
        <v>1</v>
      </c>
      <c r="M609" s="39" t="s">
        <v>1487</v>
      </c>
      <c r="N609" s="39" t="s">
        <v>1451</v>
      </c>
      <c r="O609" s="39" t="s">
        <v>136</v>
      </c>
      <c r="P609" s="39">
        <v>6.2760731610000002</v>
      </c>
      <c r="Q609" s="39" t="s">
        <v>32</v>
      </c>
      <c r="R609" s="39" t="s">
        <v>29</v>
      </c>
      <c r="S609" s="39" t="s">
        <v>38</v>
      </c>
    </row>
    <row r="610" spans="1:19" x14ac:dyDescent="0.25">
      <c r="A610" s="40" t="s">
        <v>1502</v>
      </c>
      <c r="B610" s="40"/>
      <c r="C610" s="40" t="s">
        <v>538</v>
      </c>
      <c r="D610" s="40">
        <v>6075000</v>
      </c>
      <c r="E610" s="40">
        <v>6103595.0300000003</v>
      </c>
      <c r="F610" s="40">
        <v>6075000</v>
      </c>
      <c r="G610" s="40" t="s">
        <v>735</v>
      </c>
      <c r="H610" s="40">
        <v>10.037660000000001</v>
      </c>
      <c r="I610" s="40" t="s">
        <v>537</v>
      </c>
      <c r="J610" s="44">
        <v>50611</v>
      </c>
      <c r="K610" s="40">
        <v>575</v>
      </c>
      <c r="L610" s="40">
        <v>1</v>
      </c>
      <c r="M610" s="40" t="s">
        <v>1487</v>
      </c>
      <c r="N610" s="40" t="s">
        <v>538</v>
      </c>
      <c r="O610" s="40" t="s">
        <v>137</v>
      </c>
      <c r="P610" s="40">
        <v>10.356529603</v>
      </c>
      <c r="Q610" s="40" t="s">
        <v>32</v>
      </c>
      <c r="R610" s="40" t="s">
        <v>37</v>
      </c>
      <c r="S610" s="40" t="s">
        <v>38</v>
      </c>
    </row>
    <row r="611" spans="1:19" x14ac:dyDescent="0.25">
      <c r="A611" s="39" t="s">
        <v>1502</v>
      </c>
      <c r="B611" s="39"/>
      <c r="C611" s="39" t="s">
        <v>1445</v>
      </c>
      <c r="D611" s="39">
        <v>2820000</v>
      </c>
      <c r="E611" s="39">
        <v>2834015.4</v>
      </c>
      <c r="F611" s="39">
        <v>2820000</v>
      </c>
      <c r="G611" s="39" t="s">
        <v>735</v>
      </c>
      <c r="H611" s="39">
        <v>9.2175499999999992</v>
      </c>
      <c r="I611" s="39" t="s">
        <v>1446</v>
      </c>
      <c r="J611" s="43">
        <v>50420</v>
      </c>
      <c r="K611" s="39">
        <v>490</v>
      </c>
      <c r="L611" s="39">
        <v>1</v>
      </c>
      <c r="M611" s="39" t="s">
        <v>1487</v>
      </c>
      <c r="N611" s="39" t="s">
        <v>1445</v>
      </c>
      <c r="O611" s="39" t="s">
        <v>151</v>
      </c>
      <c r="P611" s="39">
        <v>9.8226872210000007</v>
      </c>
      <c r="Q611" s="39" t="s">
        <v>32</v>
      </c>
      <c r="R611" s="39" t="s">
        <v>33</v>
      </c>
      <c r="S611" s="39" t="s">
        <v>38</v>
      </c>
    </row>
    <row r="612" spans="1:19" x14ac:dyDescent="0.25">
      <c r="A612" s="40" t="s">
        <v>1502</v>
      </c>
      <c r="B612" s="40"/>
      <c r="C612" s="40" t="s">
        <v>1447</v>
      </c>
      <c r="D612" s="40">
        <v>1800000</v>
      </c>
      <c r="E612" s="40">
        <v>1805788.8</v>
      </c>
      <c r="F612" s="40">
        <v>1817101.8</v>
      </c>
      <c r="G612" s="40" t="s">
        <v>735</v>
      </c>
      <c r="H612" s="40">
        <v>11.3371</v>
      </c>
      <c r="I612" s="40" t="s">
        <v>1448</v>
      </c>
      <c r="J612" s="44">
        <v>49054</v>
      </c>
      <c r="K612" s="40">
        <v>701.16099999999994</v>
      </c>
      <c r="L612" s="40">
        <v>1</v>
      </c>
      <c r="M612" s="40" t="s">
        <v>1487</v>
      </c>
      <c r="N612" s="40" t="s">
        <v>1447</v>
      </c>
      <c r="O612" s="40" t="s">
        <v>150</v>
      </c>
      <c r="P612" s="40">
        <v>6.127331216</v>
      </c>
      <c r="Q612" s="40" t="s">
        <v>32</v>
      </c>
      <c r="R612" s="40" t="s">
        <v>29</v>
      </c>
      <c r="S612" s="40" t="s">
        <v>38</v>
      </c>
    </row>
    <row r="613" spans="1:19" x14ac:dyDescent="0.25">
      <c r="A613" s="39" t="s">
        <v>1499</v>
      </c>
      <c r="B613" s="39"/>
      <c r="C613" s="39" t="s">
        <v>843</v>
      </c>
      <c r="D613" s="39">
        <v>1827000</v>
      </c>
      <c r="E613" s="39">
        <v>1831764.82</v>
      </c>
      <c r="F613" s="39">
        <v>1827000</v>
      </c>
      <c r="G613" s="39" t="s">
        <v>629</v>
      </c>
      <c r="H613" s="39">
        <v>8.2291600000000003</v>
      </c>
      <c r="I613" s="39" t="s">
        <v>844</v>
      </c>
      <c r="J613" s="43">
        <v>49414</v>
      </c>
      <c r="K613" s="39">
        <v>391.161</v>
      </c>
      <c r="L613" s="39">
        <v>1</v>
      </c>
      <c r="M613" s="39" t="s">
        <v>1484</v>
      </c>
      <c r="N613" s="39" t="s">
        <v>843</v>
      </c>
      <c r="O613" s="39" t="s">
        <v>197</v>
      </c>
      <c r="P613" s="39">
        <v>5.8917479899999998</v>
      </c>
      <c r="Q613" s="39" t="s">
        <v>28</v>
      </c>
      <c r="R613" s="39" t="s">
        <v>25</v>
      </c>
      <c r="S613" s="39" t="s">
        <v>38</v>
      </c>
    </row>
    <row r="614" spans="1:19" x14ac:dyDescent="0.25">
      <c r="A614" s="40" t="s">
        <v>1499</v>
      </c>
      <c r="B614" s="40"/>
      <c r="C614" s="40" t="s">
        <v>843</v>
      </c>
      <c r="D614" s="40">
        <v>2887456</v>
      </c>
      <c r="E614" s="40">
        <v>2894986.49</v>
      </c>
      <c r="F614" s="40">
        <v>2887456</v>
      </c>
      <c r="G614" s="40" t="s">
        <v>629</v>
      </c>
      <c r="H614" s="40">
        <v>8.2291600000000003</v>
      </c>
      <c r="I614" s="40" t="s">
        <v>844</v>
      </c>
      <c r="J614" s="44">
        <v>49414</v>
      </c>
      <c r="K614" s="40">
        <v>391.161</v>
      </c>
      <c r="L614" s="40">
        <v>1</v>
      </c>
      <c r="M614" s="40" t="s">
        <v>1484</v>
      </c>
      <c r="N614" s="40" t="s">
        <v>843</v>
      </c>
      <c r="O614" s="40" t="s">
        <v>197</v>
      </c>
      <c r="P614" s="40">
        <v>5.8917479899999998</v>
      </c>
      <c r="Q614" s="40" t="s">
        <v>28</v>
      </c>
      <c r="R614" s="40" t="s">
        <v>25</v>
      </c>
      <c r="S614" s="40" t="s">
        <v>38</v>
      </c>
    </row>
    <row r="615" spans="1:19" x14ac:dyDescent="0.25">
      <c r="A615" s="39" t="s">
        <v>1499</v>
      </c>
      <c r="B615" s="39"/>
      <c r="C615" s="39" t="s">
        <v>843</v>
      </c>
      <c r="D615" s="39">
        <v>510000</v>
      </c>
      <c r="E615" s="39">
        <v>511330.08</v>
      </c>
      <c r="F615" s="39">
        <v>511341.81</v>
      </c>
      <c r="G615" s="39" t="s">
        <v>629</v>
      </c>
      <c r="H615" s="39">
        <v>8.2291600000000003</v>
      </c>
      <c r="I615" s="39" t="s">
        <v>844</v>
      </c>
      <c r="J615" s="43">
        <v>49414</v>
      </c>
      <c r="K615" s="39">
        <v>391.161</v>
      </c>
      <c r="L615" s="39">
        <v>1</v>
      </c>
      <c r="M615" s="39" t="s">
        <v>1484</v>
      </c>
      <c r="N615" s="39" t="s">
        <v>843</v>
      </c>
      <c r="O615" s="39" t="s">
        <v>197</v>
      </c>
      <c r="P615" s="39">
        <v>5.8917479899999998</v>
      </c>
      <c r="Q615" s="39" t="s">
        <v>28</v>
      </c>
      <c r="R615" s="39" t="s">
        <v>25</v>
      </c>
      <c r="S615" s="39" t="s">
        <v>38</v>
      </c>
    </row>
    <row r="616" spans="1:19" x14ac:dyDescent="0.25">
      <c r="A616" s="40" t="s">
        <v>1499</v>
      </c>
      <c r="B616" s="40"/>
      <c r="C616" s="40" t="s">
        <v>843</v>
      </c>
      <c r="D616" s="40">
        <v>520000</v>
      </c>
      <c r="E616" s="40">
        <v>521356.16</v>
      </c>
      <c r="F616" s="40">
        <v>523160.04</v>
      </c>
      <c r="G616" s="40" t="s">
        <v>629</v>
      </c>
      <c r="H616" s="40">
        <v>8.2291600000000003</v>
      </c>
      <c r="I616" s="40" t="s">
        <v>844</v>
      </c>
      <c r="J616" s="44">
        <v>49414</v>
      </c>
      <c r="K616" s="40">
        <v>391.161</v>
      </c>
      <c r="L616" s="40">
        <v>1</v>
      </c>
      <c r="M616" s="40" t="s">
        <v>1484</v>
      </c>
      <c r="N616" s="40" t="s">
        <v>843</v>
      </c>
      <c r="O616" s="40" t="s">
        <v>197</v>
      </c>
      <c r="P616" s="40">
        <v>5.8917479899999998</v>
      </c>
      <c r="Q616" s="40" t="s">
        <v>28</v>
      </c>
      <c r="R616" s="40" t="s">
        <v>25</v>
      </c>
      <c r="S616" s="40" t="s">
        <v>38</v>
      </c>
    </row>
    <row r="617" spans="1:19" x14ac:dyDescent="0.25">
      <c r="A617" s="39" t="s">
        <v>1499</v>
      </c>
      <c r="B617" s="39"/>
      <c r="C617" s="39" t="s">
        <v>843</v>
      </c>
      <c r="D617" s="39">
        <v>920000</v>
      </c>
      <c r="E617" s="39">
        <v>922399.36</v>
      </c>
      <c r="F617" s="39">
        <v>924218.39</v>
      </c>
      <c r="G617" s="39" t="s">
        <v>629</v>
      </c>
      <c r="H617" s="39">
        <v>8.2291600000000003</v>
      </c>
      <c r="I617" s="39" t="s">
        <v>844</v>
      </c>
      <c r="J617" s="43">
        <v>49414</v>
      </c>
      <c r="K617" s="39">
        <v>391.161</v>
      </c>
      <c r="L617" s="39">
        <v>1</v>
      </c>
      <c r="M617" s="39" t="s">
        <v>1484</v>
      </c>
      <c r="N617" s="39" t="s">
        <v>843</v>
      </c>
      <c r="O617" s="39" t="s">
        <v>197</v>
      </c>
      <c r="P617" s="39">
        <v>5.8917479899999998</v>
      </c>
      <c r="Q617" s="39" t="s">
        <v>28</v>
      </c>
      <c r="R617" s="39" t="s">
        <v>25</v>
      </c>
      <c r="S617" s="39" t="s">
        <v>38</v>
      </c>
    </row>
    <row r="618" spans="1:19" x14ac:dyDescent="0.25">
      <c r="A618" s="40" t="s">
        <v>1499</v>
      </c>
      <c r="B618" s="40" t="s">
        <v>1530</v>
      </c>
      <c r="C618" s="40" t="s">
        <v>843</v>
      </c>
      <c r="D618" s="40">
        <v>950000</v>
      </c>
      <c r="E618" s="40">
        <v>952477.6</v>
      </c>
      <c r="F618" s="40">
        <v>954276.36</v>
      </c>
      <c r="G618" s="40" t="s">
        <v>629</v>
      </c>
      <c r="H618" s="40">
        <v>8.2291600000000003</v>
      </c>
      <c r="I618" s="40" t="s">
        <v>844</v>
      </c>
      <c r="J618" s="44">
        <v>49414</v>
      </c>
      <c r="K618" s="40">
        <v>391.161</v>
      </c>
      <c r="L618" s="40">
        <v>1</v>
      </c>
      <c r="M618" s="40" t="s">
        <v>1484</v>
      </c>
      <c r="N618" s="40" t="s">
        <v>843</v>
      </c>
      <c r="O618" s="40" t="s">
        <v>197</v>
      </c>
      <c r="P618" s="40">
        <v>5.8917479899999998</v>
      </c>
      <c r="Q618" s="40" t="s">
        <v>28</v>
      </c>
      <c r="R618" s="40" t="s">
        <v>25</v>
      </c>
      <c r="S618" s="40" t="s">
        <v>38</v>
      </c>
    </row>
    <row r="619" spans="1:19" x14ac:dyDescent="0.25">
      <c r="A619" s="39" t="s">
        <v>1499</v>
      </c>
      <c r="B619" s="39" t="s">
        <v>1530</v>
      </c>
      <c r="C619" s="39" t="s">
        <v>845</v>
      </c>
      <c r="D619" s="39">
        <v>1750000</v>
      </c>
      <c r="E619" s="39">
        <v>1761585</v>
      </c>
      <c r="F619" s="39">
        <v>1623125</v>
      </c>
      <c r="G619" s="39" t="s">
        <v>629</v>
      </c>
      <c r="H619" s="39">
        <v>7.7291600000000003</v>
      </c>
      <c r="I619" s="39" t="s">
        <v>846</v>
      </c>
      <c r="J619" s="43">
        <v>49140</v>
      </c>
      <c r="K619" s="39">
        <v>341.161</v>
      </c>
      <c r="L619" s="39">
        <v>1</v>
      </c>
      <c r="M619" s="39" t="s">
        <v>1484</v>
      </c>
      <c r="N619" s="39" t="s">
        <v>845</v>
      </c>
      <c r="O619" s="39" t="s">
        <v>197</v>
      </c>
      <c r="P619" s="39">
        <v>5.9726698110000003</v>
      </c>
      <c r="Q619" s="39" t="s">
        <v>28</v>
      </c>
      <c r="R619" s="39" t="s">
        <v>25</v>
      </c>
      <c r="S619" s="39" t="s">
        <v>38</v>
      </c>
    </row>
    <row r="620" spans="1:19" x14ac:dyDescent="0.25">
      <c r="A620" s="40" t="s">
        <v>1499</v>
      </c>
      <c r="B620" s="40"/>
      <c r="C620" s="40" t="s">
        <v>845</v>
      </c>
      <c r="D620" s="40">
        <v>397976</v>
      </c>
      <c r="E620" s="40">
        <v>400610.6</v>
      </c>
      <c r="F620" s="40">
        <v>369927.85</v>
      </c>
      <c r="G620" s="40" t="s">
        <v>629</v>
      </c>
      <c r="H620" s="40">
        <v>7.7291600000000003</v>
      </c>
      <c r="I620" s="40" t="s">
        <v>846</v>
      </c>
      <c r="J620" s="44">
        <v>49140</v>
      </c>
      <c r="K620" s="40">
        <v>341.161</v>
      </c>
      <c r="L620" s="40">
        <v>1</v>
      </c>
      <c r="M620" s="40" t="s">
        <v>1484</v>
      </c>
      <c r="N620" s="40" t="s">
        <v>845</v>
      </c>
      <c r="O620" s="40" t="s">
        <v>197</v>
      </c>
      <c r="P620" s="40">
        <v>5.9726698110000003</v>
      </c>
      <c r="Q620" s="40" t="s">
        <v>28</v>
      </c>
      <c r="R620" s="40" t="s">
        <v>25</v>
      </c>
      <c r="S620" s="40" t="s">
        <v>38</v>
      </c>
    </row>
    <row r="621" spans="1:19" x14ac:dyDescent="0.25">
      <c r="A621" s="39" t="s">
        <v>1499</v>
      </c>
      <c r="B621" s="39"/>
      <c r="C621" s="39" t="s">
        <v>628</v>
      </c>
      <c r="D621" s="39">
        <v>5074644</v>
      </c>
      <c r="E621" s="39">
        <v>5093775.41</v>
      </c>
      <c r="F621" s="39">
        <v>5074644</v>
      </c>
      <c r="G621" s="39" t="s">
        <v>629</v>
      </c>
      <c r="H621" s="39">
        <v>7.3754900000000001</v>
      </c>
      <c r="I621" s="39" t="s">
        <v>630</v>
      </c>
      <c r="J621" s="43">
        <v>49876</v>
      </c>
      <c r="K621" s="39">
        <v>305</v>
      </c>
      <c r="L621" s="39">
        <v>1</v>
      </c>
      <c r="M621" s="39" t="s">
        <v>1484</v>
      </c>
      <c r="N621" s="39" t="s">
        <v>628</v>
      </c>
      <c r="O621" s="39" t="s">
        <v>197</v>
      </c>
      <c r="P621" s="39">
        <v>7.0784279249999997</v>
      </c>
      <c r="Q621" s="39" t="s">
        <v>24</v>
      </c>
      <c r="R621" s="39" t="s">
        <v>29</v>
      </c>
      <c r="S621" s="39" t="s">
        <v>38</v>
      </c>
    </row>
    <row r="622" spans="1:19" x14ac:dyDescent="0.25">
      <c r="A622" s="40" t="s">
        <v>1499</v>
      </c>
      <c r="B622" s="40"/>
      <c r="C622" s="40" t="s">
        <v>849</v>
      </c>
      <c r="D622" s="40">
        <v>6343305</v>
      </c>
      <c r="E622" s="40">
        <v>6377121.1600000001</v>
      </c>
      <c r="F622" s="40">
        <v>6343305</v>
      </c>
      <c r="G622" s="40" t="s">
        <v>629</v>
      </c>
      <c r="H622" s="40">
        <v>9.5754900000000003</v>
      </c>
      <c r="I622" s="40" t="s">
        <v>850</v>
      </c>
      <c r="J622" s="44">
        <v>49876</v>
      </c>
      <c r="K622" s="40">
        <v>525</v>
      </c>
      <c r="L622" s="40">
        <v>1</v>
      </c>
      <c r="M622" s="40" t="s">
        <v>1484</v>
      </c>
      <c r="N622" s="40" t="s">
        <v>849</v>
      </c>
      <c r="O622" s="40" t="s">
        <v>197</v>
      </c>
      <c r="P622" s="40">
        <v>7.6626210439999998</v>
      </c>
      <c r="Q622" s="40" t="s">
        <v>28</v>
      </c>
      <c r="R622" s="40" t="s">
        <v>29</v>
      </c>
      <c r="S622" s="40" t="s">
        <v>38</v>
      </c>
    </row>
    <row r="623" spans="1:19" x14ac:dyDescent="0.25">
      <c r="A623" s="39" t="s">
        <v>1499</v>
      </c>
      <c r="B623" s="39"/>
      <c r="C623" s="39" t="s">
        <v>847</v>
      </c>
      <c r="D623" s="39">
        <v>6000000</v>
      </c>
      <c r="E623" s="39">
        <v>6029454</v>
      </c>
      <c r="F623" s="39">
        <v>6000000</v>
      </c>
      <c r="G623" s="39" t="s">
        <v>629</v>
      </c>
      <c r="H623" s="39">
        <v>7.5754900000000003</v>
      </c>
      <c r="I623" s="39" t="s">
        <v>848</v>
      </c>
      <c r="J623" s="43">
        <v>50333</v>
      </c>
      <c r="K623" s="39">
        <v>325</v>
      </c>
      <c r="L623" s="39">
        <v>1</v>
      </c>
      <c r="M623" s="39" t="s">
        <v>1484</v>
      </c>
      <c r="N623" s="39" t="s">
        <v>847</v>
      </c>
      <c r="O623" s="39" t="s">
        <v>197</v>
      </c>
      <c r="P623" s="39">
        <v>9.1109611570000002</v>
      </c>
      <c r="Q623" s="39" t="s">
        <v>28</v>
      </c>
      <c r="R623" s="39" t="s">
        <v>33</v>
      </c>
      <c r="S623" s="39" t="s">
        <v>38</v>
      </c>
    </row>
    <row r="624" spans="1:19" x14ac:dyDescent="0.25">
      <c r="A624" s="40" t="s">
        <v>1499</v>
      </c>
      <c r="B624" s="40"/>
      <c r="C624" s="40" t="s">
        <v>851</v>
      </c>
      <c r="D624" s="40">
        <v>6000000</v>
      </c>
      <c r="E624" s="40">
        <v>6061602</v>
      </c>
      <c r="F624" s="40">
        <v>6000000</v>
      </c>
      <c r="G624" s="40" t="s">
        <v>629</v>
      </c>
      <c r="H624" s="40">
        <v>8.8254900000000003</v>
      </c>
      <c r="I624" s="40" t="s">
        <v>852</v>
      </c>
      <c r="J624" s="44">
        <v>50060</v>
      </c>
      <c r="K624" s="40">
        <v>450</v>
      </c>
      <c r="L624" s="40">
        <v>1</v>
      </c>
      <c r="M624" s="40" t="s">
        <v>1484</v>
      </c>
      <c r="N624" s="40" t="s">
        <v>851</v>
      </c>
      <c r="O624" s="40" t="s">
        <v>197</v>
      </c>
      <c r="P624" s="40">
        <v>8.3829586420000002</v>
      </c>
      <c r="Q624" s="40" t="s">
        <v>28</v>
      </c>
      <c r="R624" s="40" t="s">
        <v>33</v>
      </c>
      <c r="S624" s="40" t="s">
        <v>38</v>
      </c>
    </row>
    <row r="625" spans="1:19" x14ac:dyDescent="0.25">
      <c r="A625" s="39" t="s">
        <v>1499</v>
      </c>
      <c r="B625" s="39"/>
      <c r="C625" s="39" t="s">
        <v>632</v>
      </c>
      <c r="D625" s="39">
        <v>3000000</v>
      </c>
      <c r="E625" s="39">
        <v>3011247</v>
      </c>
      <c r="F625" s="39">
        <v>3000000</v>
      </c>
      <c r="G625" s="39" t="s">
        <v>629</v>
      </c>
      <c r="H625" s="39">
        <v>6.3175499999999998</v>
      </c>
      <c r="I625" s="39" t="s">
        <v>633</v>
      </c>
      <c r="J625" s="43">
        <v>50966</v>
      </c>
      <c r="K625" s="39">
        <v>200</v>
      </c>
      <c r="L625" s="39">
        <v>1</v>
      </c>
      <c r="M625" s="39" t="s">
        <v>1484</v>
      </c>
      <c r="N625" s="39" t="s">
        <v>632</v>
      </c>
      <c r="O625" s="39" t="s">
        <v>197</v>
      </c>
      <c r="P625" s="39">
        <v>8.3332714289999998</v>
      </c>
      <c r="Q625" s="39" t="s">
        <v>24</v>
      </c>
      <c r="R625" s="39" t="s">
        <v>33</v>
      </c>
      <c r="S625" s="39" t="s">
        <v>34</v>
      </c>
    </row>
    <row r="626" spans="1:19" x14ac:dyDescent="0.25">
      <c r="A626" s="40" t="s">
        <v>1499</v>
      </c>
      <c r="B626" s="40"/>
      <c r="C626" s="40" t="s">
        <v>853</v>
      </c>
      <c r="D626" s="40">
        <v>3000000</v>
      </c>
      <c r="E626" s="40">
        <v>3011532</v>
      </c>
      <c r="F626" s="40">
        <v>3000000</v>
      </c>
      <c r="G626" s="40" t="s">
        <v>629</v>
      </c>
      <c r="H626" s="40">
        <v>7.4675500000000001</v>
      </c>
      <c r="I626" s="40" t="s">
        <v>854</v>
      </c>
      <c r="J626" s="44">
        <v>50966</v>
      </c>
      <c r="K626" s="40">
        <v>315</v>
      </c>
      <c r="L626" s="40">
        <v>1</v>
      </c>
      <c r="M626" s="40" t="s">
        <v>1484</v>
      </c>
      <c r="N626" s="40" t="s">
        <v>853</v>
      </c>
      <c r="O626" s="40" t="s">
        <v>197</v>
      </c>
      <c r="P626" s="40">
        <v>8.8988028799999999</v>
      </c>
      <c r="Q626" s="40" t="s">
        <v>28</v>
      </c>
      <c r="R626" s="40" t="s">
        <v>33</v>
      </c>
      <c r="S626" s="40" t="s">
        <v>38</v>
      </c>
    </row>
    <row r="627" spans="1:19" x14ac:dyDescent="0.25">
      <c r="A627" s="39" t="s">
        <v>1499</v>
      </c>
      <c r="B627" s="39"/>
      <c r="C627" s="39" t="s">
        <v>865</v>
      </c>
      <c r="D627" s="39">
        <v>3825000</v>
      </c>
      <c r="E627" s="39">
        <v>3689606.48</v>
      </c>
      <c r="F627" s="39">
        <v>3805875</v>
      </c>
      <c r="G627" s="39" t="s">
        <v>863</v>
      </c>
      <c r="H627" s="39">
        <v>8.0271000000000008</v>
      </c>
      <c r="I627" s="39" t="s">
        <v>866</v>
      </c>
      <c r="J627" s="43">
        <v>49329</v>
      </c>
      <c r="K627" s="39">
        <v>370.161</v>
      </c>
      <c r="L627" s="39">
        <v>1</v>
      </c>
      <c r="M627" s="39" t="s">
        <v>1484</v>
      </c>
      <c r="N627" s="39" t="s">
        <v>865</v>
      </c>
      <c r="O627" s="39" t="s">
        <v>207</v>
      </c>
      <c r="P627" s="39">
        <v>6.4729215379999996</v>
      </c>
      <c r="Q627" s="39" t="s">
        <v>28</v>
      </c>
      <c r="R627" s="39" t="s">
        <v>29</v>
      </c>
      <c r="S627" s="39" t="s">
        <v>38</v>
      </c>
    </row>
    <row r="628" spans="1:19" x14ac:dyDescent="0.25">
      <c r="A628" s="40" t="s">
        <v>1499</v>
      </c>
      <c r="B628" s="40"/>
      <c r="C628" s="40" t="s">
        <v>865</v>
      </c>
      <c r="D628" s="40">
        <v>80000</v>
      </c>
      <c r="E628" s="40">
        <v>77168.240000000005</v>
      </c>
      <c r="F628" s="40">
        <v>79087.600000000006</v>
      </c>
      <c r="G628" s="40" t="s">
        <v>863</v>
      </c>
      <c r="H628" s="40">
        <v>8.0271000000000008</v>
      </c>
      <c r="I628" s="40" t="s">
        <v>866</v>
      </c>
      <c r="J628" s="44">
        <v>49329</v>
      </c>
      <c r="K628" s="40">
        <v>370.161</v>
      </c>
      <c r="L628" s="40">
        <v>1</v>
      </c>
      <c r="M628" s="40" t="s">
        <v>1484</v>
      </c>
      <c r="N628" s="40" t="s">
        <v>865</v>
      </c>
      <c r="O628" s="40" t="s">
        <v>207</v>
      </c>
      <c r="P628" s="40">
        <v>6.4729215379999996</v>
      </c>
      <c r="Q628" s="40" t="s">
        <v>28</v>
      </c>
      <c r="R628" s="40" t="s">
        <v>29</v>
      </c>
      <c r="S628" s="40" t="s">
        <v>38</v>
      </c>
    </row>
    <row r="629" spans="1:19" x14ac:dyDescent="0.25">
      <c r="A629" s="39" t="s">
        <v>1499</v>
      </c>
      <c r="B629" s="39" t="s">
        <v>1530</v>
      </c>
      <c r="C629" s="39" t="s">
        <v>865</v>
      </c>
      <c r="D629" s="39">
        <v>100000</v>
      </c>
      <c r="E629" s="39">
        <v>96460.3</v>
      </c>
      <c r="F629" s="39">
        <v>99134.2</v>
      </c>
      <c r="G629" s="39" t="s">
        <v>863</v>
      </c>
      <c r="H629" s="39">
        <v>8.0271000000000008</v>
      </c>
      <c r="I629" s="39" t="s">
        <v>866</v>
      </c>
      <c r="J629" s="43">
        <v>49329</v>
      </c>
      <c r="K629" s="39">
        <v>370.161</v>
      </c>
      <c r="L629" s="39">
        <v>1</v>
      </c>
      <c r="M629" s="39" t="s">
        <v>1484</v>
      </c>
      <c r="N629" s="39" t="s">
        <v>865</v>
      </c>
      <c r="O629" s="39" t="s">
        <v>207</v>
      </c>
      <c r="P629" s="39">
        <v>6.4729215379999996</v>
      </c>
      <c r="Q629" s="39" t="s">
        <v>28</v>
      </c>
      <c r="R629" s="39" t="s">
        <v>29</v>
      </c>
      <c r="S629" s="39" t="s">
        <v>38</v>
      </c>
    </row>
    <row r="630" spans="1:19" x14ac:dyDescent="0.25">
      <c r="A630" s="40" t="s">
        <v>1499</v>
      </c>
      <c r="B630" s="40"/>
      <c r="C630" s="40" t="s">
        <v>865</v>
      </c>
      <c r="D630" s="40">
        <v>380000</v>
      </c>
      <c r="E630" s="40">
        <v>366549.14</v>
      </c>
      <c r="F630" s="40">
        <v>377220.89</v>
      </c>
      <c r="G630" s="40" t="s">
        <v>863</v>
      </c>
      <c r="H630" s="40">
        <v>8.0271000000000008</v>
      </c>
      <c r="I630" s="40" t="s">
        <v>866</v>
      </c>
      <c r="J630" s="44">
        <v>49329</v>
      </c>
      <c r="K630" s="40">
        <v>370.161</v>
      </c>
      <c r="L630" s="40">
        <v>1</v>
      </c>
      <c r="M630" s="40" t="s">
        <v>1484</v>
      </c>
      <c r="N630" s="40" t="s">
        <v>865</v>
      </c>
      <c r="O630" s="40" t="s">
        <v>207</v>
      </c>
      <c r="P630" s="40">
        <v>6.4729215379999996</v>
      </c>
      <c r="Q630" s="40" t="s">
        <v>28</v>
      </c>
      <c r="R630" s="40" t="s">
        <v>29</v>
      </c>
      <c r="S630" s="40" t="s">
        <v>38</v>
      </c>
    </row>
    <row r="631" spans="1:19" x14ac:dyDescent="0.25">
      <c r="A631" s="39" t="s">
        <v>1499</v>
      </c>
      <c r="B631" s="39"/>
      <c r="C631" s="39" t="s">
        <v>862</v>
      </c>
      <c r="D631" s="39">
        <v>1448000</v>
      </c>
      <c r="E631" s="39">
        <v>1421543.59</v>
      </c>
      <c r="F631" s="39">
        <v>1448000</v>
      </c>
      <c r="G631" s="39" t="s">
        <v>863</v>
      </c>
      <c r="H631" s="39">
        <v>8.2302999999999997</v>
      </c>
      <c r="I631" s="39" t="s">
        <v>864</v>
      </c>
      <c r="J631" s="43">
        <v>49058</v>
      </c>
      <c r="K631" s="39">
        <v>391.161</v>
      </c>
      <c r="L631" s="39">
        <v>1</v>
      </c>
      <c r="M631" s="39" t="s">
        <v>1484</v>
      </c>
      <c r="N631" s="39" t="s">
        <v>862</v>
      </c>
      <c r="O631" s="39" t="s">
        <v>207</v>
      </c>
      <c r="P631" s="39">
        <v>5.6713935390000003</v>
      </c>
      <c r="Q631" s="39" t="s">
        <v>28</v>
      </c>
      <c r="R631" s="39" t="s">
        <v>25</v>
      </c>
      <c r="S631" s="39" t="s">
        <v>38</v>
      </c>
    </row>
    <row r="632" spans="1:19" x14ac:dyDescent="0.25">
      <c r="A632" s="40" t="s">
        <v>1499</v>
      </c>
      <c r="B632" s="40" t="s">
        <v>1530</v>
      </c>
      <c r="C632" s="40" t="s">
        <v>862</v>
      </c>
      <c r="D632" s="40">
        <v>2286410</v>
      </c>
      <c r="E632" s="40">
        <v>2244635</v>
      </c>
      <c r="F632" s="40">
        <v>2286410</v>
      </c>
      <c r="G632" s="40" t="s">
        <v>863</v>
      </c>
      <c r="H632" s="40">
        <v>8.2302999999999997</v>
      </c>
      <c r="I632" s="40" t="s">
        <v>864</v>
      </c>
      <c r="J632" s="44">
        <v>49058</v>
      </c>
      <c r="K632" s="40">
        <v>391.161</v>
      </c>
      <c r="L632" s="40">
        <v>1</v>
      </c>
      <c r="M632" s="40" t="s">
        <v>1484</v>
      </c>
      <c r="N632" s="40" t="s">
        <v>862</v>
      </c>
      <c r="O632" s="40" t="s">
        <v>207</v>
      </c>
      <c r="P632" s="40">
        <v>5.6713935390000003</v>
      </c>
      <c r="Q632" s="40" t="s">
        <v>28</v>
      </c>
      <c r="R632" s="40" t="s">
        <v>25</v>
      </c>
      <c r="S632" s="40" t="s">
        <v>38</v>
      </c>
    </row>
    <row r="633" spans="1:19" x14ac:dyDescent="0.25">
      <c r="A633" s="39" t="s">
        <v>1499</v>
      </c>
      <c r="B633" s="39"/>
      <c r="C633" s="39" t="s">
        <v>862</v>
      </c>
      <c r="D633" s="39">
        <v>400000</v>
      </c>
      <c r="E633" s="39">
        <v>392691.6</v>
      </c>
      <c r="F633" s="39">
        <v>393864.8</v>
      </c>
      <c r="G633" s="39" t="s">
        <v>863</v>
      </c>
      <c r="H633" s="39">
        <v>8.2302999999999997</v>
      </c>
      <c r="I633" s="39" t="s">
        <v>864</v>
      </c>
      <c r="J633" s="43">
        <v>49058</v>
      </c>
      <c r="K633" s="39">
        <v>391.161</v>
      </c>
      <c r="L633" s="39">
        <v>1</v>
      </c>
      <c r="M633" s="39" t="s">
        <v>1484</v>
      </c>
      <c r="N633" s="39" t="s">
        <v>862</v>
      </c>
      <c r="O633" s="39" t="s">
        <v>207</v>
      </c>
      <c r="P633" s="39">
        <v>5.6713935390000003</v>
      </c>
      <c r="Q633" s="39" t="s">
        <v>28</v>
      </c>
      <c r="R633" s="39" t="s">
        <v>25</v>
      </c>
      <c r="S633" s="39" t="s">
        <v>38</v>
      </c>
    </row>
    <row r="634" spans="1:19" x14ac:dyDescent="0.25">
      <c r="A634" s="40" t="s">
        <v>1499</v>
      </c>
      <c r="B634" s="40"/>
      <c r="C634" s="40" t="s">
        <v>862</v>
      </c>
      <c r="D634" s="40">
        <v>750000</v>
      </c>
      <c r="E634" s="40">
        <v>736296.75</v>
      </c>
      <c r="F634" s="40">
        <v>749120.17</v>
      </c>
      <c r="G634" s="40" t="s">
        <v>863</v>
      </c>
      <c r="H634" s="40">
        <v>8.2302999999999997</v>
      </c>
      <c r="I634" s="40" t="s">
        <v>864</v>
      </c>
      <c r="J634" s="44">
        <v>49058</v>
      </c>
      <c r="K634" s="40">
        <v>391.161</v>
      </c>
      <c r="L634" s="40">
        <v>1</v>
      </c>
      <c r="M634" s="40" t="s">
        <v>1484</v>
      </c>
      <c r="N634" s="40" t="s">
        <v>862</v>
      </c>
      <c r="O634" s="40" t="s">
        <v>207</v>
      </c>
      <c r="P634" s="40">
        <v>5.6713935390000003</v>
      </c>
      <c r="Q634" s="40" t="s">
        <v>28</v>
      </c>
      <c r="R634" s="40" t="s">
        <v>25</v>
      </c>
      <c r="S634" s="40" t="s">
        <v>38</v>
      </c>
    </row>
    <row r="635" spans="1:19" x14ac:dyDescent="0.25">
      <c r="A635" s="39" t="s">
        <v>1499</v>
      </c>
      <c r="B635" s="39" t="s">
        <v>1530</v>
      </c>
      <c r="C635" s="39" t="s">
        <v>862</v>
      </c>
      <c r="D635" s="39">
        <v>1130000</v>
      </c>
      <c r="E635" s="39">
        <v>1109353.77</v>
      </c>
      <c r="F635" s="39">
        <v>1129203.8700000001</v>
      </c>
      <c r="G635" s="39" t="s">
        <v>863</v>
      </c>
      <c r="H635" s="39">
        <v>8.2302999999999997</v>
      </c>
      <c r="I635" s="39" t="s">
        <v>864</v>
      </c>
      <c r="J635" s="43">
        <v>49058</v>
      </c>
      <c r="K635" s="39">
        <v>391.161</v>
      </c>
      <c r="L635" s="39">
        <v>1</v>
      </c>
      <c r="M635" s="39" t="s">
        <v>1484</v>
      </c>
      <c r="N635" s="39" t="s">
        <v>862</v>
      </c>
      <c r="O635" s="39" t="s">
        <v>207</v>
      </c>
      <c r="P635" s="39">
        <v>5.6713935390000003</v>
      </c>
      <c r="Q635" s="39" t="s">
        <v>28</v>
      </c>
      <c r="R635" s="39" t="s">
        <v>25</v>
      </c>
      <c r="S635" s="39" t="s">
        <v>38</v>
      </c>
    </row>
    <row r="636" spans="1:19" x14ac:dyDescent="0.25">
      <c r="A636" s="40" t="s">
        <v>1499</v>
      </c>
      <c r="B636" s="40"/>
      <c r="C636" s="40" t="s">
        <v>904</v>
      </c>
      <c r="D636" s="40">
        <v>3750000</v>
      </c>
      <c r="E636" s="40">
        <v>3777866.25</v>
      </c>
      <c r="F636" s="40">
        <v>3750000</v>
      </c>
      <c r="G636" s="40" t="s">
        <v>644</v>
      </c>
      <c r="H636" s="40">
        <v>8.56846</v>
      </c>
      <c r="I636" s="40" t="s">
        <v>905</v>
      </c>
      <c r="J636" s="44">
        <v>49699</v>
      </c>
      <c r="K636" s="40">
        <v>425</v>
      </c>
      <c r="L636" s="40">
        <v>1</v>
      </c>
      <c r="M636" s="40" t="s">
        <v>1484</v>
      </c>
      <c r="N636" s="40" t="s">
        <v>904</v>
      </c>
      <c r="O636" s="40" t="s">
        <v>155</v>
      </c>
      <c r="P636" s="40">
        <v>7.0815850380000001</v>
      </c>
      <c r="Q636" s="40" t="s">
        <v>28</v>
      </c>
      <c r="R636" s="40" t="s">
        <v>29</v>
      </c>
      <c r="S636" s="40" t="s">
        <v>38</v>
      </c>
    </row>
    <row r="637" spans="1:19" x14ac:dyDescent="0.25">
      <c r="A637" s="39" t="s">
        <v>1499</v>
      </c>
      <c r="B637" s="39"/>
      <c r="C637" s="39" t="s">
        <v>896</v>
      </c>
      <c r="D637" s="39">
        <v>6500000</v>
      </c>
      <c r="E637" s="39">
        <v>6534183.5</v>
      </c>
      <c r="F637" s="39">
        <v>6500000</v>
      </c>
      <c r="G637" s="39" t="s">
        <v>644</v>
      </c>
      <c r="H637" s="39">
        <v>7.5754900000000003</v>
      </c>
      <c r="I637" s="39" t="s">
        <v>897</v>
      </c>
      <c r="J637" s="43">
        <v>50333</v>
      </c>
      <c r="K637" s="39">
        <v>325</v>
      </c>
      <c r="L637" s="39">
        <v>1</v>
      </c>
      <c r="M637" s="39" t="s">
        <v>1484</v>
      </c>
      <c r="N637" s="39" t="s">
        <v>896</v>
      </c>
      <c r="O637" s="39" t="s">
        <v>156</v>
      </c>
      <c r="P637" s="39">
        <v>8.2237173099999996</v>
      </c>
      <c r="Q637" s="39" t="s">
        <v>28</v>
      </c>
      <c r="R637" s="39" t="s">
        <v>33</v>
      </c>
      <c r="S637" s="39" t="s">
        <v>38</v>
      </c>
    </row>
    <row r="638" spans="1:19" x14ac:dyDescent="0.25">
      <c r="A638" s="40" t="s">
        <v>1499</v>
      </c>
      <c r="B638" s="40"/>
      <c r="C638" s="40" t="s">
        <v>898</v>
      </c>
      <c r="D638" s="40">
        <v>5150000</v>
      </c>
      <c r="E638" s="40">
        <v>5180091.45</v>
      </c>
      <c r="F638" s="40">
        <v>5150000</v>
      </c>
      <c r="G638" s="40" t="s">
        <v>644</v>
      </c>
      <c r="H638" s="40">
        <v>7.4675500000000001</v>
      </c>
      <c r="I638" s="40" t="s">
        <v>899</v>
      </c>
      <c r="J638" s="44">
        <v>50328</v>
      </c>
      <c r="K638" s="40">
        <v>315</v>
      </c>
      <c r="L638" s="40">
        <v>1</v>
      </c>
      <c r="M638" s="40" t="s">
        <v>1484</v>
      </c>
      <c r="N638" s="40" t="s">
        <v>898</v>
      </c>
      <c r="O638" s="40" t="s">
        <v>155</v>
      </c>
      <c r="P638" s="40">
        <v>8.9742748680000002</v>
      </c>
      <c r="Q638" s="40" t="s">
        <v>28</v>
      </c>
      <c r="R638" s="40" t="s">
        <v>33</v>
      </c>
      <c r="S638" s="40" t="s">
        <v>38</v>
      </c>
    </row>
    <row r="639" spans="1:19" x14ac:dyDescent="0.25">
      <c r="A639" s="39" t="s">
        <v>1499</v>
      </c>
      <c r="B639" s="39"/>
      <c r="C639" s="39" t="s">
        <v>892</v>
      </c>
      <c r="D639" s="39">
        <v>10700000</v>
      </c>
      <c r="E639" s="39">
        <v>10764103.699999999</v>
      </c>
      <c r="F639" s="39">
        <v>10700000</v>
      </c>
      <c r="G639" s="39" t="s">
        <v>644</v>
      </c>
      <c r="H639" s="39">
        <v>7.0254899999999996</v>
      </c>
      <c r="I639" s="39" t="s">
        <v>893</v>
      </c>
      <c r="J639" s="43">
        <v>50515</v>
      </c>
      <c r="K639" s="39">
        <v>270</v>
      </c>
      <c r="L639" s="39">
        <v>1</v>
      </c>
      <c r="M639" s="39" t="s">
        <v>1484</v>
      </c>
      <c r="N639" s="39" t="s">
        <v>892</v>
      </c>
      <c r="O639" s="39" t="s">
        <v>156</v>
      </c>
      <c r="P639" s="39">
        <v>9.4256779539999993</v>
      </c>
      <c r="Q639" s="39" t="s">
        <v>28</v>
      </c>
      <c r="R639" s="39" t="s">
        <v>33</v>
      </c>
      <c r="S639" s="39" t="s">
        <v>38</v>
      </c>
    </row>
    <row r="640" spans="1:19" x14ac:dyDescent="0.25">
      <c r="A640" s="40" t="s">
        <v>1499</v>
      </c>
      <c r="B640" s="40"/>
      <c r="C640" s="40" t="s">
        <v>643</v>
      </c>
      <c r="D640" s="40">
        <v>3500000</v>
      </c>
      <c r="E640" s="40">
        <v>3522816.5</v>
      </c>
      <c r="F640" s="40">
        <v>3500000</v>
      </c>
      <c r="G640" s="40" t="s">
        <v>644</v>
      </c>
      <c r="H640" s="40">
        <v>6.6184599999999998</v>
      </c>
      <c r="I640" s="40" t="s">
        <v>645</v>
      </c>
      <c r="J640" s="44">
        <v>50155</v>
      </c>
      <c r="K640" s="40">
        <v>230</v>
      </c>
      <c r="L640" s="40">
        <v>1</v>
      </c>
      <c r="M640" s="40" t="s">
        <v>1484</v>
      </c>
      <c r="N640" s="40" t="s">
        <v>643</v>
      </c>
      <c r="O640" s="40" t="s">
        <v>155</v>
      </c>
      <c r="P640" s="40">
        <v>8.008476902</v>
      </c>
      <c r="Q640" s="40" t="s">
        <v>24</v>
      </c>
      <c r="R640" s="40" t="s">
        <v>33</v>
      </c>
      <c r="S640" s="40" t="s">
        <v>34</v>
      </c>
    </row>
    <row r="641" spans="1:19" x14ac:dyDescent="0.25">
      <c r="A641" s="39" t="s">
        <v>1499</v>
      </c>
      <c r="B641" s="39"/>
      <c r="C641" s="39" t="s">
        <v>906</v>
      </c>
      <c r="D641" s="39">
        <v>4000000</v>
      </c>
      <c r="E641" s="39">
        <v>4017088</v>
      </c>
      <c r="F641" s="39">
        <v>4000000</v>
      </c>
      <c r="G641" s="39" t="s">
        <v>644</v>
      </c>
      <c r="H641" s="39">
        <v>7.6184599999999998</v>
      </c>
      <c r="I641" s="39" t="s">
        <v>907</v>
      </c>
      <c r="J641" s="43">
        <v>50155</v>
      </c>
      <c r="K641" s="39">
        <v>330</v>
      </c>
      <c r="L641" s="39">
        <v>1</v>
      </c>
      <c r="M641" s="39" t="s">
        <v>1484</v>
      </c>
      <c r="N641" s="39" t="s">
        <v>906</v>
      </c>
      <c r="O641" s="39" t="s">
        <v>155</v>
      </c>
      <c r="P641" s="39">
        <v>8.5944441279999992</v>
      </c>
      <c r="Q641" s="39" t="s">
        <v>28</v>
      </c>
      <c r="R641" s="39" t="s">
        <v>33</v>
      </c>
      <c r="S641" s="39" t="s">
        <v>38</v>
      </c>
    </row>
    <row r="642" spans="1:19" x14ac:dyDescent="0.25">
      <c r="A642" s="40" t="s">
        <v>1499</v>
      </c>
      <c r="B642" s="40"/>
      <c r="C642" s="40" t="s">
        <v>902</v>
      </c>
      <c r="D642" s="40">
        <v>7000000</v>
      </c>
      <c r="E642" s="40">
        <v>7026509</v>
      </c>
      <c r="F642" s="40">
        <v>7000000</v>
      </c>
      <c r="G642" s="40" t="s">
        <v>644</v>
      </c>
      <c r="H642" s="40">
        <v>6.8684599999999998</v>
      </c>
      <c r="I642" s="40" t="s">
        <v>903</v>
      </c>
      <c r="J642" s="44">
        <v>50430</v>
      </c>
      <c r="K642" s="40">
        <v>255</v>
      </c>
      <c r="L642" s="40">
        <v>1</v>
      </c>
      <c r="M642" s="40" t="s">
        <v>1484</v>
      </c>
      <c r="N642" s="40" t="s">
        <v>902</v>
      </c>
      <c r="O642" s="40" t="s">
        <v>155</v>
      </c>
      <c r="P642" s="40">
        <v>9.2198360860000008</v>
      </c>
      <c r="Q642" s="40" t="s">
        <v>28</v>
      </c>
      <c r="R642" s="40" t="s">
        <v>33</v>
      </c>
      <c r="S642" s="40" t="s">
        <v>34</v>
      </c>
    </row>
    <row r="643" spans="1:19" x14ac:dyDescent="0.25">
      <c r="A643" s="39" t="s">
        <v>1499</v>
      </c>
      <c r="B643" s="39" t="s">
        <v>1530</v>
      </c>
      <c r="C643" s="39" t="s">
        <v>900</v>
      </c>
      <c r="D643" s="39">
        <v>620000</v>
      </c>
      <c r="E643" s="39">
        <v>622227.66</v>
      </c>
      <c r="F643" s="39">
        <v>620000</v>
      </c>
      <c r="G643" s="39" t="s">
        <v>644</v>
      </c>
      <c r="H643" s="39">
        <v>7.9291600000000004</v>
      </c>
      <c r="I643" s="39" t="s">
        <v>901</v>
      </c>
      <c r="J643" s="43">
        <v>49232</v>
      </c>
      <c r="K643" s="39">
        <v>361.161</v>
      </c>
      <c r="L643" s="39">
        <v>1</v>
      </c>
      <c r="M643" s="39" t="s">
        <v>1484</v>
      </c>
      <c r="N643" s="39" t="s">
        <v>900</v>
      </c>
      <c r="O643" s="39" t="s">
        <v>155</v>
      </c>
      <c r="P643" s="39">
        <v>6.0971576990000003</v>
      </c>
      <c r="Q643" s="39" t="s">
        <v>28</v>
      </c>
      <c r="R643" s="39" t="s">
        <v>29</v>
      </c>
      <c r="S643" s="39" t="s">
        <v>38</v>
      </c>
    </row>
    <row r="644" spans="1:19" x14ac:dyDescent="0.25">
      <c r="A644" s="46" t="s">
        <v>1499</v>
      </c>
      <c r="B644" s="46"/>
      <c r="C644" s="46" t="s">
        <v>900</v>
      </c>
      <c r="D644" s="46">
        <v>930000</v>
      </c>
      <c r="E644" s="46">
        <v>933341.49</v>
      </c>
      <c r="F644" s="46">
        <v>930000</v>
      </c>
      <c r="G644" s="46" t="s">
        <v>644</v>
      </c>
      <c r="H644" s="46">
        <v>7.9291600000000004</v>
      </c>
      <c r="I644" s="46" t="s">
        <v>901</v>
      </c>
      <c r="J644" s="47">
        <v>49232</v>
      </c>
      <c r="K644" s="46">
        <v>361.161</v>
      </c>
      <c r="L644" s="46">
        <v>1</v>
      </c>
      <c r="M644" s="46" t="s">
        <v>1484</v>
      </c>
      <c r="N644" s="46" t="s">
        <v>900</v>
      </c>
      <c r="O644" s="46" t="s">
        <v>155</v>
      </c>
      <c r="P644" s="46">
        <v>6.0971576990000003</v>
      </c>
      <c r="Q644" s="46" t="s">
        <v>28</v>
      </c>
      <c r="R644" s="46" t="s">
        <v>29</v>
      </c>
      <c r="S644" s="46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71"/>
  <sheetViews>
    <sheetView workbookViewId="0"/>
  </sheetViews>
  <sheetFormatPr defaultRowHeight="15" x14ac:dyDescent="0.25"/>
  <sheetData>
    <row r="1" spans="1:19" x14ac:dyDescent="0.25">
      <c r="A1" s="37" t="s">
        <v>1536</v>
      </c>
      <c r="B1" s="37" t="s">
        <v>1526</v>
      </c>
      <c r="C1" s="37" t="s">
        <v>14</v>
      </c>
      <c r="D1" s="37" t="s">
        <v>114</v>
      </c>
      <c r="E1" s="37" t="s">
        <v>115</v>
      </c>
      <c r="F1" s="37" t="s">
        <v>112</v>
      </c>
      <c r="G1" s="37" t="s">
        <v>113</v>
      </c>
      <c r="H1" s="37" t="s">
        <v>50</v>
      </c>
      <c r="I1" s="37" t="s">
        <v>1527</v>
      </c>
      <c r="J1" s="37" t="s">
        <v>107</v>
      </c>
      <c r="K1" s="37" t="s">
        <v>1537</v>
      </c>
      <c r="L1" s="37" t="s">
        <v>1538</v>
      </c>
      <c r="M1" s="37" t="s">
        <v>1539</v>
      </c>
      <c r="N1" s="37" t="s">
        <v>1540</v>
      </c>
      <c r="O1" s="37" t="s">
        <v>1541</v>
      </c>
      <c r="P1" s="37" t="s">
        <v>1525</v>
      </c>
      <c r="Q1" s="37" t="s">
        <v>111</v>
      </c>
      <c r="R1" s="37" t="s">
        <v>110</v>
      </c>
      <c r="S1" s="37" t="s">
        <v>7</v>
      </c>
    </row>
    <row r="2" spans="1:19" x14ac:dyDescent="0.25">
      <c r="A2" t="s">
        <v>229</v>
      </c>
      <c r="B2" t="s">
        <v>229</v>
      </c>
      <c r="D2" s="38">
        <v>45953</v>
      </c>
      <c r="E2" s="38">
        <v>46591</v>
      </c>
      <c r="I2" t="s">
        <v>66</v>
      </c>
      <c r="J2">
        <v>20230511</v>
      </c>
      <c r="K2" t="s">
        <v>44</v>
      </c>
      <c r="L2" t="s">
        <v>44</v>
      </c>
      <c r="M2" t="s">
        <v>24</v>
      </c>
      <c r="N2" t="s">
        <v>44</v>
      </c>
      <c r="O2" t="s">
        <v>44</v>
      </c>
      <c r="P2" t="s">
        <v>227</v>
      </c>
      <c r="Q2" t="s">
        <v>24</v>
      </c>
      <c r="R2" t="s">
        <v>590</v>
      </c>
      <c r="S2" t="s">
        <v>24</v>
      </c>
    </row>
    <row r="3" spans="1:19" x14ac:dyDescent="0.25">
      <c r="A3" t="s">
        <v>232</v>
      </c>
      <c r="B3" t="s">
        <v>232</v>
      </c>
      <c r="D3" s="38">
        <v>45953</v>
      </c>
      <c r="E3" s="38">
        <v>46591</v>
      </c>
      <c r="I3" t="s">
        <v>66</v>
      </c>
      <c r="J3">
        <v>20230511</v>
      </c>
      <c r="K3" t="s">
        <v>44</v>
      </c>
      <c r="L3" t="s">
        <v>44</v>
      </c>
      <c r="M3" t="s">
        <v>777</v>
      </c>
      <c r="N3" t="s">
        <v>44</v>
      </c>
      <c r="O3" t="s">
        <v>44</v>
      </c>
      <c r="P3" t="s">
        <v>227</v>
      </c>
      <c r="Q3" t="s">
        <v>777</v>
      </c>
      <c r="R3" t="s">
        <v>590</v>
      </c>
      <c r="S3" t="s">
        <v>28</v>
      </c>
    </row>
    <row r="4" spans="1:19" x14ac:dyDescent="0.25">
      <c r="A4" t="s">
        <v>402</v>
      </c>
      <c r="B4" t="s">
        <v>402</v>
      </c>
      <c r="C4">
        <v>9.1695377439999994</v>
      </c>
      <c r="D4" s="38">
        <v>45953</v>
      </c>
      <c r="E4" s="38">
        <v>46591</v>
      </c>
      <c r="F4">
        <v>17.880402497999999</v>
      </c>
      <c r="G4">
        <v>202.15609279200001</v>
      </c>
      <c r="H4">
        <v>100.9195</v>
      </c>
      <c r="I4" t="s">
        <v>66</v>
      </c>
      <c r="J4">
        <v>20250523</v>
      </c>
      <c r="K4" t="s">
        <v>44</v>
      </c>
      <c r="L4" t="s">
        <v>44</v>
      </c>
      <c r="M4" t="s">
        <v>24</v>
      </c>
      <c r="N4" t="s">
        <v>44</v>
      </c>
      <c r="O4" t="s">
        <v>44</v>
      </c>
      <c r="P4" t="s">
        <v>227</v>
      </c>
      <c r="Q4" t="s">
        <v>24</v>
      </c>
      <c r="R4" t="s">
        <v>590</v>
      </c>
      <c r="S4" t="s">
        <v>24</v>
      </c>
    </row>
    <row r="5" spans="1:19" x14ac:dyDescent="0.25">
      <c r="A5" t="s">
        <v>406</v>
      </c>
      <c r="B5" t="s">
        <v>406</v>
      </c>
      <c r="C5">
        <v>9.7045333360000008</v>
      </c>
      <c r="D5" s="38">
        <v>45953</v>
      </c>
      <c r="E5" s="38">
        <v>46591</v>
      </c>
      <c r="F5">
        <v>11.871651461000001</v>
      </c>
      <c r="G5">
        <v>337.95475647000001</v>
      </c>
      <c r="H5">
        <v>99.426699999999997</v>
      </c>
      <c r="I5" t="s">
        <v>66</v>
      </c>
      <c r="J5">
        <v>20250523</v>
      </c>
      <c r="K5" t="s">
        <v>44</v>
      </c>
      <c r="L5" t="s">
        <v>44</v>
      </c>
      <c r="M5" t="s">
        <v>777</v>
      </c>
      <c r="N5" t="s">
        <v>44</v>
      </c>
      <c r="O5" t="s">
        <v>44</v>
      </c>
      <c r="P5" t="s">
        <v>227</v>
      </c>
      <c r="Q5" t="s">
        <v>777</v>
      </c>
      <c r="R5" t="s">
        <v>590</v>
      </c>
      <c r="S5" t="s">
        <v>28</v>
      </c>
    </row>
    <row r="6" spans="1:19" x14ac:dyDescent="0.25">
      <c r="A6" t="s">
        <v>234</v>
      </c>
      <c r="B6" t="s">
        <v>234</v>
      </c>
      <c r="I6" t="s">
        <v>66</v>
      </c>
      <c r="J6">
        <v>20230613</v>
      </c>
      <c r="K6" t="s">
        <v>44</v>
      </c>
      <c r="L6" t="s">
        <v>44</v>
      </c>
      <c r="M6" t="s">
        <v>777</v>
      </c>
      <c r="N6" t="s">
        <v>44</v>
      </c>
      <c r="O6" t="s">
        <v>44</v>
      </c>
      <c r="P6" t="s">
        <v>227</v>
      </c>
      <c r="Q6" t="s">
        <v>777</v>
      </c>
      <c r="R6" t="s">
        <v>590</v>
      </c>
      <c r="S6" t="s">
        <v>28</v>
      </c>
    </row>
    <row r="7" spans="1:19" x14ac:dyDescent="0.25">
      <c r="A7" t="s">
        <v>408</v>
      </c>
      <c r="B7" t="s">
        <v>408</v>
      </c>
      <c r="C7">
        <v>9.6224766489999993</v>
      </c>
      <c r="F7">
        <v>12.445965136</v>
      </c>
      <c r="G7">
        <v>282.97730603000002</v>
      </c>
      <c r="H7">
        <v>100.494</v>
      </c>
      <c r="I7" t="s">
        <v>66</v>
      </c>
      <c r="J7">
        <v>20250625</v>
      </c>
      <c r="K7" t="s">
        <v>44</v>
      </c>
      <c r="L7" t="s">
        <v>44</v>
      </c>
      <c r="M7" t="s">
        <v>28</v>
      </c>
      <c r="N7" t="s">
        <v>44</v>
      </c>
      <c r="O7" t="s">
        <v>44</v>
      </c>
      <c r="P7" t="s">
        <v>227</v>
      </c>
      <c r="Q7" t="s">
        <v>28</v>
      </c>
      <c r="R7" t="s">
        <v>590</v>
      </c>
      <c r="S7" t="s">
        <v>28</v>
      </c>
    </row>
    <row r="8" spans="1:19" x14ac:dyDescent="0.25">
      <c r="A8" t="s">
        <v>412</v>
      </c>
      <c r="B8" t="s">
        <v>412</v>
      </c>
      <c r="C8">
        <v>9.2339745929999992</v>
      </c>
      <c r="D8" s="38">
        <v>45951</v>
      </c>
      <c r="E8" s="38">
        <v>46589</v>
      </c>
      <c r="F8">
        <v>11.770896171</v>
      </c>
      <c r="G8">
        <v>299.109232002</v>
      </c>
      <c r="H8">
        <v>100.4057</v>
      </c>
      <c r="I8" t="s">
        <v>66</v>
      </c>
      <c r="J8">
        <v>20250711</v>
      </c>
      <c r="K8" t="s">
        <v>44</v>
      </c>
      <c r="L8" t="s">
        <v>44</v>
      </c>
      <c r="M8" t="s">
        <v>777</v>
      </c>
      <c r="N8" t="s">
        <v>44</v>
      </c>
      <c r="O8" t="s">
        <v>44</v>
      </c>
      <c r="P8" t="s">
        <v>410</v>
      </c>
      <c r="Q8" t="s">
        <v>777</v>
      </c>
      <c r="R8" t="s">
        <v>590</v>
      </c>
      <c r="S8" t="s">
        <v>28</v>
      </c>
    </row>
    <row r="9" spans="1:19" x14ac:dyDescent="0.25">
      <c r="A9" t="s">
        <v>238</v>
      </c>
      <c r="B9" t="s">
        <v>238</v>
      </c>
      <c r="D9" s="38">
        <v>45950</v>
      </c>
      <c r="E9" s="38">
        <v>46588</v>
      </c>
      <c r="I9" t="s">
        <v>67</v>
      </c>
      <c r="J9">
        <v>20210628</v>
      </c>
      <c r="K9" t="s">
        <v>44</v>
      </c>
      <c r="L9" t="s">
        <v>815</v>
      </c>
      <c r="M9" t="s">
        <v>44</v>
      </c>
      <c r="N9" t="s">
        <v>44</v>
      </c>
      <c r="O9" t="s">
        <v>44</v>
      </c>
      <c r="P9" t="s">
        <v>236</v>
      </c>
      <c r="Q9" t="s">
        <v>815</v>
      </c>
      <c r="R9" t="s">
        <v>572</v>
      </c>
      <c r="S9" t="s">
        <v>28</v>
      </c>
    </row>
    <row r="10" spans="1:19" x14ac:dyDescent="0.25">
      <c r="A10" t="s">
        <v>415</v>
      </c>
      <c r="B10" t="s">
        <v>415</v>
      </c>
      <c r="C10">
        <v>0</v>
      </c>
      <c r="D10" s="38">
        <v>45952</v>
      </c>
      <c r="E10" s="38">
        <v>45769</v>
      </c>
      <c r="G10">
        <v>298.47644213699999</v>
      </c>
      <c r="H10">
        <v>100.375</v>
      </c>
      <c r="I10" t="s">
        <v>68</v>
      </c>
      <c r="J10">
        <v>20250811</v>
      </c>
      <c r="K10" t="s">
        <v>44</v>
      </c>
      <c r="L10" t="s">
        <v>44</v>
      </c>
      <c r="M10" t="s">
        <v>777</v>
      </c>
      <c r="N10" t="s">
        <v>44</v>
      </c>
      <c r="O10" t="s">
        <v>44</v>
      </c>
      <c r="P10" t="s">
        <v>413</v>
      </c>
      <c r="Q10" t="s">
        <v>777</v>
      </c>
      <c r="R10" t="s">
        <v>590</v>
      </c>
      <c r="S10" t="s">
        <v>28</v>
      </c>
    </row>
    <row r="11" spans="1:19" x14ac:dyDescent="0.25">
      <c r="A11" t="s">
        <v>242</v>
      </c>
      <c r="B11" t="s">
        <v>242</v>
      </c>
      <c r="I11" t="s">
        <v>69</v>
      </c>
      <c r="J11">
        <v>20230327</v>
      </c>
      <c r="K11" t="s">
        <v>44</v>
      </c>
      <c r="L11" t="s">
        <v>44</v>
      </c>
      <c r="M11" t="s">
        <v>32</v>
      </c>
      <c r="N11" t="s">
        <v>44</v>
      </c>
      <c r="O11" t="s">
        <v>44</v>
      </c>
      <c r="P11" t="s">
        <v>240</v>
      </c>
      <c r="Q11" t="s">
        <v>32</v>
      </c>
      <c r="R11" t="s">
        <v>590</v>
      </c>
      <c r="S11" t="s">
        <v>32</v>
      </c>
    </row>
    <row r="12" spans="1:19" x14ac:dyDescent="0.25">
      <c r="A12" t="s">
        <v>420</v>
      </c>
      <c r="B12" t="s">
        <v>420</v>
      </c>
      <c r="C12">
        <v>10.359941642000001</v>
      </c>
      <c r="F12">
        <v>8.1656528979999994</v>
      </c>
      <c r="G12">
        <v>516.99473036899997</v>
      </c>
      <c r="H12">
        <v>101.2028</v>
      </c>
      <c r="I12" t="s">
        <v>69</v>
      </c>
      <c r="J12">
        <v>20250618</v>
      </c>
      <c r="K12" t="s">
        <v>44</v>
      </c>
      <c r="L12" t="s">
        <v>44</v>
      </c>
      <c r="M12" t="s">
        <v>1372</v>
      </c>
      <c r="N12" t="s">
        <v>44</v>
      </c>
      <c r="O12" t="s">
        <v>44</v>
      </c>
      <c r="P12" t="s">
        <v>240</v>
      </c>
      <c r="Q12" t="s">
        <v>1372</v>
      </c>
      <c r="R12" t="s">
        <v>590</v>
      </c>
      <c r="S12" t="s">
        <v>32</v>
      </c>
    </row>
    <row r="13" spans="1:19" x14ac:dyDescent="0.25">
      <c r="A13" t="s">
        <v>244</v>
      </c>
      <c r="B13" t="s">
        <v>244</v>
      </c>
      <c r="D13" s="38">
        <v>45956</v>
      </c>
      <c r="E13" s="38">
        <v>46594</v>
      </c>
      <c r="I13" t="s">
        <v>69</v>
      </c>
      <c r="J13">
        <v>20230525</v>
      </c>
      <c r="K13" t="s">
        <v>44</v>
      </c>
      <c r="L13" t="s">
        <v>44</v>
      </c>
      <c r="M13" t="s">
        <v>777</v>
      </c>
      <c r="N13" t="s">
        <v>44</v>
      </c>
      <c r="O13" t="s">
        <v>44</v>
      </c>
      <c r="P13" t="s">
        <v>240</v>
      </c>
      <c r="Q13" t="s">
        <v>777</v>
      </c>
      <c r="R13" t="s">
        <v>590</v>
      </c>
      <c r="S13" t="s">
        <v>28</v>
      </c>
    </row>
    <row r="14" spans="1:19" x14ac:dyDescent="0.25">
      <c r="A14" t="s">
        <v>424</v>
      </c>
      <c r="B14" t="s">
        <v>424</v>
      </c>
      <c r="C14">
        <v>9.7105043670000004</v>
      </c>
      <c r="D14" s="38">
        <v>45956</v>
      </c>
      <c r="E14" s="38">
        <v>46594</v>
      </c>
      <c r="F14">
        <v>12.197846820000001</v>
      </c>
      <c r="G14">
        <v>282.175987131</v>
      </c>
      <c r="H14">
        <v>100.1923</v>
      </c>
      <c r="I14" t="s">
        <v>69</v>
      </c>
      <c r="J14">
        <v>20250702</v>
      </c>
      <c r="K14" t="s">
        <v>44</v>
      </c>
      <c r="L14" t="s">
        <v>44</v>
      </c>
      <c r="M14" t="s">
        <v>777</v>
      </c>
      <c r="N14" t="s">
        <v>44</v>
      </c>
      <c r="O14" t="s">
        <v>44</v>
      </c>
      <c r="P14" t="s">
        <v>240</v>
      </c>
      <c r="Q14" t="s">
        <v>777</v>
      </c>
      <c r="R14" t="s">
        <v>590</v>
      </c>
      <c r="S14" t="s">
        <v>28</v>
      </c>
    </row>
    <row r="15" spans="1:19" x14ac:dyDescent="0.25">
      <c r="A15" t="s">
        <v>429</v>
      </c>
      <c r="B15" t="s">
        <v>429</v>
      </c>
      <c r="C15">
        <v>0</v>
      </c>
      <c r="D15" s="38">
        <v>45950</v>
      </c>
      <c r="E15" s="38">
        <v>45402</v>
      </c>
      <c r="G15">
        <v>293.33316511300001</v>
      </c>
      <c r="H15">
        <v>100.38890000000001</v>
      </c>
      <c r="I15" t="s">
        <v>70</v>
      </c>
      <c r="J15">
        <v>20250807</v>
      </c>
      <c r="K15" t="s">
        <v>44</v>
      </c>
      <c r="L15" t="s">
        <v>44</v>
      </c>
      <c r="M15" t="s">
        <v>777</v>
      </c>
      <c r="N15" t="s">
        <v>44</v>
      </c>
      <c r="O15" t="s">
        <v>44</v>
      </c>
      <c r="P15" t="s">
        <v>427</v>
      </c>
      <c r="Q15" t="s">
        <v>777</v>
      </c>
      <c r="R15" t="s">
        <v>590</v>
      </c>
      <c r="S15" t="s">
        <v>28</v>
      </c>
    </row>
    <row r="16" spans="1:19" x14ac:dyDescent="0.25">
      <c r="A16" t="s">
        <v>434</v>
      </c>
      <c r="B16" t="s">
        <v>434</v>
      </c>
      <c r="C16">
        <v>9.6083370880000007</v>
      </c>
      <c r="F16">
        <v>12</v>
      </c>
      <c r="G16">
        <v>318.24634800299998</v>
      </c>
      <c r="H16">
        <v>100.38890000000001</v>
      </c>
      <c r="I16" t="s">
        <v>71</v>
      </c>
      <c r="J16">
        <v>20250820</v>
      </c>
      <c r="K16" t="s">
        <v>777</v>
      </c>
      <c r="L16" t="s">
        <v>44</v>
      </c>
      <c r="M16" t="s">
        <v>44</v>
      </c>
      <c r="N16" t="s">
        <v>44</v>
      </c>
      <c r="O16" t="s">
        <v>44</v>
      </c>
      <c r="P16" t="s">
        <v>432</v>
      </c>
      <c r="Q16" t="s">
        <v>777</v>
      </c>
      <c r="R16" t="s">
        <v>598</v>
      </c>
      <c r="S16" t="s">
        <v>28</v>
      </c>
    </row>
    <row r="17" spans="1:19" x14ac:dyDescent="0.25">
      <c r="A17" t="s">
        <v>382</v>
      </c>
      <c r="B17" t="s">
        <v>382</v>
      </c>
      <c r="D17" s="38">
        <v>45950</v>
      </c>
      <c r="E17" s="38">
        <v>44915</v>
      </c>
      <c r="F17">
        <v>13.115368044</v>
      </c>
      <c r="I17" t="s">
        <v>72</v>
      </c>
      <c r="J17">
        <v>20190614</v>
      </c>
      <c r="K17" t="s">
        <v>44</v>
      </c>
      <c r="L17" t="s">
        <v>815</v>
      </c>
      <c r="M17" t="s">
        <v>44</v>
      </c>
      <c r="N17" t="s">
        <v>44</v>
      </c>
      <c r="O17" t="s">
        <v>44</v>
      </c>
      <c r="P17" t="s">
        <v>380</v>
      </c>
      <c r="Q17" t="s">
        <v>815</v>
      </c>
      <c r="R17" t="s">
        <v>572</v>
      </c>
      <c r="S17" t="s">
        <v>28</v>
      </c>
    </row>
    <row r="18" spans="1:19" x14ac:dyDescent="0.25">
      <c r="A18" t="s">
        <v>248</v>
      </c>
      <c r="B18" t="s">
        <v>248</v>
      </c>
      <c r="I18" t="s">
        <v>73</v>
      </c>
      <c r="J18">
        <v>20210629</v>
      </c>
      <c r="K18" t="s">
        <v>44</v>
      </c>
      <c r="L18" t="s">
        <v>610</v>
      </c>
      <c r="M18" t="s">
        <v>44</v>
      </c>
      <c r="N18" t="s">
        <v>44</v>
      </c>
      <c r="O18" t="s">
        <v>44</v>
      </c>
      <c r="P18" t="s">
        <v>246</v>
      </c>
      <c r="Q18" t="s">
        <v>610</v>
      </c>
      <c r="R18" t="s">
        <v>572</v>
      </c>
      <c r="S18" t="s">
        <v>24</v>
      </c>
    </row>
    <row r="19" spans="1:19" x14ac:dyDescent="0.25">
      <c r="A19" t="s">
        <v>251</v>
      </c>
      <c r="B19" t="s">
        <v>251</v>
      </c>
      <c r="I19" t="s">
        <v>73</v>
      </c>
      <c r="J19">
        <v>20210629</v>
      </c>
      <c r="K19" t="s">
        <v>44</v>
      </c>
      <c r="L19" t="s">
        <v>815</v>
      </c>
      <c r="M19" t="s">
        <v>44</v>
      </c>
      <c r="N19" t="s">
        <v>44</v>
      </c>
      <c r="O19" t="s">
        <v>44</v>
      </c>
      <c r="P19" t="s">
        <v>246</v>
      </c>
      <c r="Q19" t="s">
        <v>815</v>
      </c>
      <c r="R19" t="s">
        <v>572</v>
      </c>
      <c r="S19" t="s">
        <v>28</v>
      </c>
    </row>
    <row r="20" spans="1:19" x14ac:dyDescent="0.25">
      <c r="A20" t="s">
        <v>254</v>
      </c>
      <c r="B20" t="s">
        <v>254</v>
      </c>
      <c r="C20">
        <v>7.6345538089999998</v>
      </c>
      <c r="D20" s="38">
        <v>45948</v>
      </c>
      <c r="E20" s="38">
        <v>45856</v>
      </c>
      <c r="F20">
        <v>12.146295070000001</v>
      </c>
      <c r="H20">
        <v>100.005</v>
      </c>
      <c r="I20" t="s">
        <v>74</v>
      </c>
      <c r="J20">
        <v>20230621</v>
      </c>
      <c r="K20" t="s">
        <v>44</v>
      </c>
      <c r="L20" t="s">
        <v>44</v>
      </c>
      <c r="M20" t="s">
        <v>777</v>
      </c>
      <c r="N20" t="s">
        <v>44</v>
      </c>
      <c r="O20" t="s">
        <v>44</v>
      </c>
      <c r="P20" t="s">
        <v>252</v>
      </c>
      <c r="Q20" t="s">
        <v>777</v>
      </c>
      <c r="R20" t="s">
        <v>590</v>
      </c>
      <c r="S20" t="s">
        <v>28</v>
      </c>
    </row>
    <row r="21" spans="1:19" x14ac:dyDescent="0.25">
      <c r="A21" t="s">
        <v>438</v>
      </c>
      <c r="B21" t="s">
        <v>438</v>
      </c>
      <c r="C21">
        <v>9.7609554579999998</v>
      </c>
      <c r="D21" s="38">
        <v>45945</v>
      </c>
      <c r="E21" s="38">
        <v>46583</v>
      </c>
      <c r="F21">
        <v>11.965117028</v>
      </c>
      <c r="G21">
        <v>292.44528924999997</v>
      </c>
      <c r="H21">
        <v>100.1764</v>
      </c>
      <c r="I21" t="s">
        <v>75</v>
      </c>
      <c r="J21">
        <v>20250711</v>
      </c>
      <c r="K21" t="s">
        <v>777</v>
      </c>
      <c r="L21" t="s">
        <v>44</v>
      </c>
      <c r="M21" t="s">
        <v>44</v>
      </c>
      <c r="N21" t="s">
        <v>44</v>
      </c>
      <c r="O21" t="s">
        <v>44</v>
      </c>
      <c r="P21" t="s">
        <v>76</v>
      </c>
      <c r="Q21" t="s">
        <v>777</v>
      </c>
      <c r="R21" t="s">
        <v>598</v>
      </c>
      <c r="S21" t="s">
        <v>28</v>
      </c>
    </row>
    <row r="22" spans="1:19" x14ac:dyDescent="0.25">
      <c r="A22" t="s">
        <v>441</v>
      </c>
      <c r="B22" t="s">
        <v>441</v>
      </c>
      <c r="C22">
        <v>9.7128119650000002</v>
      </c>
      <c r="D22" s="38">
        <v>46047</v>
      </c>
      <c r="E22" s="38">
        <v>46585</v>
      </c>
      <c r="F22">
        <v>12</v>
      </c>
      <c r="G22">
        <v>286.84214280899999</v>
      </c>
      <c r="H22">
        <v>100.1116</v>
      </c>
      <c r="I22" t="s">
        <v>75</v>
      </c>
      <c r="J22">
        <v>20250717</v>
      </c>
      <c r="K22" t="s">
        <v>777</v>
      </c>
      <c r="L22" t="s">
        <v>44</v>
      </c>
      <c r="M22" t="s">
        <v>44</v>
      </c>
      <c r="N22" t="s">
        <v>44</v>
      </c>
      <c r="O22" t="s">
        <v>44</v>
      </c>
      <c r="P22" t="s">
        <v>76</v>
      </c>
      <c r="Q22" t="s">
        <v>777</v>
      </c>
      <c r="R22" t="s">
        <v>598</v>
      </c>
      <c r="S22" t="s">
        <v>28</v>
      </c>
    </row>
    <row r="23" spans="1:19" x14ac:dyDescent="0.25">
      <c r="A23" t="s">
        <v>443</v>
      </c>
      <c r="B23" t="s">
        <v>443</v>
      </c>
      <c r="H23">
        <v>100.26390000000001</v>
      </c>
      <c r="I23" t="s">
        <v>76</v>
      </c>
      <c r="J23">
        <v>20250904</v>
      </c>
      <c r="K23" t="s">
        <v>28</v>
      </c>
      <c r="L23" t="s">
        <v>44</v>
      </c>
      <c r="M23" t="s">
        <v>44</v>
      </c>
      <c r="N23" t="s">
        <v>44</v>
      </c>
      <c r="O23" t="s">
        <v>44</v>
      </c>
      <c r="P23" t="s">
        <v>76</v>
      </c>
      <c r="Q23" t="s">
        <v>28</v>
      </c>
      <c r="R23" t="s">
        <v>598</v>
      </c>
      <c r="S23" t="s">
        <v>28</v>
      </c>
    </row>
    <row r="24" spans="1:19" x14ac:dyDescent="0.25">
      <c r="A24" t="s">
        <v>449</v>
      </c>
      <c r="B24" t="s">
        <v>449</v>
      </c>
      <c r="C24">
        <v>9.6493193579999996</v>
      </c>
      <c r="D24" s="38">
        <v>46042</v>
      </c>
      <c r="E24" s="38">
        <v>46575</v>
      </c>
      <c r="F24">
        <v>12.439621595</v>
      </c>
      <c r="G24">
        <v>304.51113927799997</v>
      </c>
      <c r="H24">
        <v>100.605</v>
      </c>
      <c r="I24" t="s">
        <v>77</v>
      </c>
      <c r="J24">
        <v>20250707</v>
      </c>
      <c r="K24" t="s">
        <v>44</v>
      </c>
      <c r="L24" t="s">
        <v>44</v>
      </c>
      <c r="M24" t="s">
        <v>777</v>
      </c>
      <c r="N24" t="s">
        <v>44</v>
      </c>
      <c r="O24" t="s">
        <v>44</v>
      </c>
      <c r="P24" t="s">
        <v>447</v>
      </c>
      <c r="Q24" t="s">
        <v>777</v>
      </c>
      <c r="R24" t="s">
        <v>590</v>
      </c>
      <c r="S24" t="s">
        <v>28</v>
      </c>
    </row>
    <row r="25" spans="1:19" x14ac:dyDescent="0.25">
      <c r="A25" t="s">
        <v>258</v>
      </c>
      <c r="B25" t="s">
        <v>258</v>
      </c>
      <c r="D25" s="38">
        <v>46037</v>
      </c>
      <c r="E25" s="38">
        <v>46583</v>
      </c>
      <c r="I25" t="s">
        <v>78</v>
      </c>
      <c r="J25">
        <v>20171206</v>
      </c>
      <c r="K25" t="s">
        <v>44</v>
      </c>
      <c r="L25" t="s">
        <v>1386</v>
      </c>
      <c r="M25" t="s">
        <v>44</v>
      </c>
      <c r="N25" t="s">
        <v>44</v>
      </c>
      <c r="O25" t="s">
        <v>44</v>
      </c>
      <c r="P25" t="s">
        <v>256</v>
      </c>
      <c r="Q25" t="s">
        <v>1386</v>
      </c>
      <c r="R25" t="s">
        <v>572</v>
      </c>
      <c r="S25" t="s">
        <v>32</v>
      </c>
    </row>
    <row r="26" spans="1:19" x14ac:dyDescent="0.25">
      <c r="A26" t="s">
        <v>453</v>
      </c>
      <c r="B26" t="s">
        <v>453</v>
      </c>
      <c r="C26">
        <v>9.5236410809999992</v>
      </c>
      <c r="D26" s="38">
        <v>46037</v>
      </c>
      <c r="E26" s="38">
        <v>46583</v>
      </c>
      <c r="F26">
        <v>13.427808184</v>
      </c>
      <c r="G26">
        <v>296.80928519600002</v>
      </c>
      <c r="H26">
        <v>100.1067</v>
      </c>
      <c r="I26" t="s">
        <v>78</v>
      </c>
      <c r="J26">
        <v>20250627</v>
      </c>
      <c r="K26" t="s">
        <v>44</v>
      </c>
      <c r="L26" t="s">
        <v>44</v>
      </c>
      <c r="M26" t="s">
        <v>795</v>
      </c>
      <c r="N26" t="s">
        <v>44</v>
      </c>
      <c r="O26" t="s">
        <v>44</v>
      </c>
      <c r="P26" t="s">
        <v>256</v>
      </c>
      <c r="Q26" t="s">
        <v>795</v>
      </c>
      <c r="R26" t="s">
        <v>590</v>
      </c>
      <c r="S26" t="s">
        <v>28</v>
      </c>
    </row>
    <row r="27" spans="1:19" x14ac:dyDescent="0.25">
      <c r="A27" t="s">
        <v>455</v>
      </c>
      <c r="B27" t="s">
        <v>455</v>
      </c>
      <c r="C27">
        <v>9.8113671080000007</v>
      </c>
      <c r="D27" s="38">
        <v>46037</v>
      </c>
      <c r="E27" s="38">
        <v>46583</v>
      </c>
      <c r="F27">
        <v>12.43272552</v>
      </c>
      <c r="G27">
        <v>436.23286658400002</v>
      </c>
      <c r="H27">
        <v>100.80670000000001</v>
      </c>
      <c r="I27" t="s">
        <v>78</v>
      </c>
      <c r="J27">
        <v>20250627</v>
      </c>
      <c r="K27" t="s">
        <v>44</v>
      </c>
      <c r="L27" t="s">
        <v>44</v>
      </c>
      <c r="M27" t="s">
        <v>777</v>
      </c>
      <c r="N27" t="s">
        <v>44</v>
      </c>
      <c r="O27" t="s">
        <v>44</v>
      </c>
      <c r="P27" t="s">
        <v>256</v>
      </c>
      <c r="Q27" t="s">
        <v>777</v>
      </c>
      <c r="R27" t="s">
        <v>590</v>
      </c>
      <c r="S27" t="s">
        <v>28</v>
      </c>
    </row>
    <row r="28" spans="1:19" x14ac:dyDescent="0.25">
      <c r="A28" t="s">
        <v>457</v>
      </c>
      <c r="B28" t="s">
        <v>457</v>
      </c>
      <c r="C28">
        <v>10.153623946</v>
      </c>
      <c r="D28" s="38">
        <v>46037</v>
      </c>
      <c r="E28" s="38">
        <v>46583</v>
      </c>
      <c r="F28">
        <v>8.4523948620000002</v>
      </c>
      <c r="G28">
        <v>579.82288345400002</v>
      </c>
      <c r="H28">
        <v>101.1726</v>
      </c>
      <c r="I28" t="s">
        <v>78</v>
      </c>
      <c r="J28">
        <v>20250627</v>
      </c>
      <c r="K28" t="s">
        <v>44</v>
      </c>
      <c r="L28" t="s">
        <v>44</v>
      </c>
      <c r="M28" t="s">
        <v>1363</v>
      </c>
      <c r="N28" t="s">
        <v>44</v>
      </c>
      <c r="O28" t="s">
        <v>44</v>
      </c>
      <c r="P28" t="s">
        <v>256</v>
      </c>
      <c r="Q28" t="s">
        <v>1363</v>
      </c>
      <c r="R28" t="s">
        <v>590</v>
      </c>
      <c r="S28" t="s">
        <v>32</v>
      </c>
    </row>
    <row r="29" spans="1:19" x14ac:dyDescent="0.25">
      <c r="A29" t="s">
        <v>262</v>
      </c>
      <c r="B29" t="s">
        <v>262</v>
      </c>
      <c r="D29" s="38">
        <v>45945</v>
      </c>
      <c r="E29" s="38">
        <v>43845</v>
      </c>
      <c r="I29" t="s">
        <v>79</v>
      </c>
      <c r="J29">
        <v>20171130</v>
      </c>
      <c r="K29" t="s">
        <v>44</v>
      </c>
      <c r="L29" t="s">
        <v>753</v>
      </c>
      <c r="M29" t="s">
        <v>44</v>
      </c>
      <c r="N29" t="s">
        <v>44</v>
      </c>
      <c r="O29" t="s">
        <v>44</v>
      </c>
      <c r="P29" t="s">
        <v>260</v>
      </c>
      <c r="Q29" t="s">
        <v>753</v>
      </c>
      <c r="R29" t="s">
        <v>572</v>
      </c>
      <c r="S29" t="s">
        <v>24</v>
      </c>
    </row>
    <row r="30" spans="1:19" x14ac:dyDescent="0.25">
      <c r="A30" t="s">
        <v>266</v>
      </c>
      <c r="B30" t="s">
        <v>266</v>
      </c>
      <c r="D30" s="38">
        <v>45945</v>
      </c>
      <c r="E30" s="38">
        <v>46030</v>
      </c>
      <c r="I30" t="s">
        <v>80</v>
      </c>
      <c r="J30">
        <v>20180111</v>
      </c>
      <c r="K30" t="s">
        <v>44</v>
      </c>
      <c r="L30" t="s">
        <v>1542</v>
      </c>
      <c r="M30" t="s">
        <v>44</v>
      </c>
      <c r="N30" t="s">
        <v>44</v>
      </c>
      <c r="O30" t="s">
        <v>44</v>
      </c>
      <c r="P30" t="s">
        <v>264</v>
      </c>
      <c r="Q30" t="s">
        <v>1542</v>
      </c>
      <c r="R30" t="s">
        <v>572</v>
      </c>
      <c r="S30" t="s">
        <v>24</v>
      </c>
    </row>
    <row r="31" spans="1:19" x14ac:dyDescent="0.25">
      <c r="A31" t="s">
        <v>459</v>
      </c>
      <c r="B31" t="s">
        <v>459</v>
      </c>
      <c r="C31">
        <v>0</v>
      </c>
      <c r="G31">
        <v>309.69887851300001</v>
      </c>
      <c r="H31">
        <v>100.375</v>
      </c>
      <c r="I31" t="s">
        <v>80</v>
      </c>
      <c r="J31">
        <v>20250808</v>
      </c>
      <c r="K31" t="s">
        <v>44</v>
      </c>
      <c r="L31" t="s">
        <v>44</v>
      </c>
      <c r="M31" t="s">
        <v>777</v>
      </c>
      <c r="N31" t="s">
        <v>44</v>
      </c>
      <c r="O31" t="s">
        <v>44</v>
      </c>
      <c r="P31" t="s">
        <v>264</v>
      </c>
      <c r="Q31" t="s">
        <v>777</v>
      </c>
      <c r="R31" t="s">
        <v>590</v>
      </c>
      <c r="S31" t="s">
        <v>28</v>
      </c>
    </row>
    <row r="32" spans="1:19" x14ac:dyDescent="0.25">
      <c r="A32" t="s">
        <v>269</v>
      </c>
      <c r="B32" t="s">
        <v>269</v>
      </c>
      <c r="D32" s="38">
        <v>45945</v>
      </c>
      <c r="E32" s="38">
        <v>46492</v>
      </c>
      <c r="I32" t="s">
        <v>80</v>
      </c>
      <c r="J32">
        <v>20230328</v>
      </c>
      <c r="K32" t="s">
        <v>777</v>
      </c>
      <c r="L32" t="s">
        <v>44</v>
      </c>
      <c r="M32" t="s">
        <v>44</v>
      </c>
      <c r="N32" t="s">
        <v>44</v>
      </c>
      <c r="O32" t="s">
        <v>44</v>
      </c>
      <c r="P32" t="s">
        <v>264</v>
      </c>
      <c r="Q32" t="s">
        <v>777</v>
      </c>
      <c r="R32" t="s">
        <v>598</v>
      </c>
      <c r="S32" t="s">
        <v>28</v>
      </c>
    </row>
    <row r="33" spans="1:19" x14ac:dyDescent="0.25">
      <c r="A33" t="s">
        <v>463</v>
      </c>
      <c r="B33" t="s">
        <v>463</v>
      </c>
      <c r="C33">
        <v>9.4551500869999998</v>
      </c>
      <c r="D33" s="38">
        <v>45945</v>
      </c>
      <c r="E33" s="38">
        <v>46492</v>
      </c>
      <c r="F33">
        <v>12.059184072000001</v>
      </c>
      <c r="G33">
        <v>373.26459901700002</v>
      </c>
      <c r="H33">
        <v>100.43770000000001</v>
      </c>
      <c r="I33" t="s">
        <v>80</v>
      </c>
      <c r="J33">
        <v>20250522</v>
      </c>
      <c r="K33" t="s">
        <v>777</v>
      </c>
      <c r="L33" t="s">
        <v>44</v>
      </c>
      <c r="M33" t="s">
        <v>44</v>
      </c>
      <c r="N33" t="s">
        <v>44</v>
      </c>
      <c r="O33" t="s">
        <v>44</v>
      </c>
      <c r="P33" t="s">
        <v>264</v>
      </c>
      <c r="Q33" t="s">
        <v>777</v>
      </c>
      <c r="R33" t="s">
        <v>598</v>
      </c>
      <c r="S33" t="s">
        <v>28</v>
      </c>
    </row>
    <row r="34" spans="1:19" x14ac:dyDescent="0.25">
      <c r="A34" t="s">
        <v>388</v>
      </c>
      <c r="B34" t="s">
        <v>388</v>
      </c>
      <c r="D34" s="38">
        <v>45948</v>
      </c>
      <c r="E34" s="38">
        <v>46193</v>
      </c>
      <c r="F34">
        <v>10.447593546</v>
      </c>
      <c r="I34" t="s">
        <v>85</v>
      </c>
      <c r="J34">
        <v>20240620</v>
      </c>
      <c r="K34" t="s">
        <v>44</v>
      </c>
      <c r="L34" t="s">
        <v>44</v>
      </c>
      <c r="M34" t="s">
        <v>777</v>
      </c>
      <c r="N34" t="s">
        <v>44</v>
      </c>
      <c r="O34" t="s">
        <v>44</v>
      </c>
      <c r="P34" t="s">
        <v>386</v>
      </c>
      <c r="Q34" t="s">
        <v>777</v>
      </c>
      <c r="R34" t="s">
        <v>590</v>
      </c>
      <c r="S34" t="s">
        <v>28</v>
      </c>
    </row>
    <row r="35" spans="1:19" x14ac:dyDescent="0.25">
      <c r="A35" t="s">
        <v>273</v>
      </c>
      <c r="B35" t="s">
        <v>273</v>
      </c>
      <c r="D35" s="38">
        <v>45952</v>
      </c>
      <c r="E35" s="38">
        <v>46213</v>
      </c>
      <c r="I35" t="s">
        <v>87</v>
      </c>
      <c r="J35">
        <v>20220330</v>
      </c>
      <c r="K35" t="s">
        <v>1363</v>
      </c>
      <c r="L35" t="s">
        <v>44</v>
      </c>
      <c r="M35" t="s">
        <v>44</v>
      </c>
      <c r="N35" t="s">
        <v>44</v>
      </c>
      <c r="O35" t="s">
        <v>44</v>
      </c>
      <c r="P35" t="s">
        <v>271</v>
      </c>
      <c r="Q35" t="s">
        <v>1363</v>
      </c>
      <c r="R35" t="s">
        <v>598</v>
      </c>
      <c r="S35" t="s">
        <v>32</v>
      </c>
    </row>
    <row r="36" spans="1:19" x14ac:dyDescent="0.25">
      <c r="A36" t="s">
        <v>467</v>
      </c>
      <c r="B36" t="s">
        <v>467</v>
      </c>
      <c r="C36">
        <v>9.6821099719999992</v>
      </c>
      <c r="D36" s="38">
        <v>46042</v>
      </c>
      <c r="E36" s="38">
        <v>46585</v>
      </c>
      <c r="F36">
        <v>12</v>
      </c>
      <c r="G36">
        <v>272.36224625900002</v>
      </c>
      <c r="H36">
        <v>100.4378</v>
      </c>
      <c r="I36" t="s">
        <v>85</v>
      </c>
      <c r="J36">
        <v>20250717</v>
      </c>
      <c r="K36" t="s">
        <v>44</v>
      </c>
      <c r="L36" t="s">
        <v>44</v>
      </c>
      <c r="M36" t="s">
        <v>777</v>
      </c>
      <c r="N36" t="s">
        <v>44</v>
      </c>
      <c r="O36" t="s">
        <v>44</v>
      </c>
      <c r="P36" t="s">
        <v>465</v>
      </c>
      <c r="Q36" t="s">
        <v>777</v>
      </c>
      <c r="R36" t="s">
        <v>590</v>
      </c>
      <c r="S36" t="s">
        <v>28</v>
      </c>
    </row>
    <row r="37" spans="1:19" x14ac:dyDescent="0.25">
      <c r="A37" t="s">
        <v>276</v>
      </c>
      <c r="B37" t="s">
        <v>276</v>
      </c>
      <c r="C37">
        <v>4.1666666999999998E-2</v>
      </c>
      <c r="D37" s="38">
        <v>45884</v>
      </c>
      <c r="F37">
        <v>91.081592334069995</v>
      </c>
      <c r="G37">
        <v>-12848.935524024</v>
      </c>
      <c r="H37">
        <v>99.433490000000006</v>
      </c>
      <c r="I37" t="s">
        <v>88</v>
      </c>
      <c r="J37">
        <v>20170214</v>
      </c>
      <c r="K37" t="s">
        <v>24</v>
      </c>
      <c r="L37" t="s">
        <v>44</v>
      </c>
      <c r="M37" t="s">
        <v>44</v>
      </c>
      <c r="N37" t="s">
        <v>657</v>
      </c>
      <c r="O37" t="s">
        <v>44</v>
      </c>
      <c r="P37" t="s">
        <v>88</v>
      </c>
      <c r="Q37" t="s">
        <v>24</v>
      </c>
      <c r="R37" t="s">
        <v>598</v>
      </c>
      <c r="S37" t="s">
        <v>24</v>
      </c>
    </row>
    <row r="38" spans="1:19" x14ac:dyDescent="0.25">
      <c r="A38" t="s">
        <v>279</v>
      </c>
      <c r="B38" t="s">
        <v>279</v>
      </c>
      <c r="D38" s="38">
        <v>45947</v>
      </c>
      <c r="E38" s="38">
        <v>46183</v>
      </c>
      <c r="I38" t="s">
        <v>89</v>
      </c>
      <c r="J38">
        <v>20230509</v>
      </c>
      <c r="K38" t="s">
        <v>44</v>
      </c>
      <c r="L38" t="s">
        <v>44</v>
      </c>
      <c r="M38" t="s">
        <v>24</v>
      </c>
      <c r="N38" t="s">
        <v>44</v>
      </c>
      <c r="O38" t="s">
        <v>44</v>
      </c>
      <c r="P38" t="s">
        <v>277</v>
      </c>
      <c r="Q38" t="s">
        <v>24</v>
      </c>
      <c r="R38" t="s">
        <v>590</v>
      </c>
      <c r="S38" t="s">
        <v>24</v>
      </c>
    </row>
    <row r="39" spans="1:19" x14ac:dyDescent="0.25">
      <c r="A39" t="s">
        <v>282</v>
      </c>
      <c r="B39" t="s">
        <v>282</v>
      </c>
      <c r="D39" s="38">
        <v>45947</v>
      </c>
      <c r="E39" s="38">
        <v>46183</v>
      </c>
      <c r="I39" t="s">
        <v>89</v>
      </c>
      <c r="J39">
        <v>20230509</v>
      </c>
      <c r="K39" t="s">
        <v>44</v>
      </c>
      <c r="L39" t="s">
        <v>44</v>
      </c>
      <c r="M39" t="s">
        <v>777</v>
      </c>
      <c r="N39" t="s">
        <v>44</v>
      </c>
      <c r="O39" t="s">
        <v>44</v>
      </c>
      <c r="P39" t="s">
        <v>277</v>
      </c>
      <c r="Q39" t="s">
        <v>777</v>
      </c>
      <c r="R39" t="s">
        <v>590</v>
      </c>
      <c r="S39" t="s">
        <v>28</v>
      </c>
    </row>
    <row r="40" spans="1:19" x14ac:dyDescent="0.25">
      <c r="A40" t="s">
        <v>469</v>
      </c>
      <c r="B40" t="s">
        <v>469</v>
      </c>
      <c r="C40">
        <v>6.8201394960000004</v>
      </c>
      <c r="D40" s="38">
        <v>45947</v>
      </c>
      <c r="E40" s="38">
        <v>46183</v>
      </c>
      <c r="F40">
        <v>18.039226973000002</v>
      </c>
      <c r="G40">
        <v>170.27213296900001</v>
      </c>
      <c r="H40">
        <v>100.5538</v>
      </c>
      <c r="I40" t="s">
        <v>89</v>
      </c>
      <c r="J40">
        <v>20250610</v>
      </c>
      <c r="K40" t="s">
        <v>44</v>
      </c>
      <c r="L40" t="s">
        <v>44</v>
      </c>
      <c r="M40" t="s">
        <v>615</v>
      </c>
      <c r="N40" t="s">
        <v>44</v>
      </c>
      <c r="O40" t="s">
        <v>44</v>
      </c>
      <c r="P40" t="s">
        <v>277</v>
      </c>
      <c r="Q40" t="s">
        <v>615</v>
      </c>
      <c r="R40" t="s">
        <v>590</v>
      </c>
      <c r="S40" t="s">
        <v>24</v>
      </c>
    </row>
    <row r="41" spans="1:19" x14ac:dyDescent="0.25">
      <c r="A41" t="s">
        <v>473</v>
      </c>
      <c r="B41" t="s">
        <v>473</v>
      </c>
      <c r="C41">
        <v>8.1636230609999991</v>
      </c>
      <c r="F41">
        <v>18</v>
      </c>
      <c r="G41">
        <v>215.11399019199999</v>
      </c>
      <c r="H41">
        <v>100.53870000000001</v>
      </c>
      <c r="I41" t="s">
        <v>90</v>
      </c>
      <c r="J41">
        <v>20250703</v>
      </c>
      <c r="K41" t="s">
        <v>24</v>
      </c>
      <c r="L41" t="s">
        <v>44</v>
      </c>
      <c r="M41" t="s">
        <v>44</v>
      </c>
      <c r="N41" t="s">
        <v>44</v>
      </c>
      <c r="O41" t="s">
        <v>44</v>
      </c>
      <c r="P41" t="s">
        <v>471</v>
      </c>
      <c r="Q41" t="s">
        <v>24</v>
      </c>
      <c r="R41" t="s">
        <v>598</v>
      </c>
      <c r="S41" t="s">
        <v>24</v>
      </c>
    </row>
    <row r="42" spans="1:19" x14ac:dyDescent="0.25">
      <c r="A42" t="s">
        <v>285</v>
      </c>
      <c r="B42" t="s">
        <v>285</v>
      </c>
      <c r="D42" s="38">
        <v>45950</v>
      </c>
      <c r="E42" s="38">
        <v>46562</v>
      </c>
      <c r="I42" t="s">
        <v>94</v>
      </c>
      <c r="J42">
        <v>20230622</v>
      </c>
      <c r="K42" t="s">
        <v>44</v>
      </c>
      <c r="L42" t="s">
        <v>44</v>
      </c>
      <c r="M42" t="s">
        <v>24</v>
      </c>
      <c r="N42" t="s">
        <v>44</v>
      </c>
      <c r="O42" t="s">
        <v>44</v>
      </c>
      <c r="P42" t="s">
        <v>283</v>
      </c>
      <c r="Q42" t="s">
        <v>24</v>
      </c>
      <c r="R42" t="s">
        <v>590</v>
      </c>
      <c r="S42" t="s">
        <v>24</v>
      </c>
    </row>
    <row r="43" spans="1:19" x14ac:dyDescent="0.25">
      <c r="A43" t="s">
        <v>288</v>
      </c>
      <c r="B43" t="s">
        <v>288</v>
      </c>
      <c r="D43" s="38">
        <v>45950</v>
      </c>
      <c r="E43" s="38">
        <v>46562</v>
      </c>
      <c r="I43" t="s">
        <v>94</v>
      </c>
      <c r="J43">
        <v>20230622</v>
      </c>
      <c r="K43" t="s">
        <v>44</v>
      </c>
      <c r="L43" t="s">
        <v>44</v>
      </c>
      <c r="M43" t="s">
        <v>777</v>
      </c>
      <c r="N43" t="s">
        <v>44</v>
      </c>
      <c r="O43" t="s">
        <v>44</v>
      </c>
      <c r="P43" t="s">
        <v>283</v>
      </c>
      <c r="Q43" t="s">
        <v>777</v>
      </c>
      <c r="R43" t="s">
        <v>590</v>
      </c>
      <c r="S43" t="s">
        <v>28</v>
      </c>
    </row>
    <row r="44" spans="1:19" x14ac:dyDescent="0.25">
      <c r="A44" t="s">
        <v>477</v>
      </c>
      <c r="B44" t="s">
        <v>477</v>
      </c>
      <c r="C44">
        <v>9.6833797579999992</v>
      </c>
      <c r="D44" s="38">
        <v>45950</v>
      </c>
      <c r="E44" s="38">
        <v>46562</v>
      </c>
      <c r="F44">
        <v>12.042431496000001</v>
      </c>
      <c r="G44">
        <v>273.01740239499998</v>
      </c>
      <c r="H44">
        <v>100.501</v>
      </c>
      <c r="I44" t="s">
        <v>94</v>
      </c>
      <c r="J44">
        <v>20250624</v>
      </c>
      <c r="K44" t="s">
        <v>44</v>
      </c>
      <c r="L44" t="s">
        <v>44</v>
      </c>
      <c r="M44" t="s">
        <v>777</v>
      </c>
      <c r="N44" t="s">
        <v>44</v>
      </c>
      <c r="O44" t="s">
        <v>44</v>
      </c>
      <c r="P44" t="s">
        <v>283</v>
      </c>
      <c r="Q44" t="s">
        <v>777</v>
      </c>
      <c r="R44" t="s">
        <v>590</v>
      </c>
      <c r="S44" t="s">
        <v>28</v>
      </c>
    </row>
    <row r="45" spans="1:19" x14ac:dyDescent="0.25">
      <c r="A45" t="s">
        <v>481</v>
      </c>
      <c r="B45" t="s">
        <v>481</v>
      </c>
      <c r="C45">
        <v>9.6333087769999999</v>
      </c>
      <c r="F45">
        <v>12</v>
      </c>
      <c r="G45">
        <v>268.34362305799999</v>
      </c>
      <c r="H45">
        <v>100.38890000000001</v>
      </c>
      <c r="I45" t="s">
        <v>95</v>
      </c>
      <c r="J45">
        <v>20250807</v>
      </c>
      <c r="K45" t="s">
        <v>44</v>
      </c>
      <c r="L45" t="s">
        <v>44</v>
      </c>
      <c r="M45" t="s">
        <v>777</v>
      </c>
      <c r="N45" t="s">
        <v>44</v>
      </c>
      <c r="O45" t="s">
        <v>44</v>
      </c>
      <c r="P45" t="s">
        <v>283</v>
      </c>
      <c r="Q45" t="s">
        <v>777</v>
      </c>
      <c r="R45" t="s">
        <v>590</v>
      </c>
      <c r="S45" t="s">
        <v>28</v>
      </c>
    </row>
    <row r="46" spans="1:19" x14ac:dyDescent="0.25">
      <c r="A46" t="s">
        <v>216</v>
      </c>
      <c r="B46" t="s">
        <v>216</v>
      </c>
      <c r="I46" t="s">
        <v>96</v>
      </c>
      <c r="J46">
        <v>20171109</v>
      </c>
      <c r="K46" t="s">
        <v>21</v>
      </c>
      <c r="L46" t="s">
        <v>44</v>
      </c>
      <c r="M46" t="s">
        <v>44</v>
      </c>
      <c r="N46" t="s">
        <v>44</v>
      </c>
      <c r="O46" t="s">
        <v>44</v>
      </c>
      <c r="P46" t="s">
        <v>214</v>
      </c>
      <c r="Q46" t="s">
        <v>21</v>
      </c>
      <c r="R46" t="s">
        <v>598</v>
      </c>
      <c r="S46" t="s">
        <v>21</v>
      </c>
    </row>
    <row r="47" spans="1:19" x14ac:dyDescent="0.25">
      <c r="A47" t="s">
        <v>219</v>
      </c>
      <c r="B47" t="s">
        <v>219</v>
      </c>
      <c r="I47" t="s">
        <v>96</v>
      </c>
      <c r="J47">
        <v>20171109</v>
      </c>
      <c r="K47" t="s">
        <v>795</v>
      </c>
      <c r="L47" t="s">
        <v>44</v>
      </c>
      <c r="M47" t="s">
        <v>44</v>
      </c>
      <c r="N47" t="s">
        <v>44</v>
      </c>
      <c r="O47" t="s">
        <v>44</v>
      </c>
      <c r="P47" t="s">
        <v>214</v>
      </c>
      <c r="Q47" t="s">
        <v>795</v>
      </c>
      <c r="R47" t="s">
        <v>598</v>
      </c>
      <c r="S47" t="s">
        <v>28</v>
      </c>
    </row>
    <row r="48" spans="1:19" x14ac:dyDescent="0.25">
      <c r="A48" t="s">
        <v>485</v>
      </c>
      <c r="B48" t="s">
        <v>485</v>
      </c>
      <c r="C48">
        <v>0</v>
      </c>
      <c r="D48" s="38">
        <v>45955</v>
      </c>
      <c r="E48" s="38">
        <v>45863</v>
      </c>
      <c r="G48">
        <v>190.34991227699999</v>
      </c>
      <c r="H48">
        <v>100.25</v>
      </c>
      <c r="I48" t="s">
        <v>97</v>
      </c>
      <c r="J48">
        <v>20250815</v>
      </c>
      <c r="K48" t="s">
        <v>44</v>
      </c>
      <c r="L48" t="s">
        <v>44</v>
      </c>
      <c r="M48" t="s">
        <v>24</v>
      </c>
      <c r="N48" t="s">
        <v>44</v>
      </c>
      <c r="O48" t="s">
        <v>44</v>
      </c>
      <c r="P48" t="s">
        <v>483</v>
      </c>
      <c r="Q48" t="s">
        <v>24</v>
      </c>
      <c r="R48" t="s">
        <v>590</v>
      </c>
      <c r="S48" t="s">
        <v>24</v>
      </c>
    </row>
    <row r="49" spans="1:19" x14ac:dyDescent="0.25">
      <c r="A49" t="s">
        <v>291</v>
      </c>
      <c r="B49" t="s">
        <v>291</v>
      </c>
      <c r="C49">
        <v>2.0965508439999998</v>
      </c>
      <c r="D49" s="38">
        <v>45945</v>
      </c>
      <c r="E49" s="38">
        <v>45282</v>
      </c>
      <c r="F49">
        <v>13.816868712</v>
      </c>
      <c r="G49">
        <v>460.17720283800003</v>
      </c>
      <c r="H49">
        <v>93.195400000000006</v>
      </c>
      <c r="I49" t="s">
        <v>99</v>
      </c>
      <c r="J49">
        <v>20211222</v>
      </c>
      <c r="K49" t="s">
        <v>44</v>
      </c>
      <c r="L49" t="s">
        <v>44</v>
      </c>
      <c r="M49" t="s">
        <v>44</v>
      </c>
      <c r="N49" t="s">
        <v>777</v>
      </c>
      <c r="O49" t="s">
        <v>44</v>
      </c>
      <c r="P49" t="s">
        <v>289</v>
      </c>
      <c r="Q49" t="s">
        <v>777</v>
      </c>
      <c r="R49" t="s">
        <v>656</v>
      </c>
      <c r="S49" t="s">
        <v>28</v>
      </c>
    </row>
    <row r="50" spans="1:19" x14ac:dyDescent="0.25">
      <c r="A50" t="s">
        <v>489</v>
      </c>
      <c r="B50" t="s">
        <v>489</v>
      </c>
      <c r="C50">
        <v>9.6645991589999998</v>
      </c>
      <c r="D50" s="38">
        <v>46039</v>
      </c>
      <c r="E50" s="38">
        <v>46585</v>
      </c>
      <c r="F50">
        <v>12</v>
      </c>
      <c r="G50">
        <v>338.07629414299998</v>
      </c>
      <c r="H50">
        <v>100.3888</v>
      </c>
      <c r="I50" t="s">
        <v>103</v>
      </c>
      <c r="J50">
        <v>20250730</v>
      </c>
      <c r="K50" t="s">
        <v>44</v>
      </c>
      <c r="L50" t="s">
        <v>44</v>
      </c>
      <c r="M50" t="s">
        <v>777</v>
      </c>
      <c r="N50" t="s">
        <v>44</v>
      </c>
      <c r="O50" t="s">
        <v>44</v>
      </c>
      <c r="P50" t="s">
        <v>487</v>
      </c>
      <c r="Q50" t="s">
        <v>777</v>
      </c>
      <c r="R50" t="s">
        <v>590</v>
      </c>
      <c r="S50" t="s">
        <v>28</v>
      </c>
    </row>
    <row r="51" spans="1:19" x14ac:dyDescent="0.25">
      <c r="A51" t="s">
        <v>495</v>
      </c>
      <c r="B51" t="s">
        <v>495</v>
      </c>
      <c r="C51">
        <v>9.6223237469999994</v>
      </c>
      <c r="F51">
        <v>12</v>
      </c>
      <c r="G51">
        <v>268.43380288200001</v>
      </c>
      <c r="H51">
        <v>100.38890000000001</v>
      </c>
      <c r="I51" t="s">
        <v>104</v>
      </c>
      <c r="J51">
        <v>20250821</v>
      </c>
      <c r="K51" t="s">
        <v>44</v>
      </c>
      <c r="L51" t="s">
        <v>44</v>
      </c>
      <c r="M51" t="s">
        <v>777</v>
      </c>
      <c r="N51" t="s">
        <v>44</v>
      </c>
      <c r="O51" t="s">
        <v>44</v>
      </c>
      <c r="P51" t="s">
        <v>493</v>
      </c>
      <c r="Q51" t="s">
        <v>777</v>
      </c>
      <c r="R51" t="s">
        <v>590</v>
      </c>
      <c r="S51" t="s">
        <v>28</v>
      </c>
    </row>
    <row r="52" spans="1:19" x14ac:dyDescent="0.25">
      <c r="A52" t="s">
        <v>294</v>
      </c>
      <c r="B52" t="s">
        <v>294</v>
      </c>
      <c r="D52" s="38">
        <v>45950</v>
      </c>
      <c r="E52" s="38">
        <v>46588</v>
      </c>
      <c r="I52" t="s">
        <v>105</v>
      </c>
      <c r="J52">
        <v>20230627</v>
      </c>
      <c r="K52" t="s">
        <v>24</v>
      </c>
      <c r="L52" t="s">
        <v>44</v>
      </c>
      <c r="M52" t="s">
        <v>44</v>
      </c>
      <c r="N52" t="s">
        <v>44</v>
      </c>
      <c r="O52" t="s">
        <v>44</v>
      </c>
      <c r="P52" t="s">
        <v>292</v>
      </c>
      <c r="Q52" t="s">
        <v>24</v>
      </c>
      <c r="R52" t="s">
        <v>598</v>
      </c>
      <c r="S52" t="s">
        <v>24</v>
      </c>
    </row>
    <row r="53" spans="1:19" x14ac:dyDescent="0.25">
      <c r="A53" t="s">
        <v>296</v>
      </c>
      <c r="B53" t="s">
        <v>296</v>
      </c>
      <c r="D53" s="38">
        <v>45950</v>
      </c>
      <c r="E53" s="38">
        <v>46588</v>
      </c>
      <c r="I53" t="s">
        <v>105</v>
      </c>
      <c r="J53">
        <v>20230627</v>
      </c>
      <c r="K53" t="s">
        <v>777</v>
      </c>
      <c r="L53" t="s">
        <v>44</v>
      </c>
      <c r="M53" t="s">
        <v>44</v>
      </c>
      <c r="N53" t="s">
        <v>44</v>
      </c>
      <c r="O53" t="s">
        <v>44</v>
      </c>
      <c r="P53" t="s">
        <v>292</v>
      </c>
      <c r="Q53" t="s">
        <v>777</v>
      </c>
      <c r="R53" t="s">
        <v>598</v>
      </c>
      <c r="S53" t="s">
        <v>28</v>
      </c>
    </row>
    <row r="54" spans="1:19" x14ac:dyDescent="0.25">
      <c r="A54" t="s">
        <v>499</v>
      </c>
      <c r="B54" t="s">
        <v>499</v>
      </c>
      <c r="C54">
        <v>9.1879788100000006</v>
      </c>
      <c r="D54" s="38">
        <v>45950</v>
      </c>
      <c r="E54" s="38">
        <v>46588</v>
      </c>
      <c r="F54">
        <v>18.156844153000002</v>
      </c>
      <c r="G54">
        <v>198.69777555900001</v>
      </c>
      <c r="H54">
        <v>100.0881</v>
      </c>
      <c r="I54" t="s">
        <v>105</v>
      </c>
      <c r="J54">
        <v>20250721</v>
      </c>
      <c r="K54" t="s">
        <v>44</v>
      </c>
      <c r="L54" t="s">
        <v>44</v>
      </c>
      <c r="M54" t="s">
        <v>24</v>
      </c>
      <c r="N54" t="s">
        <v>44</v>
      </c>
      <c r="O54" t="s">
        <v>44</v>
      </c>
      <c r="P54" t="s">
        <v>292</v>
      </c>
      <c r="Q54" t="s">
        <v>24</v>
      </c>
      <c r="R54" t="s">
        <v>590</v>
      </c>
      <c r="S54" t="s">
        <v>24</v>
      </c>
    </row>
    <row r="55" spans="1:19" x14ac:dyDescent="0.25">
      <c r="A55" t="s">
        <v>503</v>
      </c>
      <c r="B55" t="s">
        <v>503</v>
      </c>
      <c r="C55">
        <v>9.7230353770000004</v>
      </c>
      <c r="D55" s="38">
        <v>45950</v>
      </c>
      <c r="E55" s="38">
        <v>46588</v>
      </c>
      <c r="F55">
        <v>12.168320554999999</v>
      </c>
      <c r="G55">
        <v>303.31823173599997</v>
      </c>
      <c r="H55">
        <v>100.1129</v>
      </c>
      <c r="I55" t="s">
        <v>105</v>
      </c>
      <c r="J55">
        <v>20250721</v>
      </c>
      <c r="K55" t="s">
        <v>44</v>
      </c>
      <c r="L55" t="s">
        <v>44</v>
      </c>
      <c r="M55" t="s">
        <v>777</v>
      </c>
      <c r="N55" t="s">
        <v>44</v>
      </c>
      <c r="O55" t="s">
        <v>44</v>
      </c>
      <c r="P55" t="s">
        <v>292</v>
      </c>
      <c r="Q55" t="s">
        <v>777</v>
      </c>
      <c r="R55" t="s">
        <v>590</v>
      </c>
      <c r="S55" t="s">
        <v>28</v>
      </c>
    </row>
    <row r="56" spans="1:19" x14ac:dyDescent="0.25">
      <c r="A56" t="s">
        <v>505</v>
      </c>
      <c r="B56" t="s">
        <v>505</v>
      </c>
      <c r="C56">
        <v>10.331832274</v>
      </c>
      <c r="D56" s="38">
        <v>45950</v>
      </c>
      <c r="E56" s="38">
        <v>46588</v>
      </c>
      <c r="F56">
        <v>8.1759714890000001</v>
      </c>
      <c r="G56">
        <v>595.77876941299996</v>
      </c>
      <c r="H56">
        <v>100.262</v>
      </c>
      <c r="I56" t="s">
        <v>105</v>
      </c>
      <c r="J56">
        <v>20250721</v>
      </c>
      <c r="K56" t="s">
        <v>44</v>
      </c>
      <c r="L56" t="s">
        <v>44</v>
      </c>
      <c r="M56" t="s">
        <v>1363</v>
      </c>
      <c r="N56" t="s">
        <v>44</v>
      </c>
      <c r="O56" t="s">
        <v>44</v>
      </c>
      <c r="P56" t="s">
        <v>292</v>
      </c>
      <c r="Q56" t="s">
        <v>1363</v>
      </c>
      <c r="R56" t="s">
        <v>590</v>
      </c>
      <c r="S56" t="s">
        <v>32</v>
      </c>
    </row>
    <row r="57" spans="1:19" x14ac:dyDescent="0.25">
      <c r="A57" t="s">
        <v>299</v>
      </c>
      <c r="B57" t="s">
        <v>299</v>
      </c>
      <c r="D57" s="38">
        <v>45948</v>
      </c>
      <c r="E57" s="38">
        <v>46586</v>
      </c>
      <c r="I57" t="s">
        <v>106</v>
      </c>
      <c r="J57">
        <v>20230906</v>
      </c>
      <c r="K57" t="s">
        <v>777</v>
      </c>
      <c r="L57" t="s">
        <v>44</v>
      </c>
      <c r="M57" t="s">
        <v>44</v>
      </c>
      <c r="N57" t="s">
        <v>44</v>
      </c>
      <c r="O57" t="s">
        <v>44</v>
      </c>
      <c r="P57" t="s">
        <v>297</v>
      </c>
      <c r="Q57" t="s">
        <v>777</v>
      </c>
      <c r="R57" t="s">
        <v>598</v>
      </c>
      <c r="S57" t="s">
        <v>28</v>
      </c>
    </row>
    <row r="58" spans="1:19" x14ac:dyDescent="0.25">
      <c r="A58" t="s">
        <v>1075</v>
      </c>
      <c r="B58" t="s">
        <v>1075</v>
      </c>
      <c r="C58">
        <v>5.258315981</v>
      </c>
      <c r="D58" s="38">
        <v>45959</v>
      </c>
      <c r="E58" s="38">
        <v>45045</v>
      </c>
      <c r="F58">
        <v>8.8787906270000008</v>
      </c>
      <c r="G58">
        <v>384.33989878400001</v>
      </c>
      <c r="H58">
        <v>100.2865</v>
      </c>
      <c r="I58" t="s">
        <v>106</v>
      </c>
      <c r="J58">
        <v>20210528</v>
      </c>
      <c r="K58" t="s">
        <v>777</v>
      </c>
      <c r="L58" t="s">
        <v>44</v>
      </c>
      <c r="M58" t="s">
        <v>44</v>
      </c>
      <c r="N58" t="s">
        <v>44</v>
      </c>
      <c r="O58" t="s">
        <v>44</v>
      </c>
      <c r="P58" t="s">
        <v>297</v>
      </c>
      <c r="Q58" t="s">
        <v>777</v>
      </c>
      <c r="R58" t="s">
        <v>598</v>
      </c>
      <c r="S58" t="s">
        <v>28</v>
      </c>
    </row>
    <row r="59" spans="1:19" x14ac:dyDescent="0.25">
      <c r="A59" t="s">
        <v>302</v>
      </c>
      <c r="B59" t="s">
        <v>302</v>
      </c>
      <c r="D59" s="38">
        <v>45945</v>
      </c>
      <c r="E59" s="38">
        <v>46583</v>
      </c>
      <c r="I59" t="s">
        <v>116</v>
      </c>
      <c r="J59">
        <v>20230817</v>
      </c>
      <c r="K59" t="s">
        <v>24</v>
      </c>
      <c r="L59" t="s">
        <v>44</v>
      </c>
      <c r="M59" t="s">
        <v>44</v>
      </c>
      <c r="N59" t="s">
        <v>44</v>
      </c>
      <c r="O59" t="s">
        <v>44</v>
      </c>
      <c r="P59" t="s">
        <v>300</v>
      </c>
      <c r="Q59" t="s">
        <v>24</v>
      </c>
      <c r="R59" t="s">
        <v>598</v>
      </c>
      <c r="S59" t="s">
        <v>24</v>
      </c>
    </row>
    <row r="60" spans="1:19" x14ac:dyDescent="0.25">
      <c r="A60" t="s">
        <v>304</v>
      </c>
      <c r="B60" t="s">
        <v>304</v>
      </c>
      <c r="D60" s="38">
        <v>45945</v>
      </c>
      <c r="E60" s="38">
        <v>46583</v>
      </c>
      <c r="I60" t="s">
        <v>116</v>
      </c>
      <c r="J60">
        <v>20230817</v>
      </c>
      <c r="K60" t="s">
        <v>777</v>
      </c>
      <c r="L60" t="s">
        <v>44</v>
      </c>
      <c r="M60" t="s">
        <v>44</v>
      </c>
      <c r="N60" t="s">
        <v>44</v>
      </c>
      <c r="O60" t="s">
        <v>44</v>
      </c>
      <c r="P60" t="s">
        <v>300</v>
      </c>
      <c r="Q60" t="s">
        <v>777</v>
      </c>
      <c r="R60" t="s">
        <v>598</v>
      </c>
      <c r="S60" t="s">
        <v>28</v>
      </c>
    </row>
    <row r="61" spans="1:19" x14ac:dyDescent="0.25">
      <c r="A61" t="s">
        <v>306</v>
      </c>
      <c r="B61" t="s">
        <v>306</v>
      </c>
      <c r="D61" s="38">
        <v>45951</v>
      </c>
      <c r="E61" s="38">
        <v>46498</v>
      </c>
      <c r="I61" t="s">
        <v>116</v>
      </c>
      <c r="J61">
        <v>20230328</v>
      </c>
      <c r="K61" t="s">
        <v>44</v>
      </c>
      <c r="L61" t="s">
        <v>44</v>
      </c>
      <c r="M61" t="s">
        <v>777</v>
      </c>
      <c r="N61" t="s">
        <v>44</v>
      </c>
      <c r="O61" t="s">
        <v>44</v>
      </c>
      <c r="P61" t="s">
        <v>300</v>
      </c>
      <c r="Q61" t="s">
        <v>777</v>
      </c>
      <c r="R61" t="s">
        <v>590</v>
      </c>
      <c r="S61" t="s">
        <v>28</v>
      </c>
    </row>
    <row r="62" spans="1:19" x14ac:dyDescent="0.25">
      <c r="A62" t="s">
        <v>508</v>
      </c>
      <c r="B62" t="s">
        <v>508</v>
      </c>
      <c r="C62">
        <v>9.7071232500000004</v>
      </c>
      <c r="D62" s="38">
        <v>46037</v>
      </c>
      <c r="E62" s="38">
        <v>46583</v>
      </c>
      <c r="F62">
        <v>12</v>
      </c>
      <c r="G62">
        <v>339.92338966400001</v>
      </c>
      <c r="H62">
        <v>100.2393</v>
      </c>
      <c r="I62" t="s">
        <v>121</v>
      </c>
      <c r="J62">
        <v>20250703</v>
      </c>
      <c r="K62" t="s">
        <v>44</v>
      </c>
      <c r="L62" t="s">
        <v>44</v>
      </c>
      <c r="M62" t="s">
        <v>777</v>
      </c>
      <c r="N62" t="s">
        <v>44</v>
      </c>
      <c r="O62" t="s">
        <v>44</v>
      </c>
      <c r="P62" t="s">
        <v>506</v>
      </c>
      <c r="Q62" t="s">
        <v>777</v>
      </c>
      <c r="R62" t="s">
        <v>590</v>
      </c>
      <c r="S62" t="s">
        <v>28</v>
      </c>
    </row>
    <row r="63" spans="1:19" x14ac:dyDescent="0.25">
      <c r="A63" t="s">
        <v>510</v>
      </c>
      <c r="B63" t="s">
        <v>510</v>
      </c>
      <c r="C63">
        <v>9.6372363389999993</v>
      </c>
      <c r="D63" s="38">
        <v>45946</v>
      </c>
      <c r="E63" s="38">
        <v>46584</v>
      </c>
      <c r="F63">
        <v>12.970114323000001</v>
      </c>
      <c r="G63">
        <v>299.11142048900001</v>
      </c>
      <c r="H63">
        <v>100.7623</v>
      </c>
      <c r="I63" t="s">
        <v>121</v>
      </c>
      <c r="J63">
        <v>20250707</v>
      </c>
      <c r="K63" t="s">
        <v>44</v>
      </c>
      <c r="L63" t="s">
        <v>44</v>
      </c>
      <c r="M63" t="s">
        <v>28</v>
      </c>
      <c r="N63" t="s">
        <v>44</v>
      </c>
      <c r="O63" t="s">
        <v>44</v>
      </c>
      <c r="P63" t="s">
        <v>506</v>
      </c>
      <c r="Q63" t="s">
        <v>28</v>
      </c>
      <c r="R63" t="s">
        <v>590</v>
      </c>
      <c r="S63" t="s">
        <v>28</v>
      </c>
    </row>
    <row r="64" spans="1:19" x14ac:dyDescent="0.25">
      <c r="A64" t="s">
        <v>513</v>
      </c>
      <c r="B64" t="s">
        <v>513</v>
      </c>
      <c r="C64">
        <v>7.6881911079999998</v>
      </c>
      <c r="D64" s="38">
        <v>46037</v>
      </c>
      <c r="E64" s="38">
        <v>46189</v>
      </c>
      <c r="F64">
        <v>11.57214546</v>
      </c>
      <c r="G64">
        <v>371.04704848799997</v>
      </c>
      <c r="H64">
        <v>100.6784</v>
      </c>
      <c r="I64" t="s">
        <v>121</v>
      </c>
      <c r="J64">
        <v>20250616</v>
      </c>
      <c r="K64" t="s">
        <v>44</v>
      </c>
      <c r="L64" t="s">
        <v>44</v>
      </c>
      <c r="M64" t="s">
        <v>777</v>
      </c>
      <c r="N64" t="s">
        <v>44</v>
      </c>
      <c r="O64" t="s">
        <v>44</v>
      </c>
      <c r="P64" t="s">
        <v>506</v>
      </c>
      <c r="Q64" t="s">
        <v>777</v>
      </c>
      <c r="R64" t="s">
        <v>590</v>
      </c>
      <c r="S64" t="s">
        <v>28</v>
      </c>
    </row>
    <row r="65" spans="1:19" x14ac:dyDescent="0.25">
      <c r="A65" t="s">
        <v>310</v>
      </c>
      <c r="B65" t="s">
        <v>310</v>
      </c>
      <c r="C65">
        <v>2.337350518</v>
      </c>
      <c r="D65" s="38">
        <v>45947</v>
      </c>
      <c r="E65" s="38">
        <v>43847</v>
      </c>
      <c r="F65">
        <v>38.541549265999997</v>
      </c>
      <c r="G65">
        <v>173.29034757700001</v>
      </c>
      <c r="H65">
        <v>100.4838</v>
      </c>
      <c r="I65" t="s">
        <v>122</v>
      </c>
      <c r="J65">
        <v>20171228</v>
      </c>
      <c r="K65" t="s">
        <v>44</v>
      </c>
      <c r="L65" t="s">
        <v>119</v>
      </c>
      <c r="M65" t="s">
        <v>44</v>
      </c>
      <c r="N65" t="s">
        <v>44</v>
      </c>
      <c r="O65" t="s">
        <v>44</v>
      </c>
      <c r="P65" t="s">
        <v>308</v>
      </c>
      <c r="Q65" t="s">
        <v>119</v>
      </c>
      <c r="R65" t="s">
        <v>572</v>
      </c>
      <c r="S65" t="s">
        <v>21</v>
      </c>
    </row>
    <row r="66" spans="1:19" x14ac:dyDescent="0.25">
      <c r="A66" t="s">
        <v>517</v>
      </c>
      <c r="B66" t="s">
        <v>517</v>
      </c>
      <c r="C66">
        <v>9.6369096289999998</v>
      </c>
      <c r="D66" s="38">
        <v>45951</v>
      </c>
      <c r="E66" s="38">
        <v>46543</v>
      </c>
      <c r="F66">
        <v>13.229201722000001</v>
      </c>
      <c r="G66">
        <v>307.19499216299999</v>
      </c>
      <c r="H66">
        <v>100.5496</v>
      </c>
      <c r="I66" t="s">
        <v>123</v>
      </c>
      <c r="J66">
        <v>20250605</v>
      </c>
      <c r="K66" t="s">
        <v>44</v>
      </c>
      <c r="L66" t="s">
        <v>44</v>
      </c>
      <c r="M66" t="s">
        <v>28</v>
      </c>
      <c r="N66" t="s">
        <v>44</v>
      </c>
      <c r="O66" t="s">
        <v>44</v>
      </c>
      <c r="P66" t="s">
        <v>312</v>
      </c>
      <c r="Q66" t="s">
        <v>28</v>
      </c>
      <c r="R66" t="s">
        <v>590</v>
      </c>
      <c r="S66" t="s">
        <v>28</v>
      </c>
    </row>
    <row r="67" spans="1:19" x14ac:dyDescent="0.25">
      <c r="A67" t="s">
        <v>314</v>
      </c>
      <c r="B67" t="s">
        <v>314</v>
      </c>
      <c r="D67" s="38">
        <v>45947</v>
      </c>
      <c r="E67" s="38">
        <v>45855</v>
      </c>
      <c r="F67">
        <v>11.061923310999999</v>
      </c>
      <c r="I67" t="s">
        <v>123</v>
      </c>
      <c r="J67">
        <v>20230717</v>
      </c>
      <c r="K67" t="s">
        <v>44</v>
      </c>
      <c r="L67" t="s">
        <v>44</v>
      </c>
      <c r="M67" t="s">
        <v>777</v>
      </c>
      <c r="N67" t="s">
        <v>44</v>
      </c>
      <c r="O67" t="s">
        <v>44</v>
      </c>
      <c r="P67" t="s">
        <v>312</v>
      </c>
      <c r="Q67" t="s">
        <v>777</v>
      </c>
      <c r="R67" t="s">
        <v>590</v>
      </c>
      <c r="S67" t="s">
        <v>28</v>
      </c>
    </row>
    <row r="68" spans="1:19" x14ac:dyDescent="0.25">
      <c r="A68" t="s">
        <v>316</v>
      </c>
      <c r="B68" t="s">
        <v>316</v>
      </c>
      <c r="C68">
        <v>6.4471528229999997</v>
      </c>
      <c r="D68" s="38">
        <v>45947</v>
      </c>
      <c r="E68" s="38">
        <v>45094</v>
      </c>
      <c r="F68">
        <v>7.8203245829999997</v>
      </c>
      <c r="G68">
        <v>607.81424426499996</v>
      </c>
      <c r="H68">
        <v>100.86709999999999</v>
      </c>
      <c r="I68" t="s">
        <v>124</v>
      </c>
      <c r="J68">
        <v>20210617</v>
      </c>
      <c r="K68" t="s">
        <v>1363</v>
      </c>
      <c r="L68" t="s">
        <v>44</v>
      </c>
      <c r="M68" t="s">
        <v>44</v>
      </c>
      <c r="N68" t="s">
        <v>44</v>
      </c>
      <c r="O68" t="s">
        <v>44</v>
      </c>
      <c r="P68" t="s">
        <v>312</v>
      </c>
      <c r="Q68" t="s">
        <v>1363</v>
      </c>
      <c r="R68" t="s">
        <v>598</v>
      </c>
      <c r="S68" t="s">
        <v>32</v>
      </c>
    </row>
    <row r="69" spans="1:19" x14ac:dyDescent="0.25">
      <c r="A69" t="s">
        <v>319</v>
      </c>
      <c r="B69" t="s">
        <v>319</v>
      </c>
      <c r="D69" s="38">
        <v>45955</v>
      </c>
      <c r="E69" s="38">
        <v>46549</v>
      </c>
      <c r="I69" t="s">
        <v>125</v>
      </c>
      <c r="J69">
        <v>20230608</v>
      </c>
      <c r="K69" t="s">
        <v>777</v>
      </c>
      <c r="L69" t="s">
        <v>44</v>
      </c>
      <c r="M69" t="s">
        <v>44</v>
      </c>
      <c r="N69" t="s">
        <v>44</v>
      </c>
      <c r="O69" t="s">
        <v>44</v>
      </c>
      <c r="P69" t="s">
        <v>317</v>
      </c>
      <c r="Q69" t="s">
        <v>777</v>
      </c>
      <c r="R69" t="s">
        <v>598</v>
      </c>
      <c r="S69" t="s">
        <v>28</v>
      </c>
    </row>
    <row r="70" spans="1:19" x14ac:dyDescent="0.25">
      <c r="A70" t="s">
        <v>323</v>
      </c>
      <c r="B70" t="s">
        <v>323</v>
      </c>
      <c r="C70">
        <v>1.172408734</v>
      </c>
      <c r="D70" s="38">
        <v>45945</v>
      </c>
      <c r="E70" s="38">
        <v>44576</v>
      </c>
      <c r="F70">
        <v>34.628596612000003</v>
      </c>
      <c r="G70">
        <v>380.14373432100001</v>
      </c>
      <c r="H70">
        <v>96.985699999999994</v>
      </c>
      <c r="I70" t="s">
        <v>126</v>
      </c>
      <c r="J70">
        <v>20201208</v>
      </c>
      <c r="K70" t="s">
        <v>44</v>
      </c>
      <c r="L70" t="s">
        <v>44</v>
      </c>
      <c r="M70" t="s">
        <v>44</v>
      </c>
      <c r="N70" t="s">
        <v>795</v>
      </c>
      <c r="O70" t="s">
        <v>44</v>
      </c>
      <c r="P70" t="s">
        <v>321</v>
      </c>
      <c r="Q70" t="s">
        <v>795</v>
      </c>
      <c r="R70" t="s">
        <v>656</v>
      </c>
      <c r="S70" t="s">
        <v>28</v>
      </c>
    </row>
    <row r="71" spans="1:19" x14ac:dyDescent="0.25">
      <c r="A71" t="s">
        <v>325</v>
      </c>
      <c r="B71" t="s">
        <v>325</v>
      </c>
      <c r="C71">
        <v>0.38137399</v>
      </c>
      <c r="D71" s="38">
        <v>45945</v>
      </c>
      <c r="E71" s="38">
        <v>45122</v>
      </c>
      <c r="F71">
        <v>19.485840370999998</v>
      </c>
      <c r="G71">
        <v>487.78703912999998</v>
      </c>
      <c r="H71">
        <v>98.778099999999995</v>
      </c>
      <c r="I71" t="s">
        <v>127</v>
      </c>
      <c r="J71">
        <v>20210623</v>
      </c>
      <c r="K71" t="s">
        <v>44</v>
      </c>
      <c r="L71" t="s">
        <v>44</v>
      </c>
      <c r="M71" t="s">
        <v>44</v>
      </c>
      <c r="N71" t="s">
        <v>28</v>
      </c>
      <c r="O71" t="s">
        <v>44</v>
      </c>
      <c r="P71" t="s">
        <v>321</v>
      </c>
      <c r="Q71" t="s">
        <v>28</v>
      </c>
      <c r="R71" t="s">
        <v>656</v>
      </c>
      <c r="S71" t="s">
        <v>28</v>
      </c>
    </row>
    <row r="72" spans="1:19" x14ac:dyDescent="0.25">
      <c r="A72" t="s">
        <v>327</v>
      </c>
      <c r="B72" t="s">
        <v>327</v>
      </c>
      <c r="C72">
        <v>0.29289841999999999</v>
      </c>
      <c r="D72" s="38">
        <v>45945</v>
      </c>
      <c r="E72" s="38">
        <v>45031</v>
      </c>
      <c r="F72">
        <v>20.125623359999999</v>
      </c>
      <c r="G72">
        <v>455.54443935900002</v>
      </c>
      <c r="H72">
        <v>99.142899999999997</v>
      </c>
      <c r="I72" t="s">
        <v>126</v>
      </c>
      <c r="J72">
        <v>20210519</v>
      </c>
      <c r="K72" t="s">
        <v>44</v>
      </c>
      <c r="L72" t="s">
        <v>44</v>
      </c>
      <c r="M72" t="s">
        <v>44</v>
      </c>
      <c r="N72" t="s">
        <v>28</v>
      </c>
      <c r="O72" t="s">
        <v>44</v>
      </c>
      <c r="P72" t="s">
        <v>321</v>
      </c>
      <c r="Q72" t="s">
        <v>28</v>
      </c>
      <c r="R72" t="s">
        <v>656</v>
      </c>
      <c r="S72" t="s">
        <v>28</v>
      </c>
    </row>
    <row r="73" spans="1:19" x14ac:dyDescent="0.25">
      <c r="A73" t="s">
        <v>330</v>
      </c>
      <c r="B73" t="s">
        <v>330</v>
      </c>
      <c r="D73" s="38">
        <v>45948</v>
      </c>
      <c r="E73" s="38">
        <v>46586</v>
      </c>
      <c r="I73" t="s">
        <v>128</v>
      </c>
      <c r="J73">
        <v>20240418</v>
      </c>
      <c r="K73" t="s">
        <v>44</v>
      </c>
      <c r="L73" t="s">
        <v>44</v>
      </c>
      <c r="M73" t="s">
        <v>777</v>
      </c>
      <c r="N73" t="s">
        <v>44</v>
      </c>
      <c r="O73" t="s">
        <v>44</v>
      </c>
      <c r="P73" t="s">
        <v>328</v>
      </c>
      <c r="Q73" t="s">
        <v>777</v>
      </c>
      <c r="R73" t="s">
        <v>590</v>
      </c>
      <c r="S73" t="s">
        <v>28</v>
      </c>
    </row>
    <row r="74" spans="1:19" x14ac:dyDescent="0.25">
      <c r="A74" t="s">
        <v>333</v>
      </c>
      <c r="B74" t="s">
        <v>333</v>
      </c>
      <c r="C74">
        <v>5.4661879100000004</v>
      </c>
      <c r="D74" s="38">
        <v>45950</v>
      </c>
      <c r="E74" s="38">
        <v>45677</v>
      </c>
      <c r="F74">
        <v>7.2437065729999999</v>
      </c>
      <c r="G74">
        <v>703.40569772699996</v>
      </c>
      <c r="H74">
        <v>101.07850000000001</v>
      </c>
      <c r="I74" t="s">
        <v>129</v>
      </c>
      <c r="J74">
        <v>20240311</v>
      </c>
      <c r="K74" t="s">
        <v>1363</v>
      </c>
      <c r="L74" t="s">
        <v>44</v>
      </c>
      <c r="M74" t="s">
        <v>44</v>
      </c>
      <c r="N74" t="s">
        <v>44</v>
      </c>
      <c r="O74" t="s">
        <v>44</v>
      </c>
      <c r="P74" t="s">
        <v>331</v>
      </c>
      <c r="Q74" t="s">
        <v>1363</v>
      </c>
      <c r="R74" t="s">
        <v>598</v>
      </c>
      <c r="S74" t="s">
        <v>32</v>
      </c>
    </row>
    <row r="75" spans="1:19" x14ac:dyDescent="0.25">
      <c r="A75" t="s">
        <v>336</v>
      </c>
      <c r="B75" t="s">
        <v>336</v>
      </c>
      <c r="I75" t="s">
        <v>130</v>
      </c>
      <c r="J75">
        <v>20230524</v>
      </c>
      <c r="K75" t="s">
        <v>777</v>
      </c>
      <c r="L75" t="s">
        <v>44</v>
      </c>
      <c r="M75" t="s">
        <v>44</v>
      </c>
      <c r="N75" t="s">
        <v>44</v>
      </c>
      <c r="O75" t="s">
        <v>44</v>
      </c>
      <c r="P75" t="s">
        <v>334</v>
      </c>
      <c r="Q75" t="s">
        <v>777</v>
      </c>
      <c r="R75" t="s">
        <v>598</v>
      </c>
      <c r="S75" t="s">
        <v>28</v>
      </c>
    </row>
    <row r="76" spans="1:19" x14ac:dyDescent="0.25">
      <c r="A76" t="s">
        <v>338</v>
      </c>
      <c r="B76" t="s">
        <v>338</v>
      </c>
      <c r="C76">
        <v>0.305347806</v>
      </c>
      <c r="D76" s="38">
        <v>45889</v>
      </c>
      <c r="F76">
        <v>27.450300147450999</v>
      </c>
      <c r="G76">
        <v>1220.0108490580001</v>
      </c>
      <c r="H76">
        <v>97.178640000000001</v>
      </c>
      <c r="I76" t="s">
        <v>131</v>
      </c>
      <c r="J76">
        <v>20201113</v>
      </c>
      <c r="K76" t="s">
        <v>795</v>
      </c>
      <c r="L76" t="s">
        <v>44</v>
      </c>
      <c r="M76" t="s">
        <v>44</v>
      </c>
      <c r="N76" t="s">
        <v>44</v>
      </c>
      <c r="O76" t="s">
        <v>44</v>
      </c>
      <c r="P76" t="s">
        <v>131</v>
      </c>
      <c r="Q76" t="s">
        <v>795</v>
      </c>
      <c r="R76" t="s">
        <v>598</v>
      </c>
      <c r="S76" t="s">
        <v>28</v>
      </c>
    </row>
    <row r="77" spans="1:19" x14ac:dyDescent="0.25">
      <c r="A77" t="s">
        <v>340</v>
      </c>
      <c r="B77" t="s">
        <v>340</v>
      </c>
      <c r="C77">
        <v>0.471702118</v>
      </c>
      <c r="D77" s="38">
        <v>45889</v>
      </c>
      <c r="F77">
        <v>27.450300147450999</v>
      </c>
      <c r="G77">
        <v>464.56250175600002</v>
      </c>
      <c r="H77">
        <v>97.783839999999998</v>
      </c>
      <c r="I77" t="s">
        <v>131</v>
      </c>
      <c r="J77">
        <v>20210127</v>
      </c>
      <c r="K77" t="s">
        <v>795</v>
      </c>
      <c r="L77" t="s">
        <v>44</v>
      </c>
      <c r="M77" t="s">
        <v>44</v>
      </c>
      <c r="N77" t="s">
        <v>44</v>
      </c>
      <c r="O77" t="s">
        <v>44</v>
      </c>
      <c r="P77" t="s">
        <v>131</v>
      </c>
      <c r="Q77" t="s">
        <v>795</v>
      </c>
      <c r="R77" t="s">
        <v>598</v>
      </c>
      <c r="S77" t="s">
        <v>28</v>
      </c>
    </row>
    <row r="78" spans="1:19" x14ac:dyDescent="0.25">
      <c r="A78" t="s">
        <v>342</v>
      </c>
      <c r="B78" t="s">
        <v>342</v>
      </c>
      <c r="C78">
        <v>2.4303684319999999</v>
      </c>
      <c r="D78" s="38">
        <v>45889</v>
      </c>
      <c r="F78">
        <v>27.450300147450999</v>
      </c>
      <c r="G78">
        <v>585.29406518799999</v>
      </c>
      <c r="H78">
        <v>87.626225000000005</v>
      </c>
      <c r="I78" t="s">
        <v>131</v>
      </c>
      <c r="J78">
        <v>20210127</v>
      </c>
      <c r="K78" t="s">
        <v>795</v>
      </c>
      <c r="L78" t="s">
        <v>44</v>
      </c>
      <c r="M78" t="s">
        <v>44</v>
      </c>
      <c r="N78" t="s">
        <v>44</v>
      </c>
      <c r="O78" t="s">
        <v>44</v>
      </c>
      <c r="P78" t="s">
        <v>131</v>
      </c>
      <c r="Q78" t="s">
        <v>795</v>
      </c>
      <c r="R78" t="s">
        <v>598</v>
      </c>
      <c r="S78" t="s">
        <v>28</v>
      </c>
    </row>
    <row r="79" spans="1:19" x14ac:dyDescent="0.25">
      <c r="A79" t="s">
        <v>519</v>
      </c>
      <c r="B79" t="s">
        <v>519</v>
      </c>
      <c r="C79">
        <v>9.7381478000000001</v>
      </c>
      <c r="D79" s="38">
        <v>45955</v>
      </c>
      <c r="E79" s="38">
        <v>46527</v>
      </c>
      <c r="F79">
        <v>11.890949524</v>
      </c>
      <c r="G79">
        <v>377.50389464900002</v>
      </c>
      <c r="H79">
        <v>100.86190000000001</v>
      </c>
      <c r="I79" t="s">
        <v>132</v>
      </c>
      <c r="J79">
        <v>20250520</v>
      </c>
      <c r="K79" t="s">
        <v>44</v>
      </c>
      <c r="L79" t="s">
        <v>44</v>
      </c>
      <c r="M79" t="s">
        <v>777</v>
      </c>
      <c r="N79" t="s">
        <v>44</v>
      </c>
      <c r="O79" t="s">
        <v>44</v>
      </c>
      <c r="P79" t="s">
        <v>343</v>
      </c>
      <c r="Q79" t="s">
        <v>777</v>
      </c>
      <c r="R79" t="s">
        <v>590</v>
      </c>
      <c r="S79" t="s">
        <v>28</v>
      </c>
    </row>
    <row r="80" spans="1:19" x14ac:dyDescent="0.25">
      <c r="A80" t="s">
        <v>345</v>
      </c>
      <c r="B80" t="s">
        <v>345</v>
      </c>
      <c r="D80" s="38">
        <v>45955</v>
      </c>
      <c r="E80" s="38">
        <v>46527</v>
      </c>
      <c r="I80" t="s">
        <v>132</v>
      </c>
      <c r="J80">
        <v>20230329</v>
      </c>
      <c r="K80" t="s">
        <v>44</v>
      </c>
      <c r="L80" t="s">
        <v>44</v>
      </c>
      <c r="M80" t="s">
        <v>1363</v>
      </c>
      <c r="N80" t="s">
        <v>44</v>
      </c>
      <c r="O80" t="s">
        <v>44</v>
      </c>
      <c r="P80" t="s">
        <v>343</v>
      </c>
      <c r="Q80" t="s">
        <v>1363</v>
      </c>
      <c r="R80" t="s">
        <v>590</v>
      </c>
      <c r="S80" t="s">
        <v>32</v>
      </c>
    </row>
    <row r="81" spans="1:19" x14ac:dyDescent="0.25">
      <c r="A81" t="s">
        <v>349</v>
      </c>
      <c r="B81" t="s">
        <v>349</v>
      </c>
      <c r="D81" s="38">
        <v>45949</v>
      </c>
      <c r="E81" s="38">
        <v>44589</v>
      </c>
      <c r="I81" t="s">
        <v>132</v>
      </c>
      <c r="J81">
        <v>20210728</v>
      </c>
      <c r="K81" t="s">
        <v>777</v>
      </c>
      <c r="L81" t="s">
        <v>44</v>
      </c>
      <c r="M81" t="s">
        <v>44</v>
      </c>
      <c r="N81" t="s">
        <v>44</v>
      </c>
      <c r="O81" t="s">
        <v>44</v>
      </c>
      <c r="P81" t="s">
        <v>347</v>
      </c>
      <c r="Q81" t="s">
        <v>777</v>
      </c>
      <c r="R81" t="s">
        <v>598</v>
      </c>
      <c r="S81" t="s">
        <v>28</v>
      </c>
    </row>
    <row r="82" spans="1:19" x14ac:dyDescent="0.25">
      <c r="A82" t="s">
        <v>352</v>
      </c>
      <c r="B82" t="s">
        <v>352</v>
      </c>
      <c r="C82">
        <v>6.4722222220000001</v>
      </c>
      <c r="D82" s="38">
        <v>45948</v>
      </c>
      <c r="E82" s="38">
        <v>45277</v>
      </c>
      <c r="F82">
        <v>10.863803317</v>
      </c>
      <c r="H82">
        <v>100.45</v>
      </c>
      <c r="I82" t="s">
        <v>130</v>
      </c>
      <c r="J82">
        <v>20211217</v>
      </c>
      <c r="K82" t="s">
        <v>44</v>
      </c>
      <c r="L82" t="s">
        <v>44</v>
      </c>
      <c r="M82" t="s">
        <v>777</v>
      </c>
      <c r="N82" t="s">
        <v>44</v>
      </c>
      <c r="O82" t="s">
        <v>44</v>
      </c>
      <c r="P82" t="s">
        <v>334</v>
      </c>
      <c r="Q82" t="s">
        <v>777</v>
      </c>
      <c r="R82" t="s">
        <v>590</v>
      </c>
      <c r="S82" t="s">
        <v>28</v>
      </c>
    </row>
    <row r="83" spans="1:19" x14ac:dyDescent="0.25">
      <c r="A83" t="s">
        <v>521</v>
      </c>
      <c r="B83" t="s">
        <v>521</v>
      </c>
      <c r="C83">
        <v>0</v>
      </c>
      <c r="D83" s="38">
        <v>45945</v>
      </c>
      <c r="E83" s="38">
        <v>45269</v>
      </c>
      <c r="G83">
        <v>274.85899222199998</v>
      </c>
      <c r="H83">
        <v>100.375</v>
      </c>
      <c r="I83" t="s">
        <v>133</v>
      </c>
      <c r="J83">
        <v>20250814</v>
      </c>
      <c r="K83" t="s">
        <v>44</v>
      </c>
      <c r="L83" t="s">
        <v>44</v>
      </c>
      <c r="M83" t="s">
        <v>777</v>
      </c>
      <c r="N83" t="s">
        <v>44</v>
      </c>
      <c r="O83" t="s">
        <v>44</v>
      </c>
      <c r="P83" t="s">
        <v>353</v>
      </c>
      <c r="Q83" t="s">
        <v>777</v>
      </c>
      <c r="R83" t="s">
        <v>590</v>
      </c>
      <c r="S83" t="s">
        <v>28</v>
      </c>
    </row>
    <row r="84" spans="1:19" x14ac:dyDescent="0.25">
      <c r="A84" t="s">
        <v>355</v>
      </c>
      <c r="B84" t="s">
        <v>355</v>
      </c>
      <c r="D84" s="38">
        <v>45950</v>
      </c>
      <c r="E84" s="38">
        <v>46588</v>
      </c>
      <c r="I84" t="s">
        <v>133</v>
      </c>
      <c r="J84">
        <v>20230601</v>
      </c>
      <c r="K84" t="s">
        <v>24</v>
      </c>
      <c r="L84" t="s">
        <v>44</v>
      </c>
      <c r="M84" t="s">
        <v>44</v>
      </c>
      <c r="N84" t="s">
        <v>44</v>
      </c>
      <c r="O84" t="s">
        <v>44</v>
      </c>
      <c r="P84" t="s">
        <v>353</v>
      </c>
      <c r="Q84" t="s">
        <v>24</v>
      </c>
      <c r="R84" t="s">
        <v>598</v>
      </c>
      <c r="S84" t="s">
        <v>24</v>
      </c>
    </row>
    <row r="85" spans="1:19" x14ac:dyDescent="0.25">
      <c r="A85" t="s">
        <v>357</v>
      </c>
      <c r="B85" t="s">
        <v>357</v>
      </c>
      <c r="D85" s="38">
        <v>45950</v>
      </c>
      <c r="E85" s="38">
        <v>46588</v>
      </c>
      <c r="I85" t="s">
        <v>133</v>
      </c>
      <c r="J85">
        <v>20230601</v>
      </c>
      <c r="K85" t="s">
        <v>777</v>
      </c>
      <c r="L85" t="s">
        <v>44</v>
      </c>
      <c r="M85" t="s">
        <v>44</v>
      </c>
      <c r="N85" t="s">
        <v>44</v>
      </c>
      <c r="O85" t="s">
        <v>44</v>
      </c>
      <c r="P85" t="s">
        <v>353</v>
      </c>
      <c r="Q85" t="s">
        <v>777</v>
      </c>
      <c r="R85" t="s">
        <v>598</v>
      </c>
      <c r="S85" t="s">
        <v>28</v>
      </c>
    </row>
    <row r="86" spans="1:19" x14ac:dyDescent="0.25">
      <c r="A86" t="s">
        <v>524</v>
      </c>
      <c r="B86" t="s">
        <v>524</v>
      </c>
      <c r="C86">
        <v>9.6737586740000001</v>
      </c>
      <c r="D86" s="38">
        <v>45950</v>
      </c>
      <c r="E86" s="38">
        <v>46588</v>
      </c>
      <c r="F86">
        <v>12.502520178999999</v>
      </c>
      <c r="G86">
        <v>337.84601310699998</v>
      </c>
      <c r="H86">
        <v>100.14319999999999</v>
      </c>
      <c r="I86" t="s">
        <v>133</v>
      </c>
      <c r="J86">
        <v>20250522</v>
      </c>
      <c r="K86" t="s">
        <v>777</v>
      </c>
      <c r="L86" t="s">
        <v>44</v>
      </c>
      <c r="M86" t="s">
        <v>44</v>
      </c>
      <c r="N86" t="s">
        <v>44</v>
      </c>
      <c r="O86" t="s">
        <v>44</v>
      </c>
      <c r="P86" t="s">
        <v>353</v>
      </c>
      <c r="Q86" t="s">
        <v>777</v>
      </c>
      <c r="R86" t="s">
        <v>598</v>
      </c>
      <c r="S86" t="s">
        <v>28</v>
      </c>
    </row>
    <row r="87" spans="1:19" x14ac:dyDescent="0.25">
      <c r="A87" t="s">
        <v>527</v>
      </c>
      <c r="B87" t="s">
        <v>527</v>
      </c>
      <c r="C87">
        <v>9.6362707329999999</v>
      </c>
      <c r="F87">
        <v>12</v>
      </c>
      <c r="G87">
        <v>273.43680967699999</v>
      </c>
      <c r="H87">
        <v>100.38890000000001</v>
      </c>
      <c r="I87" t="s">
        <v>133</v>
      </c>
      <c r="J87">
        <v>20250820</v>
      </c>
      <c r="K87" t="s">
        <v>777</v>
      </c>
      <c r="L87" t="s">
        <v>44</v>
      </c>
      <c r="M87" t="s">
        <v>44</v>
      </c>
      <c r="N87" t="s">
        <v>44</v>
      </c>
      <c r="O87" t="s">
        <v>44</v>
      </c>
      <c r="P87" t="s">
        <v>353</v>
      </c>
      <c r="Q87" t="s">
        <v>777</v>
      </c>
      <c r="R87" t="s">
        <v>598</v>
      </c>
      <c r="S87" t="s">
        <v>28</v>
      </c>
    </row>
    <row r="88" spans="1:19" x14ac:dyDescent="0.25">
      <c r="A88" t="s">
        <v>530</v>
      </c>
      <c r="B88" t="s">
        <v>530</v>
      </c>
      <c r="C88">
        <v>7.6524448009999997</v>
      </c>
      <c r="D88" s="38">
        <v>45950</v>
      </c>
      <c r="E88" s="38">
        <v>46203</v>
      </c>
      <c r="F88">
        <v>12.035855702999999</v>
      </c>
      <c r="G88">
        <v>353.46309610600002</v>
      </c>
      <c r="H88">
        <v>100.3772</v>
      </c>
      <c r="I88" t="s">
        <v>134</v>
      </c>
      <c r="J88">
        <v>20250630</v>
      </c>
      <c r="K88" t="s">
        <v>777</v>
      </c>
      <c r="L88" t="s">
        <v>44</v>
      </c>
      <c r="M88" t="s">
        <v>44</v>
      </c>
      <c r="N88" t="s">
        <v>44</v>
      </c>
      <c r="O88" t="s">
        <v>44</v>
      </c>
      <c r="P88" t="s">
        <v>528</v>
      </c>
      <c r="Q88" t="s">
        <v>777</v>
      </c>
      <c r="R88" t="s">
        <v>598</v>
      </c>
      <c r="S88" t="s">
        <v>28</v>
      </c>
    </row>
    <row r="89" spans="1:19" x14ac:dyDescent="0.25">
      <c r="A89" t="s">
        <v>534</v>
      </c>
      <c r="B89" t="s">
        <v>534</v>
      </c>
      <c r="H89">
        <v>100.375</v>
      </c>
      <c r="I89" t="s">
        <v>135</v>
      </c>
      <c r="J89">
        <v>20250904</v>
      </c>
      <c r="K89" t="s">
        <v>777</v>
      </c>
      <c r="L89" t="s">
        <v>44</v>
      </c>
      <c r="M89" t="s">
        <v>44</v>
      </c>
      <c r="N89" t="s">
        <v>44</v>
      </c>
      <c r="O89" t="s">
        <v>44</v>
      </c>
      <c r="P89" t="s">
        <v>135</v>
      </c>
      <c r="Q89" t="s">
        <v>777</v>
      </c>
      <c r="R89" t="s">
        <v>598</v>
      </c>
      <c r="S89" t="s">
        <v>28</v>
      </c>
    </row>
    <row r="90" spans="1:19" x14ac:dyDescent="0.25">
      <c r="A90" t="s">
        <v>360</v>
      </c>
      <c r="B90" t="s">
        <v>360</v>
      </c>
      <c r="D90" s="38">
        <v>45950</v>
      </c>
      <c r="E90" s="38">
        <v>46497</v>
      </c>
      <c r="I90" t="s">
        <v>136</v>
      </c>
      <c r="J90">
        <v>20230504</v>
      </c>
      <c r="K90" t="s">
        <v>44</v>
      </c>
      <c r="L90" t="s">
        <v>44</v>
      </c>
      <c r="M90" t="s">
        <v>777</v>
      </c>
      <c r="N90" t="s">
        <v>44</v>
      </c>
      <c r="O90" t="s">
        <v>44</v>
      </c>
      <c r="P90" t="s">
        <v>358</v>
      </c>
      <c r="Q90" t="s">
        <v>777</v>
      </c>
      <c r="R90" t="s">
        <v>590</v>
      </c>
      <c r="S90" t="s">
        <v>28</v>
      </c>
    </row>
    <row r="91" spans="1:19" x14ac:dyDescent="0.25">
      <c r="A91" t="s">
        <v>538</v>
      </c>
      <c r="B91" t="s">
        <v>538</v>
      </c>
      <c r="C91">
        <v>10.356529603</v>
      </c>
      <c r="F91">
        <v>8</v>
      </c>
      <c r="G91">
        <v>566.91232575200002</v>
      </c>
      <c r="H91">
        <v>100.47069999999999</v>
      </c>
      <c r="I91" t="s">
        <v>137</v>
      </c>
      <c r="J91">
        <v>20250625</v>
      </c>
      <c r="K91" t="s">
        <v>44</v>
      </c>
      <c r="L91" t="s">
        <v>44</v>
      </c>
      <c r="M91" t="s">
        <v>1363</v>
      </c>
      <c r="N91" t="s">
        <v>44</v>
      </c>
      <c r="O91" t="s">
        <v>44</v>
      </c>
      <c r="P91" t="s">
        <v>536</v>
      </c>
      <c r="Q91" t="s">
        <v>1363</v>
      </c>
      <c r="R91" t="s">
        <v>590</v>
      </c>
      <c r="S91" t="s">
        <v>32</v>
      </c>
    </row>
    <row r="92" spans="1:19" x14ac:dyDescent="0.25">
      <c r="A92" t="s">
        <v>363</v>
      </c>
      <c r="B92" t="s">
        <v>363</v>
      </c>
      <c r="D92" s="38">
        <v>45945</v>
      </c>
      <c r="E92" s="38">
        <v>46579</v>
      </c>
      <c r="I92" t="s">
        <v>137</v>
      </c>
      <c r="J92">
        <v>20230629</v>
      </c>
      <c r="K92" t="s">
        <v>44</v>
      </c>
      <c r="L92" t="s">
        <v>44</v>
      </c>
      <c r="M92" t="s">
        <v>24</v>
      </c>
      <c r="N92" t="s">
        <v>44</v>
      </c>
      <c r="O92" t="s">
        <v>44</v>
      </c>
      <c r="P92" t="s">
        <v>361</v>
      </c>
      <c r="Q92" t="s">
        <v>24</v>
      </c>
      <c r="R92" t="s">
        <v>590</v>
      </c>
      <c r="S92" t="s">
        <v>24</v>
      </c>
    </row>
    <row r="93" spans="1:19" x14ac:dyDescent="0.25">
      <c r="A93" t="s">
        <v>366</v>
      </c>
      <c r="B93" t="s">
        <v>366</v>
      </c>
      <c r="D93" s="38">
        <v>45945</v>
      </c>
      <c r="E93" s="38">
        <v>46579</v>
      </c>
      <c r="I93" t="s">
        <v>137</v>
      </c>
      <c r="J93">
        <v>20230629</v>
      </c>
      <c r="K93" t="s">
        <v>44</v>
      </c>
      <c r="L93" t="s">
        <v>44</v>
      </c>
      <c r="M93" t="s">
        <v>777</v>
      </c>
      <c r="N93" t="s">
        <v>44</v>
      </c>
      <c r="O93" t="s">
        <v>44</v>
      </c>
      <c r="P93" t="s">
        <v>361</v>
      </c>
      <c r="Q93" t="s">
        <v>777</v>
      </c>
      <c r="R93" t="s">
        <v>590</v>
      </c>
      <c r="S93" t="s">
        <v>28</v>
      </c>
    </row>
    <row r="94" spans="1:19" x14ac:dyDescent="0.25">
      <c r="A94" t="s">
        <v>540</v>
      </c>
      <c r="B94" t="s">
        <v>540</v>
      </c>
      <c r="C94">
        <v>9.1238881680000006</v>
      </c>
      <c r="D94" s="38">
        <v>45945</v>
      </c>
      <c r="E94" s="38">
        <v>46579</v>
      </c>
      <c r="F94">
        <v>18.043504080000002</v>
      </c>
      <c r="G94">
        <v>193.19763137800001</v>
      </c>
      <c r="H94">
        <v>100.1232</v>
      </c>
      <c r="I94" t="s">
        <v>137</v>
      </c>
      <c r="J94">
        <v>20250711</v>
      </c>
      <c r="K94" t="s">
        <v>44</v>
      </c>
      <c r="L94" t="s">
        <v>44</v>
      </c>
      <c r="M94" t="s">
        <v>24</v>
      </c>
      <c r="N94" t="s">
        <v>44</v>
      </c>
      <c r="O94" t="s">
        <v>44</v>
      </c>
      <c r="P94" t="s">
        <v>361</v>
      </c>
      <c r="Q94" t="s">
        <v>24</v>
      </c>
      <c r="R94" t="s">
        <v>590</v>
      </c>
      <c r="S94" t="s">
        <v>24</v>
      </c>
    </row>
    <row r="95" spans="1:19" x14ac:dyDescent="0.25">
      <c r="A95" t="s">
        <v>542</v>
      </c>
      <c r="B95" t="s">
        <v>542</v>
      </c>
      <c r="C95">
        <v>9.6561344049999995</v>
      </c>
      <c r="D95" s="38">
        <v>45945</v>
      </c>
      <c r="E95" s="38">
        <v>46579</v>
      </c>
      <c r="F95">
        <v>12.046687305000001</v>
      </c>
      <c r="G95">
        <v>292.132163564</v>
      </c>
      <c r="H95">
        <v>100.19759999999999</v>
      </c>
      <c r="I95" t="s">
        <v>137</v>
      </c>
      <c r="J95">
        <v>20250711</v>
      </c>
      <c r="K95" t="s">
        <v>44</v>
      </c>
      <c r="L95" t="s">
        <v>44</v>
      </c>
      <c r="M95" t="s">
        <v>777</v>
      </c>
      <c r="N95" t="s">
        <v>44</v>
      </c>
      <c r="O95" t="s">
        <v>44</v>
      </c>
      <c r="P95" t="s">
        <v>361</v>
      </c>
      <c r="Q95" t="s">
        <v>777</v>
      </c>
      <c r="R95" t="s">
        <v>590</v>
      </c>
      <c r="S95" t="s">
        <v>28</v>
      </c>
    </row>
    <row r="96" spans="1:19" x14ac:dyDescent="0.25">
      <c r="A96" t="s">
        <v>221</v>
      </c>
      <c r="B96" t="s">
        <v>221</v>
      </c>
      <c r="D96" s="38">
        <v>45955</v>
      </c>
      <c r="I96" t="s">
        <v>138</v>
      </c>
      <c r="J96">
        <v>20190809</v>
      </c>
      <c r="K96" t="s">
        <v>44</v>
      </c>
      <c r="L96" t="s">
        <v>44</v>
      </c>
      <c r="M96" t="s">
        <v>44</v>
      </c>
      <c r="N96" t="s">
        <v>777</v>
      </c>
      <c r="O96" t="s">
        <v>28</v>
      </c>
      <c r="P96" t="s">
        <v>138</v>
      </c>
      <c r="Q96" t="s">
        <v>777</v>
      </c>
      <c r="R96" t="s">
        <v>656</v>
      </c>
      <c r="S96" t="s">
        <v>28</v>
      </c>
    </row>
    <row r="97" spans="1:19" x14ac:dyDescent="0.25">
      <c r="A97" t="s">
        <v>224</v>
      </c>
      <c r="B97" t="s">
        <v>224</v>
      </c>
      <c r="I97" t="s">
        <v>139</v>
      </c>
      <c r="J97">
        <v>20200813</v>
      </c>
      <c r="K97" t="s">
        <v>28</v>
      </c>
      <c r="L97" t="s">
        <v>44</v>
      </c>
      <c r="M97" t="s">
        <v>28</v>
      </c>
      <c r="N97" t="s">
        <v>44</v>
      </c>
      <c r="O97" t="s">
        <v>44</v>
      </c>
      <c r="P97" t="s">
        <v>139</v>
      </c>
      <c r="Q97" t="s">
        <v>28</v>
      </c>
      <c r="R97" t="s">
        <v>598</v>
      </c>
      <c r="S97" t="s">
        <v>28</v>
      </c>
    </row>
    <row r="98" spans="1:19" x14ac:dyDescent="0.25">
      <c r="A98" t="s">
        <v>545</v>
      </c>
      <c r="B98" t="s">
        <v>545</v>
      </c>
      <c r="C98">
        <v>9.6619287170000003</v>
      </c>
      <c r="D98" s="38">
        <v>46037</v>
      </c>
      <c r="E98" s="38">
        <v>46569</v>
      </c>
      <c r="F98">
        <v>12.105848362</v>
      </c>
      <c r="G98">
        <v>305.009156706</v>
      </c>
      <c r="H98">
        <v>100.2419</v>
      </c>
      <c r="I98" t="s">
        <v>140</v>
      </c>
      <c r="J98">
        <v>20250701</v>
      </c>
      <c r="K98" t="s">
        <v>44</v>
      </c>
      <c r="L98" t="s">
        <v>44</v>
      </c>
      <c r="M98" t="s">
        <v>777</v>
      </c>
      <c r="N98" t="s">
        <v>44</v>
      </c>
      <c r="O98" t="s">
        <v>44</v>
      </c>
      <c r="P98" t="s">
        <v>543</v>
      </c>
      <c r="Q98" t="s">
        <v>777</v>
      </c>
      <c r="R98" t="s">
        <v>590</v>
      </c>
      <c r="S98" t="s">
        <v>28</v>
      </c>
    </row>
    <row r="99" spans="1:19" x14ac:dyDescent="0.25">
      <c r="A99" t="s">
        <v>547</v>
      </c>
      <c r="B99" t="s">
        <v>547</v>
      </c>
      <c r="C99">
        <v>9.6053099940000006</v>
      </c>
      <c r="F99">
        <v>13</v>
      </c>
      <c r="G99">
        <v>340.87998396400002</v>
      </c>
      <c r="H99">
        <v>101.2026</v>
      </c>
      <c r="I99" t="s">
        <v>140</v>
      </c>
      <c r="J99">
        <v>20250606</v>
      </c>
      <c r="K99" t="s">
        <v>44</v>
      </c>
      <c r="L99" t="s">
        <v>44</v>
      </c>
      <c r="M99" t="s">
        <v>777</v>
      </c>
      <c r="N99" t="s">
        <v>44</v>
      </c>
      <c r="O99" t="s">
        <v>44</v>
      </c>
      <c r="P99" t="s">
        <v>543</v>
      </c>
      <c r="Q99" t="s">
        <v>777</v>
      </c>
      <c r="R99" t="s">
        <v>590</v>
      </c>
      <c r="S99" t="s">
        <v>28</v>
      </c>
    </row>
    <row r="100" spans="1:19" x14ac:dyDescent="0.25">
      <c r="A100" t="s">
        <v>550</v>
      </c>
      <c r="B100" t="s">
        <v>550</v>
      </c>
      <c r="C100">
        <v>9.6180592160000007</v>
      </c>
      <c r="F100">
        <v>12</v>
      </c>
      <c r="G100">
        <v>283.24785945399998</v>
      </c>
      <c r="H100">
        <v>100.3888</v>
      </c>
      <c r="I100" t="s">
        <v>141</v>
      </c>
      <c r="J100">
        <v>20250813</v>
      </c>
      <c r="K100" t="s">
        <v>777</v>
      </c>
      <c r="L100" t="s">
        <v>44</v>
      </c>
      <c r="M100" t="s">
        <v>44</v>
      </c>
      <c r="N100" t="s">
        <v>44</v>
      </c>
      <c r="O100" t="s">
        <v>44</v>
      </c>
      <c r="P100" t="s">
        <v>548</v>
      </c>
      <c r="Q100" t="s">
        <v>777</v>
      </c>
      <c r="R100" t="s">
        <v>598</v>
      </c>
      <c r="S100" t="s">
        <v>28</v>
      </c>
    </row>
    <row r="101" spans="1:19" x14ac:dyDescent="0.25">
      <c r="A101" t="s">
        <v>393</v>
      </c>
      <c r="B101" t="s">
        <v>393</v>
      </c>
      <c r="D101" s="38">
        <v>45947</v>
      </c>
      <c r="E101" s="38">
        <v>44213</v>
      </c>
      <c r="F101">
        <v>11.012563867000001</v>
      </c>
      <c r="I101" t="s">
        <v>142</v>
      </c>
      <c r="J101">
        <v>20181224</v>
      </c>
      <c r="K101" t="s">
        <v>777</v>
      </c>
      <c r="L101" t="s">
        <v>44</v>
      </c>
      <c r="M101" t="s">
        <v>44</v>
      </c>
      <c r="N101" t="s">
        <v>44</v>
      </c>
      <c r="O101" t="s">
        <v>44</v>
      </c>
      <c r="P101" t="s">
        <v>391</v>
      </c>
      <c r="Q101" t="s">
        <v>777</v>
      </c>
      <c r="R101" t="s">
        <v>598</v>
      </c>
      <c r="S101" t="s">
        <v>28</v>
      </c>
    </row>
    <row r="102" spans="1:19" x14ac:dyDescent="0.25">
      <c r="A102" t="s">
        <v>553</v>
      </c>
      <c r="B102" t="s">
        <v>553</v>
      </c>
      <c r="C102">
        <v>0</v>
      </c>
      <c r="D102" s="38">
        <v>45953</v>
      </c>
      <c r="E102" s="38">
        <v>45405</v>
      </c>
      <c r="G102">
        <v>292.62751577900002</v>
      </c>
      <c r="H102">
        <v>100.38890000000001</v>
      </c>
      <c r="I102" t="s">
        <v>143</v>
      </c>
      <c r="J102">
        <v>20250807</v>
      </c>
      <c r="K102" t="s">
        <v>44</v>
      </c>
      <c r="L102" t="s">
        <v>44</v>
      </c>
      <c r="M102" t="s">
        <v>777</v>
      </c>
      <c r="N102" t="s">
        <v>44</v>
      </c>
      <c r="O102" t="s">
        <v>44</v>
      </c>
      <c r="P102" t="s">
        <v>391</v>
      </c>
      <c r="Q102" t="s">
        <v>777</v>
      </c>
      <c r="R102" t="s">
        <v>590</v>
      </c>
      <c r="S102" t="s">
        <v>28</v>
      </c>
    </row>
    <row r="103" spans="1:19" x14ac:dyDescent="0.25">
      <c r="A103" t="s">
        <v>556</v>
      </c>
      <c r="B103" t="s">
        <v>556</v>
      </c>
      <c r="C103">
        <v>9.4874154780000008</v>
      </c>
      <c r="F103">
        <v>12</v>
      </c>
      <c r="G103">
        <v>327.71665896799999</v>
      </c>
      <c r="H103">
        <v>100.3888</v>
      </c>
      <c r="I103" t="s">
        <v>144</v>
      </c>
      <c r="J103">
        <v>20250826</v>
      </c>
      <c r="K103" t="s">
        <v>44</v>
      </c>
      <c r="L103" t="s">
        <v>44</v>
      </c>
      <c r="M103" t="s">
        <v>777</v>
      </c>
      <c r="N103" t="s">
        <v>44</v>
      </c>
      <c r="O103" t="s">
        <v>44</v>
      </c>
      <c r="P103" t="s">
        <v>144</v>
      </c>
      <c r="Q103" t="s">
        <v>777</v>
      </c>
      <c r="R103" t="s">
        <v>590</v>
      </c>
      <c r="S103" t="s">
        <v>28</v>
      </c>
    </row>
    <row r="104" spans="1:19" x14ac:dyDescent="0.25">
      <c r="A104" t="s">
        <v>370</v>
      </c>
      <c r="B104" t="s">
        <v>370</v>
      </c>
      <c r="D104" s="38">
        <v>45950</v>
      </c>
      <c r="E104" s="38">
        <v>46585</v>
      </c>
      <c r="I104" t="s">
        <v>104</v>
      </c>
      <c r="J104">
        <v>20210528</v>
      </c>
      <c r="K104" t="s">
        <v>777</v>
      </c>
      <c r="L104" t="s">
        <v>44</v>
      </c>
      <c r="M104" t="s">
        <v>44</v>
      </c>
      <c r="N104" t="s">
        <v>44</v>
      </c>
      <c r="O104" t="s">
        <v>44</v>
      </c>
      <c r="P104" t="s">
        <v>368</v>
      </c>
      <c r="Q104" t="s">
        <v>777</v>
      </c>
      <c r="R104" t="s">
        <v>598</v>
      </c>
      <c r="S104" t="s">
        <v>28</v>
      </c>
    </row>
    <row r="105" spans="1:19" x14ac:dyDescent="0.25">
      <c r="A105" t="s">
        <v>559</v>
      </c>
      <c r="B105" t="s">
        <v>559</v>
      </c>
      <c r="C105">
        <v>9.683052021</v>
      </c>
      <c r="D105" s="38">
        <v>45950</v>
      </c>
      <c r="E105" s="38">
        <v>46585</v>
      </c>
      <c r="F105">
        <v>12.346540840999999</v>
      </c>
      <c r="G105">
        <v>287.153396413</v>
      </c>
      <c r="H105">
        <v>100.1972</v>
      </c>
      <c r="I105" t="s">
        <v>104</v>
      </c>
      <c r="J105">
        <v>20250717</v>
      </c>
      <c r="K105" t="s">
        <v>44</v>
      </c>
      <c r="L105" t="s">
        <v>44</v>
      </c>
      <c r="M105" t="s">
        <v>777</v>
      </c>
      <c r="N105" t="s">
        <v>44</v>
      </c>
      <c r="O105" t="s">
        <v>44</v>
      </c>
      <c r="P105" t="s">
        <v>368</v>
      </c>
      <c r="Q105" t="s">
        <v>777</v>
      </c>
      <c r="R105" t="s">
        <v>590</v>
      </c>
      <c r="S105" t="s">
        <v>28</v>
      </c>
    </row>
    <row r="106" spans="1:19" x14ac:dyDescent="0.25">
      <c r="A106" t="s">
        <v>562</v>
      </c>
      <c r="B106" t="s">
        <v>562</v>
      </c>
      <c r="C106">
        <v>6.6238496140000001</v>
      </c>
      <c r="F106">
        <v>12</v>
      </c>
      <c r="G106">
        <v>293.61929138300002</v>
      </c>
      <c r="H106">
        <v>100.2135</v>
      </c>
      <c r="I106" t="s">
        <v>145</v>
      </c>
      <c r="J106">
        <v>20250611</v>
      </c>
      <c r="K106" t="s">
        <v>44</v>
      </c>
      <c r="L106" t="s">
        <v>44</v>
      </c>
      <c r="M106" t="s">
        <v>777</v>
      </c>
      <c r="N106" t="s">
        <v>44</v>
      </c>
      <c r="O106" t="s">
        <v>44</v>
      </c>
      <c r="P106" t="s">
        <v>560</v>
      </c>
      <c r="Q106" t="s">
        <v>777</v>
      </c>
      <c r="R106" t="s">
        <v>590</v>
      </c>
      <c r="S106" t="s">
        <v>28</v>
      </c>
    </row>
    <row r="107" spans="1:19" x14ac:dyDescent="0.25">
      <c r="A107" t="s">
        <v>372</v>
      </c>
      <c r="B107" t="s">
        <v>372</v>
      </c>
      <c r="C107">
        <v>5.3475149870000003</v>
      </c>
      <c r="D107" s="38">
        <v>45945</v>
      </c>
      <c r="E107" s="38">
        <v>45306</v>
      </c>
      <c r="F107">
        <v>4.5584747510000003</v>
      </c>
      <c r="G107">
        <v>917.90243091599996</v>
      </c>
      <c r="H107">
        <v>96.257000000000005</v>
      </c>
      <c r="I107" t="s">
        <v>146</v>
      </c>
      <c r="J107">
        <v>20211222</v>
      </c>
      <c r="K107" t="s">
        <v>1470</v>
      </c>
      <c r="L107" t="s">
        <v>44</v>
      </c>
      <c r="M107" t="s">
        <v>44</v>
      </c>
      <c r="N107" t="s">
        <v>44</v>
      </c>
      <c r="O107" t="s">
        <v>44</v>
      </c>
      <c r="P107" t="s">
        <v>86</v>
      </c>
      <c r="Q107" t="s">
        <v>1470</v>
      </c>
      <c r="R107" t="s">
        <v>598</v>
      </c>
      <c r="S107" t="s">
        <v>36</v>
      </c>
    </row>
    <row r="108" spans="1:19" x14ac:dyDescent="0.25">
      <c r="A108" t="s">
        <v>566</v>
      </c>
      <c r="B108" t="s">
        <v>566</v>
      </c>
      <c r="C108">
        <v>9.6650668999999994</v>
      </c>
      <c r="F108">
        <v>13</v>
      </c>
      <c r="G108">
        <v>301.35143908100002</v>
      </c>
      <c r="H108">
        <v>100.1416</v>
      </c>
      <c r="I108" t="s">
        <v>147</v>
      </c>
      <c r="J108">
        <v>20250627</v>
      </c>
      <c r="K108" t="s">
        <v>44</v>
      </c>
      <c r="L108" t="s">
        <v>44</v>
      </c>
      <c r="M108" t="s">
        <v>777</v>
      </c>
      <c r="N108" t="s">
        <v>44</v>
      </c>
      <c r="O108" t="s">
        <v>44</v>
      </c>
      <c r="P108" t="s">
        <v>564</v>
      </c>
      <c r="Q108" t="s">
        <v>777</v>
      </c>
      <c r="R108" t="s">
        <v>590</v>
      </c>
      <c r="S108" t="s">
        <v>28</v>
      </c>
    </row>
    <row r="109" spans="1:19" x14ac:dyDescent="0.25">
      <c r="A109" t="s">
        <v>375</v>
      </c>
      <c r="B109" t="s">
        <v>375</v>
      </c>
      <c r="D109" s="38">
        <v>45945</v>
      </c>
      <c r="E109" s="38">
        <v>46136</v>
      </c>
      <c r="I109" t="s">
        <v>148</v>
      </c>
      <c r="J109">
        <v>20211214</v>
      </c>
      <c r="K109" t="s">
        <v>44</v>
      </c>
      <c r="L109" t="s">
        <v>815</v>
      </c>
      <c r="M109" t="s">
        <v>44</v>
      </c>
      <c r="N109" t="s">
        <v>44</v>
      </c>
      <c r="O109" t="s">
        <v>44</v>
      </c>
      <c r="P109" t="s">
        <v>373</v>
      </c>
      <c r="Q109" t="s">
        <v>815</v>
      </c>
      <c r="R109" t="s">
        <v>572</v>
      </c>
      <c r="S109" t="s">
        <v>28</v>
      </c>
    </row>
    <row r="110" spans="1:19" x14ac:dyDescent="0.25">
      <c r="A110" t="s">
        <v>377</v>
      </c>
      <c r="B110" t="s">
        <v>377</v>
      </c>
      <c r="C110">
        <v>2.417924674</v>
      </c>
      <c r="D110" s="38">
        <v>45884</v>
      </c>
      <c r="F110">
        <v>34.419580644139998</v>
      </c>
      <c r="G110">
        <v>222.302738694</v>
      </c>
      <c r="H110">
        <v>95.078485000000001</v>
      </c>
      <c r="I110" t="s">
        <v>149</v>
      </c>
      <c r="J110">
        <v>20200303</v>
      </c>
      <c r="K110" t="s">
        <v>44</v>
      </c>
      <c r="L110" t="s">
        <v>44</v>
      </c>
      <c r="M110" t="s">
        <v>24</v>
      </c>
      <c r="N110" t="s">
        <v>24</v>
      </c>
      <c r="O110" t="s">
        <v>44</v>
      </c>
      <c r="P110" t="s">
        <v>149</v>
      </c>
      <c r="Q110" t="s">
        <v>24</v>
      </c>
      <c r="R110" t="s">
        <v>590</v>
      </c>
      <c r="S110" t="s">
        <v>24</v>
      </c>
    </row>
    <row r="111" spans="1:19" x14ac:dyDescent="0.25">
      <c r="A111" t="s">
        <v>379</v>
      </c>
      <c r="B111" t="s">
        <v>379</v>
      </c>
      <c r="C111">
        <v>2.4179179319999999</v>
      </c>
      <c r="D111" s="38">
        <v>45884</v>
      </c>
      <c r="F111">
        <v>25.307969374696999</v>
      </c>
      <c r="G111">
        <v>413.21853631599998</v>
      </c>
      <c r="H111">
        <v>93.206265000000002</v>
      </c>
      <c r="I111" t="s">
        <v>149</v>
      </c>
      <c r="J111">
        <v>20200303</v>
      </c>
      <c r="K111" t="s">
        <v>44</v>
      </c>
      <c r="L111" t="s">
        <v>44</v>
      </c>
      <c r="M111" t="s">
        <v>28</v>
      </c>
      <c r="N111" t="s">
        <v>28</v>
      </c>
      <c r="O111" t="s">
        <v>44</v>
      </c>
      <c r="P111" t="s">
        <v>149</v>
      </c>
      <c r="Q111" t="s">
        <v>28</v>
      </c>
      <c r="R111" t="s">
        <v>590</v>
      </c>
      <c r="S111" t="s">
        <v>28</v>
      </c>
    </row>
    <row r="112" spans="1:19" x14ac:dyDescent="0.25">
      <c r="A112" t="s">
        <v>1447</v>
      </c>
      <c r="B112" t="s">
        <v>1447</v>
      </c>
      <c r="C112">
        <v>6.127331216</v>
      </c>
      <c r="D112" s="38">
        <v>45950</v>
      </c>
      <c r="E112" s="38">
        <v>45036</v>
      </c>
      <c r="F112">
        <v>6.3218847589999996</v>
      </c>
      <c r="G112">
        <v>693.59441216899995</v>
      </c>
      <c r="H112">
        <v>100.3216</v>
      </c>
      <c r="I112" t="s">
        <v>150</v>
      </c>
      <c r="J112">
        <v>20210513</v>
      </c>
      <c r="K112" t="s">
        <v>44</v>
      </c>
      <c r="L112" t="s">
        <v>1386</v>
      </c>
      <c r="M112" t="s">
        <v>44</v>
      </c>
      <c r="N112" t="s">
        <v>44</v>
      </c>
      <c r="O112" t="s">
        <v>44</v>
      </c>
      <c r="P112" t="s">
        <v>1543</v>
      </c>
      <c r="Q112" t="s">
        <v>1386</v>
      </c>
      <c r="R112" t="s">
        <v>572</v>
      </c>
      <c r="S112" t="s">
        <v>32</v>
      </c>
    </row>
    <row r="113" spans="1:19" x14ac:dyDescent="0.25">
      <c r="A113" t="s">
        <v>1443</v>
      </c>
      <c r="B113" t="s">
        <v>1443</v>
      </c>
      <c r="C113">
        <v>6.8997015230000001</v>
      </c>
      <c r="D113" s="38">
        <v>45950</v>
      </c>
      <c r="E113" s="38">
        <v>45380</v>
      </c>
      <c r="F113">
        <v>7.7326083089999997</v>
      </c>
      <c r="G113">
        <v>667.11196739599995</v>
      </c>
      <c r="H113">
        <v>101.0147</v>
      </c>
      <c r="I113" t="s">
        <v>151</v>
      </c>
      <c r="J113">
        <v>20220329</v>
      </c>
      <c r="K113" t="s">
        <v>44</v>
      </c>
      <c r="L113" t="s">
        <v>1386</v>
      </c>
      <c r="M113" t="s">
        <v>44</v>
      </c>
      <c r="N113" t="s">
        <v>44</v>
      </c>
      <c r="O113" t="s">
        <v>44</v>
      </c>
      <c r="P113" t="s">
        <v>1544</v>
      </c>
      <c r="Q113" t="s">
        <v>1386</v>
      </c>
      <c r="R113" t="s">
        <v>572</v>
      </c>
      <c r="S113" t="s">
        <v>32</v>
      </c>
    </row>
    <row r="114" spans="1:19" x14ac:dyDescent="0.25">
      <c r="A114" t="s">
        <v>1449</v>
      </c>
      <c r="B114" t="s">
        <v>1449</v>
      </c>
      <c r="C114">
        <v>6.390432916</v>
      </c>
      <c r="D114" s="38">
        <v>45950</v>
      </c>
      <c r="E114" s="38">
        <v>45127</v>
      </c>
      <c r="F114">
        <v>8.0464289549999997</v>
      </c>
      <c r="G114">
        <v>704.16926622699998</v>
      </c>
      <c r="H114">
        <v>98.023200000000003</v>
      </c>
      <c r="I114" t="s">
        <v>152</v>
      </c>
      <c r="J114">
        <v>20210611</v>
      </c>
      <c r="K114" t="s">
        <v>44</v>
      </c>
      <c r="L114" t="s">
        <v>1386</v>
      </c>
      <c r="M114" t="s">
        <v>44</v>
      </c>
      <c r="N114" t="s">
        <v>44</v>
      </c>
      <c r="O114" t="s">
        <v>44</v>
      </c>
      <c r="P114" t="s">
        <v>1545</v>
      </c>
      <c r="Q114" t="s">
        <v>1386</v>
      </c>
      <c r="R114" t="s">
        <v>572</v>
      </c>
      <c r="S114" t="s">
        <v>32</v>
      </c>
    </row>
    <row r="115" spans="1:19" x14ac:dyDescent="0.25">
      <c r="A115" t="s">
        <v>1454</v>
      </c>
      <c r="B115" t="s">
        <v>1454</v>
      </c>
      <c r="C115">
        <v>6.8167817929999996</v>
      </c>
      <c r="D115" s="38">
        <v>45955</v>
      </c>
      <c r="E115" s="38">
        <v>45407</v>
      </c>
      <c r="F115">
        <v>6.5057205549999999</v>
      </c>
      <c r="G115">
        <v>826.48721801600004</v>
      </c>
      <c r="H115">
        <v>92.625</v>
      </c>
      <c r="I115" t="s">
        <v>153</v>
      </c>
      <c r="J115">
        <v>20220303</v>
      </c>
      <c r="K115" t="s">
        <v>44</v>
      </c>
      <c r="L115" t="s">
        <v>1386</v>
      </c>
      <c r="M115" t="s">
        <v>44</v>
      </c>
      <c r="N115" t="s">
        <v>44</v>
      </c>
      <c r="O115" t="s">
        <v>44</v>
      </c>
      <c r="P115" t="s">
        <v>1546</v>
      </c>
      <c r="Q115" t="s">
        <v>1386</v>
      </c>
      <c r="R115" t="s">
        <v>572</v>
      </c>
      <c r="S115" t="s">
        <v>32</v>
      </c>
    </row>
    <row r="116" spans="1:19" x14ac:dyDescent="0.25">
      <c r="A116" t="s">
        <v>1456</v>
      </c>
      <c r="B116" t="s">
        <v>1456</v>
      </c>
      <c r="C116">
        <v>6.3561493750000002</v>
      </c>
      <c r="D116" s="38">
        <v>45949</v>
      </c>
      <c r="E116" s="38">
        <v>45031</v>
      </c>
      <c r="F116">
        <v>5.5476459069999997</v>
      </c>
      <c r="G116">
        <v>727.81257737500005</v>
      </c>
      <c r="H116">
        <v>97.594899999999996</v>
      </c>
      <c r="I116" t="s">
        <v>143</v>
      </c>
      <c r="J116">
        <v>20210415</v>
      </c>
      <c r="K116" t="s">
        <v>44</v>
      </c>
      <c r="L116" t="s">
        <v>1386</v>
      </c>
      <c r="M116" t="s">
        <v>44</v>
      </c>
      <c r="N116" t="s">
        <v>44</v>
      </c>
      <c r="O116" t="s">
        <v>44</v>
      </c>
      <c r="P116" t="s">
        <v>391</v>
      </c>
      <c r="Q116" t="s">
        <v>1386</v>
      </c>
      <c r="R116" t="s">
        <v>572</v>
      </c>
      <c r="S116" t="s">
        <v>32</v>
      </c>
    </row>
    <row r="117" spans="1:19" x14ac:dyDescent="0.25">
      <c r="A117" t="s">
        <v>1458</v>
      </c>
      <c r="B117" t="s">
        <v>1458</v>
      </c>
      <c r="C117">
        <v>4.9032831850000003</v>
      </c>
      <c r="D117" s="38">
        <v>45889</v>
      </c>
      <c r="E117" s="38">
        <v>45158</v>
      </c>
      <c r="F117">
        <v>7.8240627390000004</v>
      </c>
      <c r="G117">
        <v>875.33804093599997</v>
      </c>
      <c r="H117">
        <v>98.802800000000005</v>
      </c>
      <c r="I117" t="s">
        <v>146</v>
      </c>
      <c r="J117">
        <v>20210914</v>
      </c>
      <c r="K117" t="s">
        <v>1363</v>
      </c>
      <c r="L117" t="s">
        <v>44</v>
      </c>
      <c r="M117" t="s">
        <v>44</v>
      </c>
      <c r="N117" t="s">
        <v>44</v>
      </c>
      <c r="O117" t="s">
        <v>44</v>
      </c>
      <c r="P117" t="s">
        <v>1547</v>
      </c>
      <c r="Q117" t="s">
        <v>1363</v>
      </c>
      <c r="R117" t="s">
        <v>598</v>
      </c>
      <c r="S117" t="s">
        <v>32</v>
      </c>
    </row>
    <row r="118" spans="1:19" x14ac:dyDescent="0.25">
      <c r="A118" t="s">
        <v>1476</v>
      </c>
      <c r="B118" t="s">
        <v>1476</v>
      </c>
      <c r="C118">
        <v>5.022739734</v>
      </c>
      <c r="D118" s="38">
        <v>45950</v>
      </c>
      <c r="E118" s="38">
        <v>45575</v>
      </c>
      <c r="F118">
        <v>3.6431031429999998</v>
      </c>
      <c r="G118">
        <v>1506.946677116</v>
      </c>
      <c r="H118">
        <v>66.677199999999999</v>
      </c>
      <c r="I118" t="s">
        <v>154</v>
      </c>
      <c r="J118">
        <v>20181121</v>
      </c>
      <c r="K118" t="s">
        <v>44</v>
      </c>
      <c r="L118" t="s">
        <v>1478</v>
      </c>
      <c r="M118" t="s">
        <v>44</v>
      </c>
      <c r="N118" t="s">
        <v>44</v>
      </c>
      <c r="O118" t="s">
        <v>44</v>
      </c>
      <c r="P118" t="s">
        <v>762</v>
      </c>
      <c r="Q118" t="s">
        <v>1478</v>
      </c>
      <c r="R118" t="s">
        <v>572</v>
      </c>
      <c r="S118" t="s">
        <v>40</v>
      </c>
    </row>
    <row r="119" spans="1:19" x14ac:dyDescent="0.25">
      <c r="A119" t="s">
        <v>1461</v>
      </c>
      <c r="B119" t="s">
        <v>1461</v>
      </c>
      <c r="C119">
        <v>6.8478590910000001</v>
      </c>
      <c r="D119" s="38">
        <v>45945</v>
      </c>
      <c r="E119" s="38">
        <v>46136</v>
      </c>
      <c r="F119">
        <v>5.9491004859999999</v>
      </c>
      <c r="G119">
        <v>788.10827068499998</v>
      </c>
      <c r="H119">
        <v>97.507300000000001</v>
      </c>
      <c r="I119" t="s">
        <v>148</v>
      </c>
      <c r="J119">
        <v>20211214</v>
      </c>
      <c r="K119" t="s">
        <v>44</v>
      </c>
      <c r="L119" t="s">
        <v>1386</v>
      </c>
      <c r="M119" t="s">
        <v>44</v>
      </c>
      <c r="N119" t="s">
        <v>44</v>
      </c>
      <c r="O119" t="s">
        <v>44</v>
      </c>
      <c r="P119" t="s">
        <v>373</v>
      </c>
      <c r="Q119" t="s">
        <v>1386</v>
      </c>
      <c r="R119" t="s">
        <v>572</v>
      </c>
      <c r="S119" t="s">
        <v>32</v>
      </c>
    </row>
    <row r="120" spans="1:19" x14ac:dyDescent="0.25">
      <c r="A120" t="s">
        <v>1463</v>
      </c>
      <c r="B120" t="s">
        <v>1463</v>
      </c>
      <c r="C120">
        <v>6.6361026689999996</v>
      </c>
      <c r="D120" s="38">
        <v>45950</v>
      </c>
      <c r="E120" s="38">
        <v>45092</v>
      </c>
      <c r="F120">
        <v>5.6226602740000002</v>
      </c>
      <c r="G120">
        <v>796.522677176</v>
      </c>
      <c r="H120">
        <v>94.015100000000004</v>
      </c>
      <c r="I120" t="s">
        <v>154</v>
      </c>
      <c r="J120">
        <v>20210615</v>
      </c>
      <c r="K120" t="s">
        <v>44</v>
      </c>
      <c r="L120" t="s">
        <v>1386</v>
      </c>
      <c r="M120" t="s">
        <v>44</v>
      </c>
      <c r="N120" t="s">
        <v>44</v>
      </c>
      <c r="O120" t="s">
        <v>44</v>
      </c>
      <c r="P120" t="s">
        <v>762</v>
      </c>
      <c r="Q120" t="s">
        <v>1386</v>
      </c>
      <c r="R120" t="s">
        <v>572</v>
      </c>
      <c r="S120" t="s">
        <v>32</v>
      </c>
    </row>
    <row r="121" spans="1:19" x14ac:dyDescent="0.25">
      <c r="A121" t="s">
        <v>1465</v>
      </c>
      <c r="B121" t="s">
        <v>1465</v>
      </c>
      <c r="C121">
        <v>6.7222222220000001</v>
      </c>
      <c r="D121" s="38">
        <v>45950</v>
      </c>
      <c r="E121" s="38">
        <v>46121</v>
      </c>
      <c r="F121">
        <v>8.0761304850000002</v>
      </c>
      <c r="G121">
        <v>575.13020204700001</v>
      </c>
      <c r="H121">
        <v>97.527900000000002</v>
      </c>
      <c r="I121" t="s">
        <v>154</v>
      </c>
      <c r="J121">
        <v>20211217</v>
      </c>
      <c r="K121" t="s">
        <v>44</v>
      </c>
      <c r="L121" t="s">
        <v>1467</v>
      </c>
      <c r="M121" t="s">
        <v>44</v>
      </c>
      <c r="N121" t="s">
        <v>44</v>
      </c>
      <c r="O121" t="s">
        <v>44</v>
      </c>
      <c r="P121" t="s">
        <v>762</v>
      </c>
      <c r="Q121" t="s">
        <v>1467</v>
      </c>
      <c r="R121" t="s">
        <v>572</v>
      </c>
      <c r="S121" t="s">
        <v>32</v>
      </c>
    </row>
    <row r="122" spans="1:19" x14ac:dyDescent="0.25">
      <c r="A122" t="s">
        <v>900</v>
      </c>
      <c r="B122" t="s">
        <v>900</v>
      </c>
      <c r="C122">
        <v>6.0971576990000003</v>
      </c>
      <c r="D122" s="38">
        <v>45945</v>
      </c>
      <c r="E122" s="38">
        <v>45214</v>
      </c>
      <c r="F122">
        <v>12.741485473999999</v>
      </c>
      <c r="G122">
        <v>353.72934695999999</v>
      </c>
      <c r="H122">
        <v>100.3593</v>
      </c>
      <c r="I122" t="s">
        <v>155</v>
      </c>
      <c r="J122">
        <v>20210914</v>
      </c>
      <c r="K122" t="s">
        <v>777</v>
      </c>
      <c r="L122" t="s">
        <v>44</v>
      </c>
      <c r="M122" t="s">
        <v>44</v>
      </c>
      <c r="N122" t="s">
        <v>44</v>
      </c>
      <c r="O122" t="s">
        <v>44</v>
      </c>
      <c r="P122" t="s">
        <v>1548</v>
      </c>
      <c r="Q122" t="s">
        <v>777</v>
      </c>
      <c r="R122" t="s">
        <v>598</v>
      </c>
      <c r="S122" t="s">
        <v>28</v>
      </c>
    </row>
    <row r="123" spans="1:19" x14ac:dyDescent="0.25">
      <c r="A123" t="s">
        <v>894</v>
      </c>
      <c r="B123" t="s">
        <v>894</v>
      </c>
      <c r="C123">
        <v>8.2262426130000001</v>
      </c>
      <c r="D123" s="38">
        <v>45945</v>
      </c>
      <c r="E123" s="38">
        <v>46256</v>
      </c>
      <c r="F123">
        <v>12.294817003</v>
      </c>
      <c r="G123">
        <v>297.03343017100002</v>
      </c>
      <c r="H123">
        <v>100.50020000000001</v>
      </c>
      <c r="I123" t="s">
        <v>156</v>
      </c>
      <c r="J123">
        <v>20240822</v>
      </c>
      <c r="K123" t="s">
        <v>777</v>
      </c>
      <c r="L123" t="s">
        <v>44</v>
      </c>
      <c r="M123" t="s">
        <v>44</v>
      </c>
      <c r="N123" t="s">
        <v>44</v>
      </c>
      <c r="O123" t="s">
        <v>44</v>
      </c>
      <c r="P123" t="s">
        <v>1548</v>
      </c>
      <c r="Q123" t="s">
        <v>777</v>
      </c>
      <c r="R123" t="s">
        <v>598</v>
      </c>
      <c r="S123" t="s">
        <v>28</v>
      </c>
    </row>
    <row r="124" spans="1:19" x14ac:dyDescent="0.25">
      <c r="A124" t="s">
        <v>646</v>
      </c>
      <c r="B124" t="s">
        <v>646</v>
      </c>
      <c r="C124">
        <v>8.6746584640000002</v>
      </c>
      <c r="D124" s="38">
        <v>45955</v>
      </c>
      <c r="E124" s="38">
        <v>46412</v>
      </c>
      <c r="F124">
        <v>18.228025176999999</v>
      </c>
      <c r="G124">
        <v>184.31276813599999</v>
      </c>
      <c r="H124">
        <v>100.389</v>
      </c>
      <c r="I124" t="s">
        <v>156</v>
      </c>
      <c r="J124">
        <v>20241204</v>
      </c>
      <c r="K124" t="s">
        <v>44</v>
      </c>
      <c r="L124" t="s">
        <v>44</v>
      </c>
      <c r="M124" t="s">
        <v>615</v>
      </c>
      <c r="N124" t="s">
        <v>44</v>
      </c>
      <c r="O124" t="s">
        <v>44</v>
      </c>
      <c r="P124" t="s">
        <v>1548</v>
      </c>
      <c r="Q124" t="s">
        <v>615</v>
      </c>
      <c r="R124" t="s">
        <v>590</v>
      </c>
      <c r="S124" t="s">
        <v>24</v>
      </c>
    </row>
    <row r="125" spans="1:19" x14ac:dyDescent="0.25">
      <c r="A125" t="s">
        <v>908</v>
      </c>
      <c r="B125" t="s">
        <v>908</v>
      </c>
      <c r="C125">
        <v>9.1957404359999995</v>
      </c>
      <c r="D125" s="38">
        <v>45955</v>
      </c>
      <c r="E125" s="38">
        <v>46412</v>
      </c>
      <c r="F125">
        <v>12.244709946</v>
      </c>
      <c r="G125">
        <v>284.97664206899998</v>
      </c>
      <c r="H125">
        <v>100.6908</v>
      </c>
      <c r="I125" t="s">
        <v>156</v>
      </c>
      <c r="J125">
        <v>20241204</v>
      </c>
      <c r="K125" t="s">
        <v>44</v>
      </c>
      <c r="L125" t="s">
        <v>44</v>
      </c>
      <c r="M125" t="s">
        <v>28</v>
      </c>
      <c r="N125" t="s">
        <v>44</v>
      </c>
      <c r="O125" t="s">
        <v>44</v>
      </c>
      <c r="P125" t="s">
        <v>1548</v>
      </c>
      <c r="Q125" t="s">
        <v>28</v>
      </c>
      <c r="R125" t="s">
        <v>590</v>
      </c>
      <c r="S125" t="s">
        <v>28</v>
      </c>
    </row>
    <row r="126" spans="1:19" x14ac:dyDescent="0.25">
      <c r="A126" t="s">
        <v>883</v>
      </c>
      <c r="B126" t="s">
        <v>883</v>
      </c>
      <c r="C126">
        <v>8.8606200590000004</v>
      </c>
      <c r="D126" s="38">
        <v>45945</v>
      </c>
      <c r="E126" s="38">
        <v>46194</v>
      </c>
      <c r="F126">
        <v>12.264243928000001</v>
      </c>
      <c r="G126">
        <v>315.64964186899999</v>
      </c>
      <c r="H126">
        <v>100.2825</v>
      </c>
      <c r="I126" t="s">
        <v>77</v>
      </c>
      <c r="J126">
        <v>20240621</v>
      </c>
      <c r="K126" t="s">
        <v>44</v>
      </c>
      <c r="L126" t="s">
        <v>44</v>
      </c>
      <c r="M126" t="s">
        <v>777</v>
      </c>
      <c r="N126" t="s">
        <v>44</v>
      </c>
      <c r="O126" t="s">
        <v>44</v>
      </c>
      <c r="P126" t="s">
        <v>447</v>
      </c>
      <c r="Q126" t="s">
        <v>777</v>
      </c>
      <c r="R126" t="s">
        <v>590</v>
      </c>
      <c r="S126" t="s">
        <v>28</v>
      </c>
    </row>
    <row r="127" spans="1:19" x14ac:dyDescent="0.25">
      <c r="A127" t="s">
        <v>879</v>
      </c>
      <c r="B127" t="s">
        <v>879</v>
      </c>
      <c r="C127">
        <v>9.0704570459999996</v>
      </c>
      <c r="D127" s="38">
        <v>45949</v>
      </c>
      <c r="E127" s="38">
        <v>46269</v>
      </c>
      <c r="F127">
        <v>12.235358856</v>
      </c>
      <c r="G127">
        <v>309.500057997</v>
      </c>
      <c r="H127">
        <v>100.3673</v>
      </c>
      <c r="I127" t="s">
        <v>77</v>
      </c>
      <c r="J127">
        <v>20240904</v>
      </c>
      <c r="K127" t="s">
        <v>44</v>
      </c>
      <c r="L127" t="s">
        <v>44</v>
      </c>
      <c r="M127" t="s">
        <v>777</v>
      </c>
      <c r="N127" t="s">
        <v>44</v>
      </c>
      <c r="O127" t="s">
        <v>44</v>
      </c>
      <c r="P127" t="s">
        <v>447</v>
      </c>
      <c r="Q127" t="s">
        <v>777</v>
      </c>
      <c r="R127" t="s">
        <v>590</v>
      </c>
      <c r="S127" t="s">
        <v>28</v>
      </c>
    </row>
    <row r="128" spans="1:19" x14ac:dyDescent="0.25">
      <c r="A128" t="s">
        <v>634</v>
      </c>
      <c r="B128" t="s">
        <v>634</v>
      </c>
      <c r="C128">
        <v>7.4787454569999996</v>
      </c>
      <c r="D128" s="38">
        <v>45950</v>
      </c>
      <c r="E128" s="38">
        <v>46497</v>
      </c>
      <c r="F128">
        <v>23.226536855999999</v>
      </c>
      <c r="G128">
        <v>292.40153467599998</v>
      </c>
      <c r="H128">
        <v>100.1463</v>
      </c>
      <c r="I128" t="s">
        <v>146</v>
      </c>
      <c r="J128">
        <v>20250421</v>
      </c>
      <c r="K128" t="s">
        <v>24</v>
      </c>
      <c r="L128" t="s">
        <v>44</v>
      </c>
      <c r="M128" t="s">
        <v>44</v>
      </c>
      <c r="N128" t="s">
        <v>44</v>
      </c>
      <c r="O128" t="s">
        <v>44</v>
      </c>
      <c r="P128" t="s">
        <v>86</v>
      </c>
      <c r="Q128" t="s">
        <v>24</v>
      </c>
      <c r="R128" t="s">
        <v>598</v>
      </c>
      <c r="S128" t="s">
        <v>24</v>
      </c>
    </row>
    <row r="129" spans="1:19" x14ac:dyDescent="0.25">
      <c r="A129" t="s">
        <v>640</v>
      </c>
      <c r="B129" t="s">
        <v>640</v>
      </c>
      <c r="C129">
        <v>3.1294006460000001</v>
      </c>
      <c r="D129" s="38">
        <v>45950</v>
      </c>
      <c r="E129" s="38">
        <v>45585</v>
      </c>
      <c r="F129">
        <v>28.709955553</v>
      </c>
      <c r="G129">
        <v>398.828619817</v>
      </c>
      <c r="H129">
        <v>100.29519999999999</v>
      </c>
      <c r="I129" t="s">
        <v>146</v>
      </c>
      <c r="J129">
        <v>20231024</v>
      </c>
      <c r="K129" t="s">
        <v>24</v>
      </c>
      <c r="L129" t="s">
        <v>44</v>
      </c>
      <c r="M129" t="s">
        <v>44</v>
      </c>
      <c r="N129" t="s">
        <v>44</v>
      </c>
      <c r="O129" t="s">
        <v>44</v>
      </c>
      <c r="P129" t="s">
        <v>86</v>
      </c>
      <c r="Q129" t="s">
        <v>24</v>
      </c>
      <c r="R129" t="s">
        <v>598</v>
      </c>
      <c r="S129" t="s">
        <v>24</v>
      </c>
    </row>
    <row r="130" spans="1:19" x14ac:dyDescent="0.25">
      <c r="A130" t="s">
        <v>638</v>
      </c>
      <c r="B130" t="s">
        <v>638</v>
      </c>
      <c r="C130">
        <v>8.2323538490000008</v>
      </c>
      <c r="D130" s="38">
        <v>45945</v>
      </c>
      <c r="E130" s="38">
        <v>46367</v>
      </c>
      <c r="F130">
        <v>23.064157009999999</v>
      </c>
      <c r="G130">
        <v>254.042459791</v>
      </c>
      <c r="H130">
        <v>98.751300000000001</v>
      </c>
      <c r="I130" t="s">
        <v>146</v>
      </c>
      <c r="J130">
        <v>20241219</v>
      </c>
      <c r="K130" t="s">
        <v>24</v>
      </c>
      <c r="L130" t="s">
        <v>44</v>
      </c>
      <c r="M130" t="s">
        <v>44</v>
      </c>
      <c r="N130" t="s">
        <v>44</v>
      </c>
      <c r="O130" t="s">
        <v>44</v>
      </c>
      <c r="P130" t="s">
        <v>86</v>
      </c>
      <c r="Q130" t="s">
        <v>24</v>
      </c>
      <c r="R130" t="s">
        <v>598</v>
      </c>
      <c r="S130" t="s">
        <v>24</v>
      </c>
    </row>
    <row r="131" spans="1:19" x14ac:dyDescent="0.25">
      <c r="A131" t="s">
        <v>887</v>
      </c>
      <c r="B131" t="s">
        <v>887</v>
      </c>
      <c r="C131">
        <v>8.7429402809999992</v>
      </c>
      <c r="D131" s="38">
        <v>45945</v>
      </c>
      <c r="E131" s="38">
        <v>46367</v>
      </c>
      <c r="F131">
        <v>16.950050281999999</v>
      </c>
      <c r="G131">
        <v>412.36305529800001</v>
      </c>
      <c r="H131">
        <v>98.556299999999993</v>
      </c>
      <c r="I131" t="s">
        <v>146</v>
      </c>
      <c r="J131">
        <v>20241219</v>
      </c>
      <c r="K131" t="s">
        <v>777</v>
      </c>
      <c r="L131" t="s">
        <v>44</v>
      </c>
      <c r="M131" t="s">
        <v>44</v>
      </c>
      <c r="N131" t="s">
        <v>44</v>
      </c>
      <c r="O131" t="s">
        <v>44</v>
      </c>
      <c r="P131" t="s">
        <v>86</v>
      </c>
      <c r="Q131" t="s">
        <v>777</v>
      </c>
      <c r="R131" t="s">
        <v>598</v>
      </c>
      <c r="S131" t="s">
        <v>28</v>
      </c>
    </row>
    <row r="132" spans="1:19" x14ac:dyDescent="0.25">
      <c r="A132" t="s">
        <v>889</v>
      </c>
      <c r="B132" t="s">
        <v>889</v>
      </c>
      <c r="C132">
        <v>6.035785229</v>
      </c>
      <c r="D132" s="38">
        <v>45949</v>
      </c>
      <c r="E132" s="38">
        <v>45035</v>
      </c>
      <c r="F132">
        <v>12.503135475000001</v>
      </c>
      <c r="G132">
        <v>329.24995327099998</v>
      </c>
      <c r="H132">
        <v>99.838300000000004</v>
      </c>
      <c r="I132" t="s">
        <v>153</v>
      </c>
      <c r="J132">
        <v>20210604</v>
      </c>
      <c r="K132" t="s">
        <v>777</v>
      </c>
      <c r="L132" t="s">
        <v>44</v>
      </c>
      <c r="M132" t="s">
        <v>44</v>
      </c>
      <c r="N132" t="s">
        <v>44</v>
      </c>
      <c r="O132" t="s">
        <v>44</v>
      </c>
      <c r="P132" t="s">
        <v>1549</v>
      </c>
      <c r="Q132" t="s">
        <v>777</v>
      </c>
      <c r="R132" t="s">
        <v>598</v>
      </c>
      <c r="S132" t="s">
        <v>28</v>
      </c>
    </row>
    <row r="133" spans="1:19" x14ac:dyDescent="0.25">
      <c r="A133" t="s">
        <v>925</v>
      </c>
      <c r="B133" t="s">
        <v>925</v>
      </c>
      <c r="C133">
        <v>6.1117025890000001</v>
      </c>
      <c r="D133" s="38">
        <v>45947</v>
      </c>
      <c r="E133" s="38">
        <v>45124</v>
      </c>
      <c r="F133">
        <v>10.992361961</v>
      </c>
      <c r="G133">
        <v>372.16351089400001</v>
      </c>
      <c r="H133">
        <v>100.1884</v>
      </c>
      <c r="I133" t="s">
        <v>157</v>
      </c>
      <c r="J133">
        <v>20210719</v>
      </c>
      <c r="K133" t="s">
        <v>44</v>
      </c>
      <c r="L133" t="s">
        <v>815</v>
      </c>
      <c r="M133" t="s">
        <v>44</v>
      </c>
      <c r="N133" t="s">
        <v>44</v>
      </c>
      <c r="O133" t="s">
        <v>44</v>
      </c>
      <c r="P133" t="s">
        <v>78</v>
      </c>
      <c r="Q133" t="s">
        <v>815</v>
      </c>
      <c r="R133" t="s">
        <v>572</v>
      </c>
      <c r="S133" t="s">
        <v>28</v>
      </c>
    </row>
    <row r="134" spans="1:19" x14ac:dyDescent="0.25">
      <c r="A134" t="s">
        <v>922</v>
      </c>
      <c r="B134" t="s">
        <v>922</v>
      </c>
      <c r="C134">
        <v>5.9506012559999997</v>
      </c>
      <c r="D134" s="38">
        <v>45947</v>
      </c>
      <c r="E134" s="38">
        <v>45124</v>
      </c>
      <c r="F134">
        <v>11.314653119999999</v>
      </c>
      <c r="G134">
        <v>356.928036394</v>
      </c>
      <c r="H134">
        <v>100.19799999999999</v>
      </c>
      <c r="I134" t="s">
        <v>157</v>
      </c>
      <c r="J134">
        <v>20210624</v>
      </c>
      <c r="K134" t="s">
        <v>44</v>
      </c>
      <c r="L134" t="s">
        <v>815</v>
      </c>
      <c r="M134" t="s">
        <v>44</v>
      </c>
      <c r="N134" t="s">
        <v>44</v>
      </c>
      <c r="O134" t="s">
        <v>44</v>
      </c>
      <c r="P134" t="s">
        <v>78</v>
      </c>
      <c r="Q134" t="s">
        <v>815</v>
      </c>
      <c r="R134" t="s">
        <v>572</v>
      </c>
      <c r="S134" t="s">
        <v>28</v>
      </c>
    </row>
    <row r="135" spans="1:19" x14ac:dyDescent="0.25">
      <c r="A135" t="s">
        <v>927</v>
      </c>
      <c r="B135" t="s">
        <v>927</v>
      </c>
      <c r="C135">
        <v>3.2730261939999998</v>
      </c>
      <c r="D135" s="38">
        <v>45950</v>
      </c>
      <c r="E135" s="38">
        <v>44032</v>
      </c>
      <c r="F135">
        <v>16.656365398999998</v>
      </c>
      <c r="G135">
        <v>298.87447825700002</v>
      </c>
      <c r="H135">
        <v>100.20059999999999</v>
      </c>
      <c r="I135" t="s">
        <v>78</v>
      </c>
      <c r="J135">
        <v>20180712</v>
      </c>
      <c r="K135" t="s">
        <v>44</v>
      </c>
      <c r="L135" t="s">
        <v>931</v>
      </c>
      <c r="M135" t="s">
        <v>44</v>
      </c>
      <c r="N135" t="s">
        <v>44</v>
      </c>
      <c r="O135" t="s">
        <v>44</v>
      </c>
      <c r="P135" t="s">
        <v>78</v>
      </c>
      <c r="Q135" t="s">
        <v>931</v>
      </c>
      <c r="R135" t="s">
        <v>572</v>
      </c>
      <c r="S135" t="s">
        <v>28</v>
      </c>
    </row>
    <row r="136" spans="1:19" x14ac:dyDescent="0.25">
      <c r="A136" t="s">
        <v>935</v>
      </c>
      <c r="B136" t="s">
        <v>935</v>
      </c>
      <c r="C136">
        <v>9.2648249749999998</v>
      </c>
      <c r="D136" s="38">
        <v>45945</v>
      </c>
      <c r="E136" s="38">
        <v>46492</v>
      </c>
      <c r="F136">
        <v>14.268389124</v>
      </c>
      <c r="G136">
        <v>372.106840686</v>
      </c>
      <c r="H136">
        <v>100.17140000000001</v>
      </c>
      <c r="I136" t="s">
        <v>78</v>
      </c>
      <c r="J136">
        <v>20250430</v>
      </c>
      <c r="K136" t="s">
        <v>44</v>
      </c>
      <c r="L136" t="s">
        <v>44</v>
      </c>
      <c r="M136" t="s">
        <v>795</v>
      </c>
      <c r="N136" t="s">
        <v>44</v>
      </c>
      <c r="O136" t="s">
        <v>44</v>
      </c>
      <c r="P136" t="s">
        <v>256</v>
      </c>
      <c r="Q136" t="s">
        <v>795</v>
      </c>
      <c r="R136" t="s">
        <v>590</v>
      </c>
      <c r="S136" t="s">
        <v>28</v>
      </c>
    </row>
    <row r="137" spans="1:19" x14ac:dyDescent="0.25">
      <c r="A137" t="s">
        <v>937</v>
      </c>
      <c r="B137" t="s">
        <v>937</v>
      </c>
      <c r="C137">
        <v>9.5529454479999991</v>
      </c>
      <c r="D137" s="38">
        <v>45945</v>
      </c>
      <c r="E137" s="38">
        <v>46492</v>
      </c>
      <c r="F137">
        <v>12.523850530000001</v>
      </c>
      <c r="G137">
        <v>567.33707069499997</v>
      </c>
      <c r="H137">
        <v>102.0389</v>
      </c>
      <c r="I137" t="s">
        <v>78</v>
      </c>
      <c r="J137">
        <v>20250430</v>
      </c>
      <c r="K137" t="s">
        <v>44</v>
      </c>
      <c r="L137" t="s">
        <v>44</v>
      </c>
      <c r="M137" t="s">
        <v>777</v>
      </c>
      <c r="N137" t="s">
        <v>44</v>
      </c>
      <c r="O137" t="s">
        <v>44</v>
      </c>
      <c r="P137" t="s">
        <v>256</v>
      </c>
      <c r="Q137" t="s">
        <v>777</v>
      </c>
      <c r="R137" t="s">
        <v>590</v>
      </c>
      <c r="S137" t="s">
        <v>28</v>
      </c>
    </row>
    <row r="138" spans="1:19" x14ac:dyDescent="0.25">
      <c r="A138" t="s">
        <v>942</v>
      </c>
      <c r="B138" t="s">
        <v>942</v>
      </c>
      <c r="C138">
        <v>6.4179559399999997</v>
      </c>
      <c r="D138" s="38">
        <v>45950</v>
      </c>
      <c r="E138" s="38">
        <v>45275</v>
      </c>
      <c r="F138">
        <v>10.835524230000001</v>
      </c>
      <c r="G138">
        <v>395.84944849200002</v>
      </c>
      <c r="H138">
        <v>99.19</v>
      </c>
      <c r="I138" t="s">
        <v>158</v>
      </c>
      <c r="J138">
        <v>20211215</v>
      </c>
      <c r="K138" t="s">
        <v>777</v>
      </c>
      <c r="L138" t="s">
        <v>44</v>
      </c>
      <c r="M138" t="s">
        <v>44</v>
      </c>
      <c r="N138" t="s">
        <v>44</v>
      </c>
      <c r="O138" t="s">
        <v>44</v>
      </c>
      <c r="P138" t="s">
        <v>1550</v>
      </c>
      <c r="Q138" t="s">
        <v>777</v>
      </c>
      <c r="R138" t="s">
        <v>598</v>
      </c>
      <c r="S138" t="s">
        <v>28</v>
      </c>
    </row>
    <row r="139" spans="1:19" x14ac:dyDescent="0.25">
      <c r="A139" t="s">
        <v>970</v>
      </c>
      <c r="B139" t="s">
        <v>970</v>
      </c>
      <c r="C139">
        <v>8.1791668590000004</v>
      </c>
      <c r="D139" s="38">
        <v>45947</v>
      </c>
      <c r="E139" s="38">
        <v>46220</v>
      </c>
      <c r="F139">
        <v>11.440713245</v>
      </c>
      <c r="G139">
        <v>314.99478045900003</v>
      </c>
      <c r="H139">
        <v>100.6246</v>
      </c>
      <c r="I139" t="s">
        <v>159</v>
      </c>
      <c r="J139">
        <v>20240712</v>
      </c>
      <c r="K139" t="s">
        <v>44</v>
      </c>
      <c r="L139" t="s">
        <v>44</v>
      </c>
      <c r="M139" t="s">
        <v>777</v>
      </c>
      <c r="N139" t="s">
        <v>44</v>
      </c>
      <c r="O139" t="s">
        <v>44</v>
      </c>
      <c r="P139" t="s">
        <v>971</v>
      </c>
      <c r="Q139" t="s">
        <v>777</v>
      </c>
      <c r="R139" t="s">
        <v>590</v>
      </c>
      <c r="S139" t="s">
        <v>28</v>
      </c>
    </row>
    <row r="140" spans="1:19" x14ac:dyDescent="0.25">
      <c r="A140" t="s">
        <v>973</v>
      </c>
      <c r="B140" t="s">
        <v>973</v>
      </c>
      <c r="C140">
        <v>8.4638888889999997</v>
      </c>
      <c r="D140" s="38">
        <v>45947</v>
      </c>
      <c r="E140" s="38">
        <v>46220</v>
      </c>
      <c r="F140">
        <v>10.434357714000001</v>
      </c>
      <c r="G140">
        <v>473.93626813899999</v>
      </c>
      <c r="H140">
        <v>100.96680000000001</v>
      </c>
      <c r="I140" t="s">
        <v>159</v>
      </c>
      <c r="J140">
        <v>20240712</v>
      </c>
      <c r="K140" t="s">
        <v>44</v>
      </c>
      <c r="L140" t="s">
        <v>44</v>
      </c>
      <c r="M140" t="s">
        <v>777</v>
      </c>
      <c r="N140" t="s">
        <v>44</v>
      </c>
      <c r="O140" t="s">
        <v>44</v>
      </c>
      <c r="P140" t="s">
        <v>971</v>
      </c>
      <c r="Q140" t="s">
        <v>777</v>
      </c>
      <c r="R140" t="s">
        <v>590</v>
      </c>
      <c r="S140" t="s">
        <v>28</v>
      </c>
    </row>
    <row r="141" spans="1:19" x14ac:dyDescent="0.25">
      <c r="A141" t="s">
        <v>975</v>
      </c>
      <c r="B141" t="s">
        <v>975</v>
      </c>
      <c r="C141">
        <v>8.4375997060000003</v>
      </c>
      <c r="D141" s="38">
        <v>45946</v>
      </c>
      <c r="E141" s="38">
        <v>46184</v>
      </c>
      <c r="F141">
        <v>11.708914276</v>
      </c>
      <c r="G141">
        <v>316.69259890799998</v>
      </c>
      <c r="H141">
        <v>100.85209999999999</v>
      </c>
      <c r="I141" t="s">
        <v>159</v>
      </c>
      <c r="J141">
        <v>20240611</v>
      </c>
      <c r="K141" t="s">
        <v>44</v>
      </c>
      <c r="L141" t="s">
        <v>44</v>
      </c>
      <c r="M141" t="s">
        <v>777</v>
      </c>
      <c r="N141" t="s">
        <v>44</v>
      </c>
      <c r="O141" t="s">
        <v>44</v>
      </c>
      <c r="P141" t="s">
        <v>971</v>
      </c>
      <c r="Q141" t="s">
        <v>777</v>
      </c>
      <c r="R141" t="s">
        <v>590</v>
      </c>
      <c r="S141" t="s">
        <v>28</v>
      </c>
    </row>
    <row r="142" spans="1:19" x14ac:dyDescent="0.25">
      <c r="A142" t="s">
        <v>977</v>
      </c>
      <c r="B142" t="s">
        <v>977</v>
      </c>
      <c r="C142">
        <v>6.2533369509999996</v>
      </c>
      <c r="D142" s="38">
        <v>45950</v>
      </c>
      <c r="E142" s="38">
        <v>45219</v>
      </c>
      <c r="F142">
        <v>11.756399758000001</v>
      </c>
      <c r="G142">
        <v>326.49885373199999</v>
      </c>
      <c r="H142">
        <v>100.4868</v>
      </c>
      <c r="I142" t="s">
        <v>159</v>
      </c>
      <c r="J142">
        <v>20211115</v>
      </c>
      <c r="K142" t="s">
        <v>777</v>
      </c>
      <c r="L142" t="s">
        <v>44</v>
      </c>
      <c r="M142" t="s">
        <v>44</v>
      </c>
      <c r="N142" t="s">
        <v>44</v>
      </c>
      <c r="O142" t="s">
        <v>44</v>
      </c>
      <c r="P142" t="s">
        <v>971</v>
      </c>
      <c r="Q142" t="s">
        <v>777</v>
      </c>
      <c r="R142" t="s">
        <v>598</v>
      </c>
      <c r="S142" t="s">
        <v>28</v>
      </c>
    </row>
    <row r="143" spans="1:19" x14ac:dyDescent="0.25">
      <c r="A143" t="s">
        <v>979</v>
      </c>
      <c r="B143" t="s">
        <v>979</v>
      </c>
      <c r="C143">
        <v>9.1877874459999997</v>
      </c>
      <c r="D143" s="38">
        <v>45945</v>
      </c>
      <c r="E143" s="38">
        <v>46374</v>
      </c>
      <c r="F143">
        <v>12.180015922999999</v>
      </c>
      <c r="G143">
        <v>274.52920969100001</v>
      </c>
      <c r="H143">
        <v>100.3753</v>
      </c>
      <c r="I143" t="s">
        <v>159</v>
      </c>
      <c r="J143">
        <v>20241218</v>
      </c>
      <c r="K143" t="s">
        <v>44</v>
      </c>
      <c r="L143" t="s">
        <v>44</v>
      </c>
      <c r="M143" t="s">
        <v>777</v>
      </c>
      <c r="N143" t="s">
        <v>44</v>
      </c>
      <c r="O143" t="s">
        <v>44</v>
      </c>
      <c r="P143" t="s">
        <v>971</v>
      </c>
      <c r="Q143" t="s">
        <v>777</v>
      </c>
      <c r="R143" t="s">
        <v>590</v>
      </c>
      <c r="S143" t="s">
        <v>28</v>
      </c>
    </row>
    <row r="144" spans="1:19" x14ac:dyDescent="0.25">
      <c r="A144" t="s">
        <v>1387</v>
      </c>
      <c r="B144" t="s">
        <v>1387</v>
      </c>
      <c r="C144">
        <v>6.3180231850000004</v>
      </c>
      <c r="D144" s="38">
        <v>45947</v>
      </c>
      <c r="E144" s="38">
        <v>45124</v>
      </c>
      <c r="F144">
        <v>6.321329328</v>
      </c>
      <c r="G144">
        <v>751.29930590499998</v>
      </c>
      <c r="H144">
        <v>99.283000000000001</v>
      </c>
      <c r="I144" t="s">
        <v>157</v>
      </c>
      <c r="J144">
        <v>20210624</v>
      </c>
      <c r="K144" t="s">
        <v>44</v>
      </c>
      <c r="L144" t="s">
        <v>1386</v>
      </c>
      <c r="M144" t="s">
        <v>44</v>
      </c>
      <c r="N144" t="s">
        <v>44</v>
      </c>
      <c r="O144" t="s">
        <v>44</v>
      </c>
      <c r="P144" t="s">
        <v>78</v>
      </c>
      <c r="Q144" t="s">
        <v>1386</v>
      </c>
      <c r="R144" t="s">
        <v>572</v>
      </c>
      <c r="S144" t="s">
        <v>32</v>
      </c>
    </row>
    <row r="145" spans="1:19" x14ac:dyDescent="0.25">
      <c r="A145" t="s">
        <v>1416</v>
      </c>
      <c r="B145" t="s">
        <v>1416</v>
      </c>
      <c r="C145">
        <v>6.6054041970000004</v>
      </c>
      <c r="D145" s="38">
        <v>45950</v>
      </c>
      <c r="E145" s="38">
        <v>46009</v>
      </c>
      <c r="F145">
        <v>6.3022472110000001</v>
      </c>
      <c r="G145">
        <v>796.68831746900003</v>
      </c>
      <c r="H145">
        <v>98.888599999999997</v>
      </c>
      <c r="I145" t="s">
        <v>106</v>
      </c>
      <c r="J145">
        <v>20211027</v>
      </c>
      <c r="K145" t="s">
        <v>44</v>
      </c>
      <c r="L145" t="s">
        <v>1386</v>
      </c>
      <c r="M145" t="s">
        <v>44</v>
      </c>
      <c r="N145" t="s">
        <v>44</v>
      </c>
      <c r="O145" t="s">
        <v>44</v>
      </c>
      <c r="P145" t="s">
        <v>297</v>
      </c>
      <c r="Q145" t="s">
        <v>1386</v>
      </c>
      <c r="R145" t="s">
        <v>572</v>
      </c>
      <c r="S145" t="s">
        <v>32</v>
      </c>
    </row>
    <row r="146" spans="1:19" x14ac:dyDescent="0.25">
      <c r="A146" t="s">
        <v>1445</v>
      </c>
      <c r="B146" t="s">
        <v>1445</v>
      </c>
      <c r="C146">
        <v>9.8226872210000007</v>
      </c>
      <c r="D146" s="38">
        <v>45945</v>
      </c>
      <c r="E146" s="38">
        <v>46402</v>
      </c>
      <c r="F146">
        <v>7.6208922860000001</v>
      </c>
      <c r="G146">
        <v>482.39801136300002</v>
      </c>
      <c r="H146">
        <v>100.497</v>
      </c>
      <c r="I146" t="s">
        <v>151</v>
      </c>
      <c r="J146">
        <v>20250211</v>
      </c>
      <c r="K146" t="s">
        <v>44</v>
      </c>
      <c r="L146" t="s">
        <v>44</v>
      </c>
      <c r="M146" t="s">
        <v>1363</v>
      </c>
      <c r="N146" t="s">
        <v>44</v>
      </c>
      <c r="O146" t="s">
        <v>44</v>
      </c>
      <c r="P146" t="s">
        <v>1551</v>
      </c>
      <c r="Q146" t="s">
        <v>1363</v>
      </c>
      <c r="R146" t="s">
        <v>590</v>
      </c>
      <c r="S146" t="s">
        <v>32</v>
      </c>
    </row>
    <row r="147" spans="1:19" x14ac:dyDescent="0.25">
      <c r="A147" t="s">
        <v>981</v>
      </c>
      <c r="B147" t="s">
        <v>981</v>
      </c>
      <c r="C147">
        <v>8.8329233269999996</v>
      </c>
      <c r="D147" s="38">
        <v>45955</v>
      </c>
      <c r="E147" s="38">
        <v>46194</v>
      </c>
      <c r="F147">
        <v>11.715350948999999</v>
      </c>
      <c r="G147">
        <v>306.8425105</v>
      </c>
      <c r="H147">
        <v>100.538</v>
      </c>
      <c r="I147" t="s">
        <v>159</v>
      </c>
      <c r="J147">
        <v>20240621</v>
      </c>
      <c r="K147" t="s">
        <v>44</v>
      </c>
      <c r="L147" t="s">
        <v>44</v>
      </c>
      <c r="M147" t="s">
        <v>777</v>
      </c>
      <c r="N147" t="s">
        <v>44</v>
      </c>
      <c r="O147" t="s">
        <v>44</v>
      </c>
      <c r="P147" t="s">
        <v>971</v>
      </c>
      <c r="Q147" t="s">
        <v>777</v>
      </c>
      <c r="R147" t="s">
        <v>590</v>
      </c>
      <c r="S147" t="s">
        <v>28</v>
      </c>
    </row>
    <row r="148" spans="1:19" x14ac:dyDescent="0.25">
      <c r="A148" t="s">
        <v>983</v>
      </c>
      <c r="B148" t="s">
        <v>983</v>
      </c>
      <c r="C148">
        <v>6.0957346230000002</v>
      </c>
      <c r="D148" s="38">
        <v>45945</v>
      </c>
      <c r="E148" s="38">
        <v>45081</v>
      </c>
      <c r="F148">
        <v>11.543052691</v>
      </c>
      <c r="G148">
        <v>316.75026647700003</v>
      </c>
      <c r="H148">
        <v>100.4653</v>
      </c>
      <c r="I148" t="s">
        <v>159</v>
      </c>
      <c r="J148">
        <v>20210604</v>
      </c>
      <c r="K148" t="s">
        <v>777</v>
      </c>
      <c r="L148" t="s">
        <v>44</v>
      </c>
      <c r="M148" t="s">
        <v>44</v>
      </c>
      <c r="N148" t="s">
        <v>44</v>
      </c>
      <c r="O148" t="s">
        <v>44</v>
      </c>
      <c r="P148" t="s">
        <v>971</v>
      </c>
      <c r="Q148" t="s">
        <v>777</v>
      </c>
      <c r="R148" t="s">
        <v>598</v>
      </c>
      <c r="S148" t="s">
        <v>28</v>
      </c>
    </row>
    <row r="149" spans="1:19" x14ac:dyDescent="0.25">
      <c r="A149" t="s">
        <v>986</v>
      </c>
      <c r="B149" t="s">
        <v>986</v>
      </c>
      <c r="C149">
        <v>6.3854852409999996</v>
      </c>
      <c r="D149" s="38">
        <v>45953</v>
      </c>
      <c r="E149" s="38">
        <v>45260</v>
      </c>
      <c r="F149">
        <v>11.648184853</v>
      </c>
      <c r="G149">
        <v>316.45862257300001</v>
      </c>
      <c r="H149">
        <v>100.499</v>
      </c>
      <c r="I149" t="s">
        <v>159</v>
      </c>
      <c r="J149">
        <v>20211130</v>
      </c>
      <c r="K149" t="s">
        <v>777</v>
      </c>
      <c r="L149" t="s">
        <v>44</v>
      </c>
      <c r="M149" t="s">
        <v>44</v>
      </c>
      <c r="N149" t="s">
        <v>44</v>
      </c>
      <c r="O149" t="s">
        <v>44</v>
      </c>
      <c r="P149" t="s">
        <v>971</v>
      </c>
      <c r="Q149" t="s">
        <v>777</v>
      </c>
      <c r="R149" t="s">
        <v>598</v>
      </c>
      <c r="S149" t="s">
        <v>28</v>
      </c>
    </row>
    <row r="150" spans="1:19" x14ac:dyDescent="0.25">
      <c r="A150" t="s">
        <v>990</v>
      </c>
      <c r="B150" t="s">
        <v>990</v>
      </c>
      <c r="C150">
        <v>8.5114692129999998</v>
      </c>
      <c r="D150" s="38">
        <v>45948</v>
      </c>
      <c r="E150" s="38">
        <v>46130</v>
      </c>
      <c r="F150">
        <v>12.087895805</v>
      </c>
      <c r="G150">
        <v>355.17960926400002</v>
      </c>
      <c r="H150">
        <v>100.9395</v>
      </c>
      <c r="I150" t="s">
        <v>159</v>
      </c>
      <c r="J150">
        <v>20240404</v>
      </c>
      <c r="K150" t="s">
        <v>44</v>
      </c>
      <c r="L150" t="s">
        <v>44</v>
      </c>
      <c r="M150" t="s">
        <v>777</v>
      </c>
      <c r="N150" t="s">
        <v>44</v>
      </c>
      <c r="O150" t="s">
        <v>44</v>
      </c>
      <c r="P150" t="s">
        <v>971</v>
      </c>
      <c r="Q150" t="s">
        <v>777</v>
      </c>
      <c r="R150" t="s">
        <v>590</v>
      </c>
      <c r="S150" t="s">
        <v>28</v>
      </c>
    </row>
    <row r="151" spans="1:19" x14ac:dyDescent="0.25">
      <c r="A151" t="s">
        <v>988</v>
      </c>
      <c r="B151" t="s">
        <v>988</v>
      </c>
      <c r="C151">
        <v>8.3143012810000005</v>
      </c>
      <c r="D151" s="38">
        <v>45946</v>
      </c>
      <c r="E151" s="38">
        <v>46038</v>
      </c>
      <c r="F151">
        <v>12.120484361000001</v>
      </c>
      <c r="G151">
        <v>379.06448589600001</v>
      </c>
      <c r="H151">
        <v>100.6716</v>
      </c>
      <c r="I151" t="s">
        <v>159</v>
      </c>
      <c r="J151">
        <v>20240209</v>
      </c>
      <c r="K151" t="s">
        <v>44</v>
      </c>
      <c r="L151" t="s">
        <v>44</v>
      </c>
      <c r="M151" t="s">
        <v>777</v>
      </c>
      <c r="N151" t="s">
        <v>44</v>
      </c>
      <c r="O151" t="s">
        <v>44</v>
      </c>
      <c r="P151" t="s">
        <v>971</v>
      </c>
      <c r="Q151" t="s">
        <v>777</v>
      </c>
      <c r="R151" t="s">
        <v>590</v>
      </c>
      <c r="S151" t="s">
        <v>28</v>
      </c>
    </row>
    <row r="152" spans="1:19" x14ac:dyDescent="0.25">
      <c r="A152" t="s">
        <v>917</v>
      </c>
      <c r="B152" t="s">
        <v>917</v>
      </c>
      <c r="C152">
        <v>6.0435283450000004</v>
      </c>
      <c r="D152" s="38">
        <v>45945</v>
      </c>
      <c r="E152" s="38">
        <v>46218</v>
      </c>
      <c r="F152">
        <v>11.41797012</v>
      </c>
      <c r="H152">
        <v>100.19110000000001</v>
      </c>
      <c r="I152" t="s">
        <v>160</v>
      </c>
      <c r="J152">
        <v>20210629</v>
      </c>
      <c r="K152" t="s">
        <v>777</v>
      </c>
      <c r="L152" t="s">
        <v>44</v>
      </c>
      <c r="M152" t="s">
        <v>44</v>
      </c>
      <c r="N152" t="s">
        <v>44</v>
      </c>
      <c r="O152" t="s">
        <v>44</v>
      </c>
      <c r="P152" t="s">
        <v>1552</v>
      </c>
      <c r="Q152" t="s">
        <v>777</v>
      </c>
      <c r="R152" t="s">
        <v>598</v>
      </c>
      <c r="S152" t="s">
        <v>28</v>
      </c>
    </row>
    <row r="153" spans="1:19" x14ac:dyDescent="0.25">
      <c r="A153" t="s">
        <v>915</v>
      </c>
      <c r="B153" t="s">
        <v>915</v>
      </c>
      <c r="C153">
        <v>5.7851950810000004</v>
      </c>
      <c r="D153" s="38">
        <v>45945</v>
      </c>
      <c r="E153" s="38">
        <v>45031</v>
      </c>
      <c r="F153">
        <v>11.381811727000001</v>
      </c>
      <c r="G153">
        <v>356.83061153199998</v>
      </c>
      <c r="H153">
        <v>100.1951</v>
      </c>
      <c r="I153" t="s">
        <v>160</v>
      </c>
      <c r="J153">
        <v>20210506</v>
      </c>
      <c r="K153" t="s">
        <v>44</v>
      </c>
      <c r="L153" t="s">
        <v>815</v>
      </c>
      <c r="M153" t="s">
        <v>44</v>
      </c>
      <c r="N153" t="s">
        <v>44</v>
      </c>
      <c r="O153" t="s">
        <v>44</v>
      </c>
      <c r="P153" t="s">
        <v>1553</v>
      </c>
      <c r="Q153" t="s">
        <v>815</v>
      </c>
      <c r="R153" t="s">
        <v>572</v>
      </c>
      <c r="S153" t="s">
        <v>28</v>
      </c>
    </row>
    <row r="154" spans="1:19" x14ac:dyDescent="0.25">
      <c r="A154" t="s">
        <v>920</v>
      </c>
      <c r="B154" t="s">
        <v>920</v>
      </c>
      <c r="C154">
        <v>6.5239566910000004</v>
      </c>
      <c r="D154" s="38">
        <v>45945</v>
      </c>
      <c r="E154" s="38">
        <v>45397</v>
      </c>
      <c r="F154">
        <v>11.481531401</v>
      </c>
      <c r="G154">
        <v>316.94661846100001</v>
      </c>
      <c r="H154">
        <v>100.1525</v>
      </c>
      <c r="I154" t="s">
        <v>160</v>
      </c>
      <c r="J154">
        <v>20220311</v>
      </c>
      <c r="K154" t="s">
        <v>777</v>
      </c>
      <c r="L154" t="s">
        <v>44</v>
      </c>
      <c r="M154" t="s">
        <v>44</v>
      </c>
      <c r="N154" t="s">
        <v>44</v>
      </c>
      <c r="O154" t="s">
        <v>44</v>
      </c>
      <c r="P154" t="s">
        <v>1553</v>
      </c>
      <c r="Q154" t="s">
        <v>777</v>
      </c>
      <c r="R154" t="s">
        <v>598</v>
      </c>
      <c r="S154" t="s">
        <v>28</v>
      </c>
    </row>
    <row r="155" spans="1:19" x14ac:dyDescent="0.25">
      <c r="A155" t="s">
        <v>910</v>
      </c>
      <c r="B155" t="s">
        <v>910</v>
      </c>
      <c r="C155">
        <v>8.7783984359999998</v>
      </c>
      <c r="D155" s="38">
        <v>45945</v>
      </c>
      <c r="E155" s="38">
        <v>46218</v>
      </c>
      <c r="F155">
        <v>12.774802819</v>
      </c>
      <c r="G155">
        <v>351.20959434399998</v>
      </c>
      <c r="H155">
        <v>100.89579999999999</v>
      </c>
      <c r="I155" t="s">
        <v>160</v>
      </c>
      <c r="J155">
        <v>20240715</v>
      </c>
      <c r="K155" t="s">
        <v>28</v>
      </c>
      <c r="L155" t="s">
        <v>44</v>
      </c>
      <c r="M155" t="s">
        <v>44</v>
      </c>
      <c r="N155" t="s">
        <v>44</v>
      </c>
      <c r="O155" t="s">
        <v>44</v>
      </c>
      <c r="P155" t="s">
        <v>1553</v>
      </c>
      <c r="Q155" t="s">
        <v>28</v>
      </c>
      <c r="R155" t="s">
        <v>598</v>
      </c>
      <c r="S155" t="s">
        <v>28</v>
      </c>
    </row>
    <row r="156" spans="1:19" x14ac:dyDescent="0.25">
      <c r="A156" t="s">
        <v>913</v>
      </c>
      <c r="B156" t="s">
        <v>913</v>
      </c>
      <c r="C156">
        <v>9.1088963750000005</v>
      </c>
      <c r="D156" s="38">
        <v>45945</v>
      </c>
      <c r="E156" s="38">
        <v>46218</v>
      </c>
      <c r="F156">
        <v>10.769625872000001</v>
      </c>
      <c r="G156">
        <v>500.24838342300001</v>
      </c>
      <c r="H156">
        <v>100.922</v>
      </c>
      <c r="I156" t="s">
        <v>160</v>
      </c>
      <c r="J156">
        <v>20240715</v>
      </c>
      <c r="K156" t="s">
        <v>777</v>
      </c>
      <c r="L156" t="s">
        <v>44</v>
      </c>
      <c r="M156" t="s">
        <v>44</v>
      </c>
      <c r="N156" t="s">
        <v>44</v>
      </c>
      <c r="O156" t="s">
        <v>44</v>
      </c>
      <c r="P156" t="s">
        <v>1553</v>
      </c>
      <c r="Q156" t="s">
        <v>777</v>
      </c>
      <c r="R156" t="s">
        <v>598</v>
      </c>
      <c r="S156" t="s">
        <v>28</v>
      </c>
    </row>
    <row r="157" spans="1:19" x14ac:dyDescent="0.25">
      <c r="A157" t="s">
        <v>658</v>
      </c>
      <c r="B157" t="s">
        <v>658</v>
      </c>
      <c r="C157">
        <v>8.2162902980000005</v>
      </c>
      <c r="D157" s="38">
        <v>45950</v>
      </c>
      <c r="E157" s="38">
        <v>46171</v>
      </c>
      <c r="F157">
        <v>18.030044478000001</v>
      </c>
      <c r="G157">
        <v>220.09591254200001</v>
      </c>
      <c r="H157">
        <v>100.64409999999999</v>
      </c>
      <c r="I157" t="s">
        <v>104</v>
      </c>
      <c r="J157">
        <v>20240529</v>
      </c>
      <c r="K157" t="s">
        <v>24</v>
      </c>
      <c r="L157" t="s">
        <v>44</v>
      </c>
      <c r="M157" t="s">
        <v>44</v>
      </c>
      <c r="N157" t="s">
        <v>44</v>
      </c>
      <c r="O157" t="s">
        <v>44</v>
      </c>
      <c r="P157" t="s">
        <v>659</v>
      </c>
      <c r="Q157" t="s">
        <v>24</v>
      </c>
      <c r="R157" t="s">
        <v>598</v>
      </c>
      <c r="S157" t="s">
        <v>24</v>
      </c>
    </row>
    <row r="158" spans="1:19" x14ac:dyDescent="0.25">
      <c r="A158" t="s">
        <v>996</v>
      </c>
      <c r="B158" t="s">
        <v>996</v>
      </c>
      <c r="C158">
        <v>8.8070333250000008</v>
      </c>
      <c r="D158" s="38">
        <v>45950</v>
      </c>
      <c r="E158" s="38">
        <v>46171</v>
      </c>
      <c r="F158">
        <v>12.032242854</v>
      </c>
      <c r="G158">
        <v>313.43340656599997</v>
      </c>
      <c r="H158">
        <v>100.76349999999999</v>
      </c>
      <c r="I158" t="s">
        <v>104</v>
      </c>
      <c r="J158">
        <v>20240529</v>
      </c>
      <c r="K158" t="s">
        <v>777</v>
      </c>
      <c r="L158" t="s">
        <v>44</v>
      </c>
      <c r="M158" t="s">
        <v>44</v>
      </c>
      <c r="N158" t="s">
        <v>44</v>
      </c>
      <c r="O158" t="s">
        <v>44</v>
      </c>
      <c r="P158" t="s">
        <v>659</v>
      </c>
      <c r="Q158" t="s">
        <v>777</v>
      </c>
      <c r="R158" t="s">
        <v>598</v>
      </c>
      <c r="S158" t="s">
        <v>28</v>
      </c>
    </row>
    <row r="159" spans="1:19" x14ac:dyDescent="0.25">
      <c r="A159" t="s">
        <v>945</v>
      </c>
      <c r="B159" t="s">
        <v>945</v>
      </c>
      <c r="C159">
        <v>5.7513620699999999</v>
      </c>
      <c r="D159" s="38">
        <v>45950</v>
      </c>
      <c r="E159" s="38">
        <v>46002</v>
      </c>
      <c r="F159">
        <v>12.347343806</v>
      </c>
      <c r="G159">
        <v>280.77000808499997</v>
      </c>
      <c r="H159">
        <v>100.1968</v>
      </c>
      <c r="I159" t="s">
        <v>79</v>
      </c>
      <c r="J159">
        <v>20241212</v>
      </c>
      <c r="K159" t="s">
        <v>44</v>
      </c>
      <c r="L159" t="s">
        <v>815</v>
      </c>
      <c r="M159" t="s">
        <v>44</v>
      </c>
      <c r="N159" t="s">
        <v>44</v>
      </c>
      <c r="O159" t="s">
        <v>44</v>
      </c>
      <c r="P159" t="s">
        <v>260</v>
      </c>
      <c r="Q159" t="s">
        <v>815</v>
      </c>
      <c r="R159" t="s">
        <v>572</v>
      </c>
      <c r="S159" t="s">
        <v>28</v>
      </c>
    </row>
    <row r="160" spans="1:19" x14ac:dyDescent="0.25">
      <c r="A160" t="s">
        <v>966</v>
      </c>
      <c r="B160" t="s">
        <v>966</v>
      </c>
      <c r="C160">
        <v>6.2373314479999999</v>
      </c>
      <c r="D160" s="38">
        <v>45945</v>
      </c>
      <c r="E160" s="38">
        <v>45198</v>
      </c>
      <c r="F160">
        <v>11.364339883</v>
      </c>
      <c r="G160">
        <v>336.90264866699999</v>
      </c>
      <c r="H160">
        <v>100.4648</v>
      </c>
      <c r="I160" t="s">
        <v>79</v>
      </c>
      <c r="J160">
        <v>20210929</v>
      </c>
      <c r="K160" t="s">
        <v>777</v>
      </c>
      <c r="L160" t="s">
        <v>44</v>
      </c>
      <c r="M160" t="s">
        <v>44</v>
      </c>
      <c r="N160" t="s">
        <v>44</v>
      </c>
      <c r="O160" t="s">
        <v>44</v>
      </c>
      <c r="P160" t="s">
        <v>260</v>
      </c>
      <c r="Q160" t="s">
        <v>777</v>
      </c>
      <c r="R160" t="s">
        <v>598</v>
      </c>
      <c r="S160" t="s">
        <v>28</v>
      </c>
    </row>
    <row r="161" spans="1:19" x14ac:dyDescent="0.25">
      <c r="A161" t="s">
        <v>962</v>
      </c>
      <c r="B161" t="s">
        <v>962</v>
      </c>
      <c r="C161">
        <v>9.2116972350000008</v>
      </c>
      <c r="D161" s="38">
        <v>45945</v>
      </c>
      <c r="E161" s="38">
        <v>46402</v>
      </c>
      <c r="F161">
        <v>11.999701872999999</v>
      </c>
      <c r="G161">
        <v>277.36573066400001</v>
      </c>
      <c r="H161">
        <v>100.1765</v>
      </c>
      <c r="I161" t="s">
        <v>79</v>
      </c>
      <c r="J161">
        <v>20250106</v>
      </c>
      <c r="K161" t="s">
        <v>44</v>
      </c>
      <c r="L161" t="s">
        <v>44</v>
      </c>
      <c r="M161" t="s">
        <v>777</v>
      </c>
      <c r="N161" t="s">
        <v>44</v>
      </c>
      <c r="O161" t="s">
        <v>44</v>
      </c>
      <c r="P161" t="s">
        <v>260</v>
      </c>
      <c r="Q161" t="s">
        <v>777</v>
      </c>
      <c r="R161" t="s">
        <v>590</v>
      </c>
      <c r="S161" t="s">
        <v>28</v>
      </c>
    </row>
    <row r="162" spans="1:19" x14ac:dyDescent="0.25">
      <c r="A162" t="s">
        <v>948</v>
      </c>
      <c r="B162" t="s">
        <v>948</v>
      </c>
      <c r="C162">
        <v>8.9596891700000008</v>
      </c>
      <c r="D162" s="38">
        <v>45951</v>
      </c>
      <c r="E162" s="38">
        <v>46316</v>
      </c>
      <c r="F162">
        <v>13.206590641</v>
      </c>
      <c r="G162">
        <v>315.30647880200002</v>
      </c>
      <c r="H162">
        <v>100.30800000000001</v>
      </c>
      <c r="I162" t="s">
        <v>79</v>
      </c>
      <c r="J162">
        <v>20240905</v>
      </c>
      <c r="K162" t="s">
        <v>44</v>
      </c>
      <c r="L162" t="s">
        <v>44</v>
      </c>
      <c r="M162" t="s">
        <v>777</v>
      </c>
      <c r="N162" t="s">
        <v>44</v>
      </c>
      <c r="O162" t="s">
        <v>44</v>
      </c>
      <c r="P162" t="s">
        <v>260</v>
      </c>
      <c r="Q162" t="s">
        <v>777</v>
      </c>
      <c r="R162" t="s">
        <v>590</v>
      </c>
      <c r="S162" t="s">
        <v>28</v>
      </c>
    </row>
    <row r="163" spans="1:19" x14ac:dyDescent="0.25">
      <c r="A163" t="s">
        <v>956</v>
      </c>
      <c r="B163" t="s">
        <v>956</v>
      </c>
      <c r="C163">
        <v>6.3997852760000002</v>
      </c>
      <c r="D163" s="38">
        <v>45955</v>
      </c>
      <c r="E163" s="38">
        <v>45253</v>
      </c>
      <c r="F163">
        <v>11.091065208</v>
      </c>
      <c r="G163">
        <v>337.13663002499999</v>
      </c>
      <c r="H163">
        <v>100.4601</v>
      </c>
      <c r="I163" t="s">
        <v>79</v>
      </c>
      <c r="J163">
        <v>20211123</v>
      </c>
      <c r="K163" t="s">
        <v>777</v>
      </c>
      <c r="L163" t="s">
        <v>44</v>
      </c>
      <c r="M163" t="s">
        <v>44</v>
      </c>
      <c r="N163" t="s">
        <v>44</v>
      </c>
      <c r="O163" t="s">
        <v>44</v>
      </c>
      <c r="P163" t="s">
        <v>260</v>
      </c>
      <c r="Q163" t="s">
        <v>777</v>
      </c>
      <c r="R163" t="s">
        <v>598</v>
      </c>
      <c r="S163" t="s">
        <v>28</v>
      </c>
    </row>
    <row r="164" spans="1:19" x14ac:dyDescent="0.25">
      <c r="A164" t="s">
        <v>950</v>
      </c>
      <c r="B164" t="s">
        <v>950</v>
      </c>
      <c r="C164">
        <v>9.0108154599999999</v>
      </c>
      <c r="D164" s="38">
        <v>45947</v>
      </c>
      <c r="E164" s="38">
        <v>46270</v>
      </c>
      <c r="F164">
        <v>13.000684429</v>
      </c>
      <c r="G164">
        <v>305.03384157300002</v>
      </c>
      <c r="H164">
        <v>100.32940000000001</v>
      </c>
      <c r="I164" t="s">
        <v>79</v>
      </c>
      <c r="J164">
        <v>20240905</v>
      </c>
      <c r="K164" t="s">
        <v>44</v>
      </c>
      <c r="L164" t="s">
        <v>44</v>
      </c>
      <c r="M164" t="s">
        <v>28</v>
      </c>
      <c r="N164" t="s">
        <v>44</v>
      </c>
      <c r="O164" t="s">
        <v>44</v>
      </c>
      <c r="P164" t="s">
        <v>260</v>
      </c>
      <c r="Q164" t="s">
        <v>28</v>
      </c>
      <c r="R164" t="s">
        <v>590</v>
      </c>
      <c r="S164" t="s">
        <v>28</v>
      </c>
    </row>
    <row r="165" spans="1:19" x14ac:dyDescent="0.25">
      <c r="A165" t="s">
        <v>952</v>
      </c>
      <c r="B165" t="s">
        <v>952</v>
      </c>
      <c r="C165">
        <v>3.977338697</v>
      </c>
      <c r="D165" s="38">
        <v>45950</v>
      </c>
      <c r="E165" s="38">
        <v>44854</v>
      </c>
      <c r="F165">
        <v>13.993135511</v>
      </c>
      <c r="H165">
        <v>101.0224</v>
      </c>
      <c r="I165" t="s">
        <v>79</v>
      </c>
      <c r="J165">
        <v>20211020</v>
      </c>
      <c r="K165" t="s">
        <v>44</v>
      </c>
      <c r="L165" t="s">
        <v>815</v>
      </c>
      <c r="M165" t="s">
        <v>44</v>
      </c>
      <c r="N165" t="s">
        <v>44</v>
      </c>
      <c r="O165" t="s">
        <v>44</v>
      </c>
      <c r="P165" t="s">
        <v>260</v>
      </c>
      <c r="Q165" t="s">
        <v>815</v>
      </c>
      <c r="R165" t="s">
        <v>572</v>
      </c>
      <c r="S165" t="s">
        <v>28</v>
      </c>
    </row>
    <row r="166" spans="1:19" x14ac:dyDescent="0.25">
      <c r="A166" t="s">
        <v>651</v>
      </c>
      <c r="B166" t="s">
        <v>651</v>
      </c>
      <c r="C166">
        <v>8.6852708710000002</v>
      </c>
      <c r="D166" s="38">
        <v>45945</v>
      </c>
      <c r="E166" s="38">
        <v>46332</v>
      </c>
      <c r="F166">
        <v>18.024104885</v>
      </c>
      <c r="G166">
        <v>193.15048997100001</v>
      </c>
      <c r="H166">
        <v>100.4688</v>
      </c>
      <c r="I166" t="s">
        <v>79</v>
      </c>
      <c r="J166">
        <v>20241106</v>
      </c>
      <c r="K166" t="s">
        <v>44</v>
      </c>
      <c r="L166" t="s">
        <v>44</v>
      </c>
      <c r="M166" t="s">
        <v>24</v>
      </c>
      <c r="N166" t="s">
        <v>44</v>
      </c>
      <c r="O166" t="s">
        <v>44</v>
      </c>
      <c r="P166" t="s">
        <v>260</v>
      </c>
      <c r="Q166" t="s">
        <v>24</v>
      </c>
      <c r="R166" t="s">
        <v>590</v>
      </c>
      <c r="S166" t="s">
        <v>24</v>
      </c>
    </row>
    <row r="167" spans="1:19" x14ac:dyDescent="0.25">
      <c r="A167" t="s">
        <v>964</v>
      </c>
      <c r="B167" t="s">
        <v>964</v>
      </c>
      <c r="C167">
        <v>9.0139624010000006</v>
      </c>
      <c r="D167" s="38">
        <v>45945</v>
      </c>
      <c r="E167" s="38">
        <v>46472</v>
      </c>
      <c r="F167">
        <v>12.001464342</v>
      </c>
      <c r="G167">
        <v>296.646368924</v>
      </c>
      <c r="H167">
        <v>100.22110000000001</v>
      </c>
      <c r="I167" t="s">
        <v>79</v>
      </c>
      <c r="J167">
        <v>20250326</v>
      </c>
      <c r="K167" t="s">
        <v>44</v>
      </c>
      <c r="L167" t="s">
        <v>44</v>
      </c>
      <c r="M167" t="s">
        <v>777</v>
      </c>
      <c r="N167" t="s">
        <v>44</v>
      </c>
      <c r="O167" t="s">
        <v>44</v>
      </c>
      <c r="P167" t="s">
        <v>260</v>
      </c>
      <c r="Q167" t="s">
        <v>777</v>
      </c>
      <c r="R167" t="s">
        <v>590</v>
      </c>
      <c r="S167" t="s">
        <v>28</v>
      </c>
    </row>
    <row r="168" spans="1:19" x14ac:dyDescent="0.25">
      <c r="A168" t="s">
        <v>648</v>
      </c>
      <c r="B168" t="s">
        <v>648</v>
      </c>
      <c r="C168">
        <v>8.7343042020000006</v>
      </c>
      <c r="D168" s="38">
        <v>45950</v>
      </c>
      <c r="E168" s="38">
        <v>46374</v>
      </c>
      <c r="F168">
        <v>17.796846942999998</v>
      </c>
      <c r="G168">
        <v>183.712084729</v>
      </c>
      <c r="H168">
        <v>100.4335</v>
      </c>
      <c r="I168" t="s">
        <v>79</v>
      </c>
      <c r="J168">
        <v>20241218</v>
      </c>
      <c r="K168" t="s">
        <v>44</v>
      </c>
      <c r="L168" t="s">
        <v>44</v>
      </c>
      <c r="M168" t="s">
        <v>24</v>
      </c>
      <c r="N168" t="s">
        <v>44</v>
      </c>
      <c r="O168" t="s">
        <v>44</v>
      </c>
      <c r="P168" t="s">
        <v>260</v>
      </c>
      <c r="Q168" t="s">
        <v>24</v>
      </c>
      <c r="R168" t="s">
        <v>590</v>
      </c>
      <c r="S168" t="s">
        <v>24</v>
      </c>
    </row>
    <row r="169" spans="1:19" x14ac:dyDescent="0.25">
      <c r="A169" t="s">
        <v>958</v>
      </c>
      <c r="B169" t="s">
        <v>958</v>
      </c>
      <c r="C169">
        <v>9.2623294180000002</v>
      </c>
      <c r="D169" s="38">
        <v>45950</v>
      </c>
      <c r="E169" s="38">
        <v>46374</v>
      </c>
      <c r="F169">
        <v>11.781982084999999</v>
      </c>
      <c r="G169">
        <v>282.17949535999998</v>
      </c>
      <c r="H169">
        <v>100.19</v>
      </c>
      <c r="I169" t="s">
        <v>79</v>
      </c>
      <c r="J169">
        <v>20241218</v>
      </c>
      <c r="K169" t="s">
        <v>44</v>
      </c>
      <c r="L169" t="s">
        <v>44</v>
      </c>
      <c r="M169" t="s">
        <v>777</v>
      </c>
      <c r="N169" t="s">
        <v>44</v>
      </c>
      <c r="O169" t="s">
        <v>44</v>
      </c>
      <c r="P169" t="s">
        <v>260</v>
      </c>
      <c r="Q169" t="s">
        <v>777</v>
      </c>
      <c r="R169" t="s">
        <v>590</v>
      </c>
      <c r="S169" t="s">
        <v>28</v>
      </c>
    </row>
    <row r="170" spans="1:19" x14ac:dyDescent="0.25">
      <c r="A170" t="s">
        <v>954</v>
      </c>
      <c r="B170" t="s">
        <v>954</v>
      </c>
      <c r="C170">
        <v>9.2559145669999996</v>
      </c>
      <c r="D170" s="38">
        <v>45950</v>
      </c>
      <c r="E170" s="38">
        <v>46425</v>
      </c>
      <c r="F170">
        <v>11.966862362000001</v>
      </c>
      <c r="G170">
        <v>261.38632077699998</v>
      </c>
      <c r="H170">
        <v>100.2482</v>
      </c>
      <c r="I170" t="s">
        <v>79</v>
      </c>
      <c r="J170">
        <v>20250207</v>
      </c>
      <c r="K170" t="s">
        <v>44</v>
      </c>
      <c r="L170" t="s">
        <v>44</v>
      </c>
      <c r="M170" t="s">
        <v>777</v>
      </c>
      <c r="N170" t="s">
        <v>44</v>
      </c>
      <c r="O170" t="s">
        <v>44</v>
      </c>
      <c r="P170" t="s">
        <v>1554</v>
      </c>
      <c r="Q170" t="s">
        <v>777</v>
      </c>
      <c r="R170" t="s">
        <v>590</v>
      </c>
      <c r="S170" t="s">
        <v>28</v>
      </c>
    </row>
    <row r="171" spans="1:19" x14ac:dyDescent="0.25">
      <c r="A171" t="s">
        <v>960</v>
      </c>
      <c r="B171" t="s">
        <v>960</v>
      </c>
      <c r="C171">
        <v>6.0425476720000004</v>
      </c>
      <c r="D171" s="38">
        <v>45950</v>
      </c>
      <c r="E171" s="38">
        <v>45127</v>
      </c>
      <c r="F171">
        <v>12.293046219000001</v>
      </c>
      <c r="H171">
        <v>100.005</v>
      </c>
      <c r="I171" t="s">
        <v>79</v>
      </c>
      <c r="J171">
        <v>20210708</v>
      </c>
      <c r="K171" t="s">
        <v>44</v>
      </c>
      <c r="L171" t="s">
        <v>815</v>
      </c>
      <c r="M171" t="s">
        <v>44</v>
      </c>
      <c r="N171" t="s">
        <v>44</v>
      </c>
      <c r="O171" t="s">
        <v>44</v>
      </c>
      <c r="P171" t="s">
        <v>260</v>
      </c>
      <c r="Q171" t="s">
        <v>815</v>
      </c>
      <c r="R171" t="s">
        <v>572</v>
      </c>
      <c r="S171" t="s">
        <v>28</v>
      </c>
    </row>
    <row r="172" spans="1:19" x14ac:dyDescent="0.25">
      <c r="A172" t="s">
        <v>968</v>
      </c>
      <c r="B172" t="s">
        <v>968</v>
      </c>
      <c r="C172">
        <v>7.9298229300000003</v>
      </c>
      <c r="D172" s="38">
        <v>45955</v>
      </c>
      <c r="E172" s="38">
        <v>45955</v>
      </c>
      <c r="F172">
        <v>11.712671621</v>
      </c>
      <c r="G172">
        <v>402.62050410099999</v>
      </c>
      <c r="H172">
        <v>100.42910000000001</v>
      </c>
      <c r="I172" t="s">
        <v>79</v>
      </c>
      <c r="J172">
        <v>20231102</v>
      </c>
      <c r="K172" t="s">
        <v>44</v>
      </c>
      <c r="L172" t="s">
        <v>44</v>
      </c>
      <c r="M172" t="s">
        <v>777</v>
      </c>
      <c r="N172" t="s">
        <v>44</v>
      </c>
      <c r="O172" t="s">
        <v>44</v>
      </c>
      <c r="P172" t="s">
        <v>260</v>
      </c>
      <c r="Q172" t="s">
        <v>777</v>
      </c>
      <c r="R172" t="s">
        <v>590</v>
      </c>
      <c r="S172" t="s">
        <v>28</v>
      </c>
    </row>
    <row r="173" spans="1:19" x14ac:dyDescent="0.25">
      <c r="A173" t="s">
        <v>933</v>
      </c>
      <c r="B173" t="s">
        <v>933</v>
      </c>
      <c r="C173">
        <v>9.1484261320000009</v>
      </c>
      <c r="D173" s="38">
        <v>45950</v>
      </c>
      <c r="E173" s="38">
        <v>46407</v>
      </c>
      <c r="F173">
        <v>12.810611893000001</v>
      </c>
      <c r="G173">
        <v>306.83260226700003</v>
      </c>
      <c r="H173">
        <v>100.5538</v>
      </c>
      <c r="I173" t="s">
        <v>79</v>
      </c>
      <c r="J173">
        <v>20241217</v>
      </c>
      <c r="K173" t="s">
        <v>44</v>
      </c>
      <c r="L173" t="s">
        <v>44</v>
      </c>
      <c r="M173" t="s">
        <v>28</v>
      </c>
      <c r="N173" t="s">
        <v>44</v>
      </c>
      <c r="O173" t="s">
        <v>44</v>
      </c>
      <c r="P173" t="s">
        <v>1555</v>
      </c>
      <c r="Q173" t="s">
        <v>28</v>
      </c>
      <c r="R173" t="s">
        <v>590</v>
      </c>
      <c r="S173" t="s">
        <v>28</v>
      </c>
    </row>
    <row r="174" spans="1:19" x14ac:dyDescent="0.25">
      <c r="A174" t="s">
        <v>939</v>
      </c>
      <c r="B174" t="s">
        <v>939</v>
      </c>
      <c r="C174">
        <v>6.9978669279999997</v>
      </c>
      <c r="D174" s="38">
        <v>45945</v>
      </c>
      <c r="E174" s="38">
        <v>46102</v>
      </c>
      <c r="F174">
        <v>22.760211945000002</v>
      </c>
      <c r="G174">
        <v>488.25763684700001</v>
      </c>
      <c r="H174">
        <v>100.60850000000001</v>
      </c>
      <c r="I174" t="s">
        <v>161</v>
      </c>
      <c r="J174">
        <v>20240321</v>
      </c>
      <c r="K174" t="s">
        <v>44</v>
      </c>
      <c r="L174" t="s">
        <v>815</v>
      </c>
      <c r="M174" t="s">
        <v>44</v>
      </c>
      <c r="N174" t="s">
        <v>44</v>
      </c>
      <c r="O174" t="s">
        <v>44</v>
      </c>
      <c r="P174" t="s">
        <v>1556</v>
      </c>
      <c r="Q174" t="s">
        <v>815</v>
      </c>
      <c r="R174" t="s">
        <v>572</v>
      </c>
      <c r="S174" t="s">
        <v>28</v>
      </c>
    </row>
    <row r="175" spans="1:19" x14ac:dyDescent="0.25">
      <c r="A175" t="s">
        <v>992</v>
      </c>
      <c r="B175" t="s">
        <v>992</v>
      </c>
      <c r="C175">
        <v>8.575975369</v>
      </c>
      <c r="D175" s="38">
        <v>45952</v>
      </c>
      <c r="E175" s="38">
        <v>46134</v>
      </c>
      <c r="F175">
        <v>11.989370575000001</v>
      </c>
      <c r="G175">
        <v>336.36011086600001</v>
      </c>
      <c r="H175">
        <v>100.8749</v>
      </c>
      <c r="I175" t="s">
        <v>159</v>
      </c>
      <c r="J175">
        <v>20240430</v>
      </c>
      <c r="K175" t="s">
        <v>44</v>
      </c>
      <c r="L175" t="s">
        <v>44</v>
      </c>
      <c r="M175" t="s">
        <v>777</v>
      </c>
      <c r="N175" t="s">
        <v>44</v>
      </c>
      <c r="O175" t="s">
        <v>44</v>
      </c>
      <c r="P175" t="s">
        <v>971</v>
      </c>
      <c r="Q175" t="s">
        <v>777</v>
      </c>
      <c r="R175" t="s">
        <v>590</v>
      </c>
      <c r="S175" t="s">
        <v>28</v>
      </c>
    </row>
    <row r="176" spans="1:19" x14ac:dyDescent="0.25">
      <c r="A176" t="s">
        <v>661</v>
      </c>
      <c r="B176" t="s">
        <v>661</v>
      </c>
      <c r="C176">
        <v>2.7162138109999998</v>
      </c>
      <c r="D176" s="38">
        <v>45950</v>
      </c>
      <c r="E176" s="38">
        <v>45620</v>
      </c>
      <c r="F176">
        <v>28.286895854000001</v>
      </c>
      <c r="G176">
        <v>254.853908555</v>
      </c>
      <c r="H176">
        <v>100.2607</v>
      </c>
      <c r="I176" t="s">
        <v>162</v>
      </c>
      <c r="J176">
        <v>20181030</v>
      </c>
      <c r="K176" t="s">
        <v>44</v>
      </c>
      <c r="L176" t="s">
        <v>610</v>
      </c>
      <c r="M176" t="s">
        <v>44</v>
      </c>
      <c r="N176" t="s">
        <v>44</v>
      </c>
      <c r="O176" t="s">
        <v>44</v>
      </c>
      <c r="P176" t="s">
        <v>1557</v>
      </c>
      <c r="Q176" t="s">
        <v>610</v>
      </c>
      <c r="R176" t="s">
        <v>572</v>
      </c>
      <c r="S176" t="s">
        <v>24</v>
      </c>
    </row>
    <row r="177" spans="1:19" x14ac:dyDescent="0.25">
      <c r="A177" t="s">
        <v>1002</v>
      </c>
      <c r="B177" t="s">
        <v>1002</v>
      </c>
      <c r="C177">
        <v>8.2381918269999996</v>
      </c>
      <c r="D177" s="38">
        <v>45976</v>
      </c>
      <c r="E177" s="38">
        <v>45976</v>
      </c>
      <c r="F177">
        <v>10.790165994000001</v>
      </c>
      <c r="G177">
        <v>441.68460001099999</v>
      </c>
      <c r="H177">
        <v>100.4975</v>
      </c>
      <c r="I177" t="s">
        <v>80</v>
      </c>
      <c r="J177">
        <v>20231115</v>
      </c>
      <c r="K177" t="s">
        <v>777</v>
      </c>
      <c r="L177" t="s">
        <v>44</v>
      </c>
      <c r="M177" t="s">
        <v>44</v>
      </c>
      <c r="N177" t="s">
        <v>44</v>
      </c>
      <c r="O177" t="s">
        <v>44</v>
      </c>
      <c r="P177" t="s">
        <v>264</v>
      </c>
      <c r="Q177" t="s">
        <v>777</v>
      </c>
      <c r="R177" t="s">
        <v>598</v>
      </c>
      <c r="S177" t="s">
        <v>28</v>
      </c>
    </row>
    <row r="178" spans="1:19" x14ac:dyDescent="0.25">
      <c r="A178" t="s">
        <v>998</v>
      </c>
      <c r="B178" t="s">
        <v>998</v>
      </c>
      <c r="C178">
        <v>6.1379226170000001</v>
      </c>
      <c r="F178">
        <v>10.026588653999999</v>
      </c>
      <c r="H178">
        <v>100.005</v>
      </c>
      <c r="I178" t="s">
        <v>80</v>
      </c>
      <c r="J178">
        <v>20210707</v>
      </c>
      <c r="K178" t="s">
        <v>777</v>
      </c>
      <c r="L178" t="s">
        <v>44</v>
      </c>
      <c r="M178" t="s">
        <v>44</v>
      </c>
      <c r="N178" t="s">
        <v>44</v>
      </c>
      <c r="O178" t="s">
        <v>44</v>
      </c>
      <c r="P178" t="s">
        <v>264</v>
      </c>
      <c r="Q178" t="s">
        <v>777</v>
      </c>
      <c r="R178" t="s">
        <v>598</v>
      </c>
      <c r="S178" t="s">
        <v>28</v>
      </c>
    </row>
    <row r="179" spans="1:19" x14ac:dyDescent="0.25">
      <c r="A179" t="s">
        <v>1008</v>
      </c>
      <c r="B179" t="s">
        <v>1008</v>
      </c>
      <c r="C179">
        <v>8.5893551010000007</v>
      </c>
      <c r="D179" s="38">
        <v>45948</v>
      </c>
      <c r="E179" s="38">
        <v>46130</v>
      </c>
      <c r="F179">
        <v>11.958521037000001</v>
      </c>
      <c r="G179">
        <v>366.32668119800002</v>
      </c>
      <c r="H179">
        <v>100.86790000000001</v>
      </c>
      <c r="I179" t="s">
        <v>80</v>
      </c>
      <c r="J179">
        <v>20240325</v>
      </c>
      <c r="K179" t="s">
        <v>777</v>
      </c>
      <c r="L179" t="s">
        <v>44</v>
      </c>
      <c r="M179" t="s">
        <v>44</v>
      </c>
      <c r="N179" t="s">
        <v>44</v>
      </c>
      <c r="O179" t="s">
        <v>44</v>
      </c>
      <c r="P179" t="s">
        <v>264</v>
      </c>
      <c r="Q179" t="s">
        <v>777</v>
      </c>
      <c r="R179" t="s">
        <v>598</v>
      </c>
      <c r="S179" t="s">
        <v>28</v>
      </c>
    </row>
    <row r="180" spans="1:19" x14ac:dyDescent="0.25">
      <c r="A180" t="s">
        <v>664</v>
      </c>
      <c r="B180" t="s">
        <v>664</v>
      </c>
      <c r="C180">
        <v>6.4836267349999996</v>
      </c>
      <c r="D180" s="38">
        <v>45945</v>
      </c>
      <c r="E180" s="38">
        <v>45945</v>
      </c>
      <c r="F180">
        <v>18.014580848000001</v>
      </c>
      <c r="G180">
        <v>184.92498964000001</v>
      </c>
      <c r="H180">
        <v>100.2723</v>
      </c>
      <c r="I180" t="s">
        <v>80</v>
      </c>
      <c r="J180">
        <v>20241021</v>
      </c>
      <c r="K180" t="s">
        <v>44</v>
      </c>
      <c r="L180" t="s">
        <v>44</v>
      </c>
      <c r="M180" t="s">
        <v>24</v>
      </c>
      <c r="N180" t="s">
        <v>44</v>
      </c>
      <c r="O180" t="s">
        <v>44</v>
      </c>
      <c r="P180" t="s">
        <v>264</v>
      </c>
      <c r="Q180" t="s">
        <v>24</v>
      </c>
      <c r="R180" t="s">
        <v>590</v>
      </c>
      <c r="S180" t="s">
        <v>24</v>
      </c>
    </row>
    <row r="181" spans="1:19" x14ac:dyDescent="0.25">
      <c r="A181" t="s">
        <v>1004</v>
      </c>
      <c r="B181" t="s">
        <v>1004</v>
      </c>
      <c r="C181">
        <v>6.85725724</v>
      </c>
      <c r="D181" s="38">
        <v>45945</v>
      </c>
      <c r="E181" s="38">
        <v>45945</v>
      </c>
      <c r="F181">
        <v>12.015647739</v>
      </c>
      <c r="G181">
        <v>307.29700672500002</v>
      </c>
      <c r="H181">
        <v>100.1405</v>
      </c>
      <c r="I181" t="s">
        <v>80</v>
      </c>
      <c r="J181">
        <v>20241021</v>
      </c>
      <c r="K181" t="s">
        <v>44</v>
      </c>
      <c r="L181" t="s">
        <v>44</v>
      </c>
      <c r="M181" t="s">
        <v>777</v>
      </c>
      <c r="N181" t="s">
        <v>44</v>
      </c>
      <c r="O181" t="s">
        <v>44</v>
      </c>
      <c r="P181" t="s">
        <v>264</v>
      </c>
      <c r="Q181" t="s">
        <v>777</v>
      </c>
      <c r="R181" t="s">
        <v>590</v>
      </c>
      <c r="S181" t="s">
        <v>28</v>
      </c>
    </row>
    <row r="182" spans="1:19" x14ac:dyDescent="0.25">
      <c r="A182" t="s">
        <v>1000</v>
      </c>
      <c r="B182" t="s">
        <v>1000</v>
      </c>
      <c r="C182">
        <v>8.843947794</v>
      </c>
      <c r="D182" s="38">
        <v>45948</v>
      </c>
      <c r="E182" s="38">
        <v>46221</v>
      </c>
      <c r="F182">
        <v>12.669960865</v>
      </c>
      <c r="G182">
        <v>303.574098295</v>
      </c>
      <c r="H182">
        <v>100.4235</v>
      </c>
      <c r="I182" t="s">
        <v>80</v>
      </c>
      <c r="J182">
        <v>20240729</v>
      </c>
      <c r="K182" t="s">
        <v>44</v>
      </c>
      <c r="L182" t="s">
        <v>44</v>
      </c>
      <c r="M182" t="s">
        <v>777</v>
      </c>
      <c r="N182" t="s">
        <v>44</v>
      </c>
      <c r="O182" t="s">
        <v>44</v>
      </c>
      <c r="P182" t="s">
        <v>264</v>
      </c>
      <c r="Q182" t="s">
        <v>777</v>
      </c>
      <c r="R182" t="s">
        <v>590</v>
      </c>
      <c r="S182" t="s">
        <v>28</v>
      </c>
    </row>
    <row r="183" spans="1:19" x14ac:dyDescent="0.25">
      <c r="A183" t="s">
        <v>1006</v>
      </c>
      <c r="B183" t="s">
        <v>1006</v>
      </c>
      <c r="C183">
        <v>7.949477913</v>
      </c>
      <c r="D183" s="38">
        <v>45945</v>
      </c>
      <c r="E183" s="38">
        <v>45945</v>
      </c>
      <c r="F183">
        <v>11.588979196</v>
      </c>
      <c r="G183">
        <v>445.96008264400001</v>
      </c>
      <c r="H183">
        <v>100.5204</v>
      </c>
      <c r="I183" t="s">
        <v>80</v>
      </c>
      <c r="J183">
        <v>20231013</v>
      </c>
      <c r="K183" t="s">
        <v>777</v>
      </c>
      <c r="L183" t="s">
        <v>44</v>
      </c>
      <c r="M183" t="s">
        <v>44</v>
      </c>
      <c r="N183" t="s">
        <v>44</v>
      </c>
      <c r="O183" t="s">
        <v>44</v>
      </c>
      <c r="P183" t="s">
        <v>264</v>
      </c>
      <c r="Q183" t="s">
        <v>777</v>
      </c>
      <c r="R183" t="s">
        <v>598</v>
      </c>
      <c r="S183" t="s">
        <v>28</v>
      </c>
    </row>
    <row r="184" spans="1:19" x14ac:dyDescent="0.25">
      <c r="A184" t="s">
        <v>625</v>
      </c>
      <c r="B184" t="s">
        <v>625</v>
      </c>
      <c r="C184">
        <v>3.2850125069999998</v>
      </c>
      <c r="D184" s="38">
        <v>45884</v>
      </c>
      <c r="E184" s="38">
        <v>44423</v>
      </c>
      <c r="F184">
        <v>20.818692017</v>
      </c>
      <c r="G184">
        <v>340.02874639200002</v>
      </c>
      <c r="H184">
        <v>100.3143</v>
      </c>
      <c r="I184" t="s">
        <v>163</v>
      </c>
      <c r="J184">
        <v>20190815</v>
      </c>
      <c r="K184" t="s">
        <v>24</v>
      </c>
      <c r="L184" t="s">
        <v>44</v>
      </c>
      <c r="M184" t="s">
        <v>44</v>
      </c>
      <c r="N184" t="s">
        <v>44</v>
      </c>
      <c r="O184" t="s">
        <v>44</v>
      </c>
      <c r="P184" t="s">
        <v>1558</v>
      </c>
      <c r="Q184" t="s">
        <v>24</v>
      </c>
      <c r="R184" t="s">
        <v>598</v>
      </c>
      <c r="S184" t="s">
        <v>24</v>
      </c>
    </row>
    <row r="185" spans="1:19" x14ac:dyDescent="0.25">
      <c r="A185" t="s">
        <v>841</v>
      </c>
      <c r="B185" t="s">
        <v>841</v>
      </c>
      <c r="C185">
        <v>3.7308488519999998</v>
      </c>
      <c r="D185" s="38">
        <v>45884</v>
      </c>
      <c r="E185" s="38">
        <v>44423</v>
      </c>
      <c r="F185">
        <v>13.071209624</v>
      </c>
      <c r="G185">
        <v>485.53794986600002</v>
      </c>
      <c r="H185">
        <v>99.696600000000004</v>
      </c>
      <c r="I185" t="s">
        <v>163</v>
      </c>
      <c r="J185">
        <v>20190815</v>
      </c>
      <c r="K185" t="s">
        <v>777</v>
      </c>
      <c r="L185" t="s">
        <v>44</v>
      </c>
      <c r="M185" t="s">
        <v>44</v>
      </c>
      <c r="N185" t="s">
        <v>44</v>
      </c>
      <c r="O185" t="s">
        <v>44</v>
      </c>
      <c r="P185" t="s">
        <v>1558</v>
      </c>
      <c r="Q185" t="s">
        <v>777</v>
      </c>
      <c r="R185" t="s">
        <v>598</v>
      </c>
      <c r="S185" t="s">
        <v>28</v>
      </c>
    </row>
    <row r="186" spans="1:19" x14ac:dyDescent="0.25">
      <c r="A186" t="s">
        <v>666</v>
      </c>
      <c r="B186" t="s">
        <v>666</v>
      </c>
      <c r="C186">
        <v>8.081032403</v>
      </c>
      <c r="D186" s="38">
        <v>45950</v>
      </c>
      <c r="E186" s="38">
        <v>46132</v>
      </c>
      <c r="F186">
        <v>16.663884189000001</v>
      </c>
      <c r="G186">
        <v>229.359381042</v>
      </c>
      <c r="H186">
        <v>100.6798</v>
      </c>
      <c r="I186" t="s">
        <v>85</v>
      </c>
      <c r="J186">
        <v>20240508</v>
      </c>
      <c r="K186" t="s">
        <v>24</v>
      </c>
      <c r="L186" t="s">
        <v>44</v>
      </c>
      <c r="M186" t="s">
        <v>44</v>
      </c>
      <c r="N186" t="s">
        <v>44</v>
      </c>
      <c r="O186" t="s">
        <v>44</v>
      </c>
      <c r="P186" t="s">
        <v>1559</v>
      </c>
      <c r="Q186" t="s">
        <v>24</v>
      </c>
      <c r="R186" t="s">
        <v>598</v>
      </c>
      <c r="S186" t="s">
        <v>24</v>
      </c>
    </row>
    <row r="187" spans="1:19" x14ac:dyDescent="0.25">
      <c r="A187" t="s">
        <v>1018</v>
      </c>
      <c r="B187" t="s">
        <v>1018</v>
      </c>
      <c r="C187">
        <v>8.7031073719999998</v>
      </c>
      <c r="D187" s="38">
        <v>45950</v>
      </c>
      <c r="E187" s="38">
        <v>46132</v>
      </c>
      <c r="F187">
        <v>10.566119618</v>
      </c>
      <c r="G187">
        <v>334.91230568600002</v>
      </c>
      <c r="H187">
        <v>100.6527</v>
      </c>
      <c r="I187" t="s">
        <v>85</v>
      </c>
      <c r="J187">
        <v>20240508</v>
      </c>
      <c r="K187" t="s">
        <v>777</v>
      </c>
      <c r="L187" t="s">
        <v>44</v>
      </c>
      <c r="M187" t="s">
        <v>44</v>
      </c>
      <c r="N187" t="s">
        <v>44</v>
      </c>
      <c r="O187" t="s">
        <v>44</v>
      </c>
      <c r="P187" t="s">
        <v>1559</v>
      </c>
      <c r="Q187" t="s">
        <v>777</v>
      </c>
      <c r="R187" t="s">
        <v>598</v>
      </c>
      <c r="S187" t="s">
        <v>28</v>
      </c>
    </row>
    <row r="188" spans="1:19" x14ac:dyDescent="0.25">
      <c r="A188" t="s">
        <v>1020</v>
      </c>
      <c r="B188" t="s">
        <v>1020</v>
      </c>
      <c r="C188">
        <v>9.1733122960000006</v>
      </c>
      <c r="D188" s="38">
        <v>45951</v>
      </c>
      <c r="E188" s="38">
        <v>46271</v>
      </c>
      <c r="F188">
        <v>10.572700043999999</v>
      </c>
      <c r="G188">
        <v>302.82936858900001</v>
      </c>
      <c r="H188">
        <v>100.4868</v>
      </c>
      <c r="I188" t="s">
        <v>85</v>
      </c>
      <c r="J188">
        <v>20240906</v>
      </c>
      <c r="K188" t="s">
        <v>777</v>
      </c>
      <c r="L188" t="s">
        <v>44</v>
      </c>
      <c r="M188" t="s">
        <v>44</v>
      </c>
      <c r="N188" t="s">
        <v>44</v>
      </c>
      <c r="O188" t="s">
        <v>44</v>
      </c>
      <c r="P188" t="s">
        <v>1560</v>
      </c>
      <c r="Q188" t="s">
        <v>777</v>
      </c>
      <c r="R188" t="s">
        <v>598</v>
      </c>
      <c r="S188" t="s">
        <v>28</v>
      </c>
    </row>
    <row r="189" spans="1:19" x14ac:dyDescent="0.25">
      <c r="A189" t="s">
        <v>1012</v>
      </c>
      <c r="B189" t="s">
        <v>1012</v>
      </c>
      <c r="C189">
        <v>8.9185286680000004</v>
      </c>
      <c r="D189" s="38">
        <v>45947</v>
      </c>
      <c r="E189" s="38">
        <v>46220</v>
      </c>
      <c r="F189">
        <v>10.771751484999999</v>
      </c>
      <c r="G189">
        <v>297.90919244499997</v>
      </c>
      <c r="H189">
        <v>100.4721</v>
      </c>
      <c r="I189" t="s">
        <v>85</v>
      </c>
      <c r="J189">
        <v>20240717</v>
      </c>
      <c r="K189" t="s">
        <v>44</v>
      </c>
      <c r="L189" t="s">
        <v>44</v>
      </c>
      <c r="M189" t="s">
        <v>777</v>
      </c>
      <c r="N189" t="s">
        <v>44</v>
      </c>
      <c r="O189" t="s">
        <v>44</v>
      </c>
      <c r="P189" t="s">
        <v>1561</v>
      </c>
      <c r="Q189" t="s">
        <v>777</v>
      </c>
      <c r="R189" t="s">
        <v>590</v>
      </c>
      <c r="S189" t="s">
        <v>28</v>
      </c>
    </row>
    <row r="190" spans="1:19" x14ac:dyDescent="0.25">
      <c r="A190" t="s">
        <v>1016</v>
      </c>
      <c r="B190" t="s">
        <v>1016</v>
      </c>
      <c r="C190">
        <v>9.2974405929999993</v>
      </c>
      <c r="D190" s="38">
        <v>45947</v>
      </c>
      <c r="E190" s="38">
        <v>46367</v>
      </c>
      <c r="F190">
        <v>11.429253029</v>
      </c>
      <c r="G190">
        <v>272.44198213700002</v>
      </c>
      <c r="H190">
        <v>100.17270000000001</v>
      </c>
      <c r="I190" t="s">
        <v>85</v>
      </c>
      <c r="J190">
        <v>20241211</v>
      </c>
      <c r="K190" t="s">
        <v>777</v>
      </c>
      <c r="L190" t="s">
        <v>44</v>
      </c>
      <c r="M190" t="s">
        <v>44</v>
      </c>
      <c r="N190" t="s">
        <v>44</v>
      </c>
      <c r="O190" t="s">
        <v>44</v>
      </c>
      <c r="P190" t="s">
        <v>1562</v>
      </c>
      <c r="Q190" t="s">
        <v>777</v>
      </c>
      <c r="R190" t="s">
        <v>598</v>
      </c>
      <c r="S190" t="s">
        <v>28</v>
      </c>
    </row>
    <row r="191" spans="1:19" x14ac:dyDescent="0.25">
      <c r="A191" t="s">
        <v>1014</v>
      </c>
      <c r="B191" t="s">
        <v>1014</v>
      </c>
      <c r="C191">
        <v>8.3690755830000008</v>
      </c>
      <c r="D191" s="38">
        <v>45947</v>
      </c>
      <c r="E191" s="38">
        <v>46039</v>
      </c>
      <c r="F191">
        <v>10.946207527</v>
      </c>
      <c r="G191">
        <v>350.06364743300003</v>
      </c>
      <c r="H191">
        <v>100.93519999999999</v>
      </c>
      <c r="I191" t="s">
        <v>85</v>
      </c>
      <c r="J191">
        <v>20240208</v>
      </c>
      <c r="K191" t="s">
        <v>777</v>
      </c>
      <c r="L191" t="s">
        <v>44</v>
      </c>
      <c r="M191" t="s">
        <v>44</v>
      </c>
      <c r="N191" t="s">
        <v>44</v>
      </c>
      <c r="O191" t="s">
        <v>44</v>
      </c>
      <c r="P191" t="s">
        <v>1563</v>
      </c>
      <c r="Q191" t="s">
        <v>777</v>
      </c>
      <c r="R191" t="s">
        <v>598</v>
      </c>
      <c r="S191" t="s">
        <v>28</v>
      </c>
    </row>
    <row r="192" spans="1:19" x14ac:dyDescent="0.25">
      <c r="A192" t="s">
        <v>669</v>
      </c>
      <c r="B192" t="s">
        <v>669</v>
      </c>
      <c r="C192">
        <v>8.3395164239999993</v>
      </c>
      <c r="D192" s="38">
        <v>45948</v>
      </c>
      <c r="E192" s="38">
        <v>46193</v>
      </c>
      <c r="F192">
        <v>16.553439440999998</v>
      </c>
      <c r="G192">
        <v>202.195371486</v>
      </c>
      <c r="H192">
        <v>100.5151</v>
      </c>
      <c r="I192" t="s">
        <v>85</v>
      </c>
      <c r="J192">
        <v>20240620</v>
      </c>
      <c r="K192" t="s">
        <v>44</v>
      </c>
      <c r="L192" t="s">
        <v>44</v>
      </c>
      <c r="M192" t="s">
        <v>24</v>
      </c>
      <c r="N192" t="s">
        <v>44</v>
      </c>
      <c r="O192" t="s">
        <v>44</v>
      </c>
      <c r="P192" t="s">
        <v>386</v>
      </c>
      <c r="Q192" t="s">
        <v>24</v>
      </c>
      <c r="R192" t="s">
        <v>590</v>
      </c>
      <c r="S192" t="s">
        <v>24</v>
      </c>
    </row>
    <row r="193" spans="1:19" x14ac:dyDescent="0.25">
      <c r="A193" t="s">
        <v>1024</v>
      </c>
      <c r="B193" t="s">
        <v>1024</v>
      </c>
      <c r="C193">
        <v>9.1674921430000005</v>
      </c>
      <c r="D193" s="38">
        <v>45947</v>
      </c>
      <c r="E193" s="38">
        <v>46312</v>
      </c>
      <c r="F193">
        <v>10.406836244999999</v>
      </c>
      <c r="G193">
        <v>302.79260837800001</v>
      </c>
      <c r="H193">
        <v>100.489</v>
      </c>
      <c r="I193" t="s">
        <v>85</v>
      </c>
      <c r="J193">
        <v>20241007</v>
      </c>
      <c r="K193" t="s">
        <v>777</v>
      </c>
      <c r="L193" t="s">
        <v>44</v>
      </c>
      <c r="M193" t="s">
        <v>44</v>
      </c>
      <c r="N193" t="s">
        <v>44</v>
      </c>
      <c r="O193" t="s">
        <v>44</v>
      </c>
      <c r="P193" t="s">
        <v>1564</v>
      </c>
      <c r="Q193" t="s">
        <v>777</v>
      </c>
      <c r="R193" t="s">
        <v>598</v>
      </c>
      <c r="S193" t="s">
        <v>28</v>
      </c>
    </row>
    <row r="194" spans="1:19" x14ac:dyDescent="0.25">
      <c r="A194" t="s">
        <v>1010</v>
      </c>
      <c r="B194" t="s">
        <v>1010</v>
      </c>
      <c r="C194">
        <v>8.7156136439999994</v>
      </c>
      <c r="D194" s="38">
        <v>45950</v>
      </c>
      <c r="E194" s="38">
        <v>46093</v>
      </c>
      <c r="F194">
        <v>10.413092217999999</v>
      </c>
      <c r="G194">
        <v>363.51234175299999</v>
      </c>
      <c r="H194">
        <v>101.0607</v>
      </c>
      <c r="I194" t="s">
        <v>85</v>
      </c>
      <c r="J194">
        <v>20240312</v>
      </c>
      <c r="K194" t="s">
        <v>777</v>
      </c>
      <c r="L194" t="s">
        <v>44</v>
      </c>
      <c r="M194" t="s">
        <v>44</v>
      </c>
      <c r="N194" t="s">
        <v>44</v>
      </c>
      <c r="O194" t="s">
        <v>44</v>
      </c>
      <c r="P194" t="s">
        <v>1565</v>
      </c>
      <c r="Q194" t="s">
        <v>777</v>
      </c>
      <c r="R194" t="s">
        <v>598</v>
      </c>
      <c r="S194" t="s">
        <v>28</v>
      </c>
    </row>
    <row r="195" spans="1:19" x14ac:dyDescent="0.25">
      <c r="A195" t="s">
        <v>1026</v>
      </c>
      <c r="B195" t="s">
        <v>1026</v>
      </c>
      <c r="C195">
        <v>8.7159761360000001</v>
      </c>
      <c r="D195" s="38">
        <v>45950</v>
      </c>
      <c r="E195" s="38">
        <v>46132</v>
      </c>
      <c r="F195">
        <v>10.307263176999999</v>
      </c>
      <c r="G195">
        <v>362.67603088999999</v>
      </c>
      <c r="H195">
        <v>101.11539999999999</v>
      </c>
      <c r="I195" t="s">
        <v>85</v>
      </c>
      <c r="J195">
        <v>20240322</v>
      </c>
      <c r="K195" t="s">
        <v>777</v>
      </c>
      <c r="L195" t="s">
        <v>44</v>
      </c>
      <c r="M195" t="s">
        <v>44</v>
      </c>
      <c r="N195" t="s">
        <v>44</v>
      </c>
      <c r="O195" t="s">
        <v>44</v>
      </c>
      <c r="P195" t="s">
        <v>1566</v>
      </c>
      <c r="Q195" t="s">
        <v>777</v>
      </c>
      <c r="R195" t="s">
        <v>598</v>
      </c>
      <c r="S195" t="s">
        <v>28</v>
      </c>
    </row>
    <row r="196" spans="1:19" x14ac:dyDescent="0.25">
      <c r="A196" t="s">
        <v>1022</v>
      </c>
      <c r="B196" t="s">
        <v>1022</v>
      </c>
      <c r="C196">
        <v>9.2093020499999998</v>
      </c>
      <c r="D196" s="38">
        <v>45947</v>
      </c>
      <c r="E196" s="38">
        <v>46404</v>
      </c>
      <c r="F196">
        <v>12.000017602</v>
      </c>
      <c r="G196">
        <v>254.597214208</v>
      </c>
      <c r="H196">
        <v>100.3745</v>
      </c>
      <c r="I196" t="s">
        <v>85</v>
      </c>
      <c r="J196">
        <v>20250130</v>
      </c>
      <c r="K196" t="s">
        <v>777</v>
      </c>
      <c r="L196" t="s">
        <v>44</v>
      </c>
      <c r="M196" t="s">
        <v>44</v>
      </c>
      <c r="N196" t="s">
        <v>44</v>
      </c>
      <c r="O196" t="s">
        <v>44</v>
      </c>
      <c r="P196" t="s">
        <v>1567</v>
      </c>
      <c r="Q196" t="s">
        <v>777</v>
      </c>
      <c r="R196" t="s">
        <v>598</v>
      </c>
      <c r="S196" t="s">
        <v>28</v>
      </c>
    </row>
    <row r="197" spans="1:19" x14ac:dyDescent="0.25">
      <c r="A197" t="s">
        <v>671</v>
      </c>
      <c r="B197" t="s">
        <v>671</v>
      </c>
      <c r="C197">
        <v>8.596015607</v>
      </c>
      <c r="D197" s="38">
        <v>45950</v>
      </c>
      <c r="E197" s="38">
        <v>46315</v>
      </c>
      <c r="F197">
        <v>17.696393090000001</v>
      </c>
      <c r="G197">
        <v>187.86554925600001</v>
      </c>
      <c r="H197">
        <v>100.48560000000001</v>
      </c>
      <c r="I197" t="s">
        <v>164</v>
      </c>
      <c r="J197">
        <v>20241021</v>
      </c>
      <c r="K197" t="s">
        <v>24</v>
      </c>
      <c r="L197" t="s">
        <v>44</v>
      </c>
      <c r="M197" t="s">
        <v>44</v>
      </c>
      <c r="N197" t="s">
        <v>44</v>
      </c>
      <c r="O197" t="s">
        <v>44</v>
      </c>
      <c r="P197" t="s">
        <v>1568</v>
      </c>
      <c r="Q197" t="s">
        <v>24</v>
      </c>
      <c r="R197" t="s">
        <v>598</v>
      </c>
      <c r="S197" t="s">
        <v>24</v>
      </c>
    </row>
    <row r="198" spans="1:19" x14ac:dyDescent="0.25">
      <c r="A198" t="s">
        <v>1031</v>
      </c>
      <c r="B198" t="s">
        <v>1031</v>
      </c>
      <c r="C198">
        <v>6.5329379190000001</v>
      </c>
      <c r="D198" s="38">
        <v>45889</v>
      </c>
      <c r="E198" s="38">
        <v>45758</v>
      </c>
      <c r="F198">
        <v>11.504628899</v>
      </c>
      <c r="G198">
        <v>338.15928655800002</v>
      </c>
      <c r="H198">
        <v>100.35680000000001</v>
      </c>
      <c r="I198" t="s">
        <v>89</v>
      </c>
      <c r="J198">
        <v>20240411</v>
      </c>
      <c r="K198" t="s">
        <v>777</v>
      </c>
      <c r="L198" t="s">
        <v>44</v>
      </c>
      <c r="M198" t="s">
        <v>44</v>
      </c>
      <c r="N198" t="s">
        <v>44</v>
      </c>
      <c r="O198" t="s">
        <v>44</v>
      </c>
      <c r="P198" t="s">
        <v>277</v>
      </c>
      <c r="Q198" t="s">
        <v>777</v>
      </c>
      <c r="R198" t="s">
        <v>598</v>
      </c>
      <c r="S198" t="s">
        <v>28</v>
      </c>
    </row>
    <row r="199" spans="1:19" x14ac:dyDescent="0.25">
      <c r="A199" t="s">
        <v>1479</v>
      </c>
      <c r="B199" t="s">
        <v>1479</v>
      </c>
      <c r="C199">
        <v>8.7084858969999992</v>
      </c>
      <c r="D199" s="38">
        <v>45949</v>
      </c>
      <c r="E199" s="38">
        <v>46314</v>
      </c>
      <c r="F199">
        <v>11.350431479999999</v>
      </c>
      <c r="G199">
        <v>307.36381817400002</v>
      </c>
      <c r="H199">
        <v>100.16670000000001</v>
      </c>
      <c r="I199" t="s">
        <v>89</v>
      </c>
      <c r="J199">
        <v>20240912</v>
      </c>
      <c r="K199" t="s">
        <v>44</v>
      </c>
      <c r="L199" t="s">
        <v>1482</v>
      </c>
      <c r="M199" t="s">
        <v>777</v>
      </c>
      <c r="N199" t="s">
        <v>44</v>
      </c>
      <c r="O199" t="s">
        <v>44</v>
      </c>
      <c r="P199" t="s">
        <v>277</v>
      </c>
      <c r="Q199" t="s">
        <v>1482</v>
      </c>
      <c r="R199" t="s">
        <v>572</v>
      </c>
      <c r="S199" t="s">
        <v>44</v>
      </c>
    </row>
    <row r="200" spans="1:19" x14ac:dyDescent="0.25">
      <c r="A200" t="s">
        <v>1033</v>
      </c>
      <c r="B200" t="s">
        <v>1033</v>
      </c>
      <c r="C200">
        <v>9.2432428869999992</v>
      </c>
      <c r="D200" s="38">
        <v>45945</v>
      </c>
      <c r="E200" s="38">
        <v>46402</v>
      </c>
      <c r="F200">
        <v>12.008378146</v>
      </c>
      <c r="G200">
        <v>282.03263832499999</v>
      </c>
      <c r="H200">
        <v>99.849100000000007</v>
      </c>
      <c r="I200" t="s">
        <v>89</v>
      </c>
      <c r="J200">
        <v>20241213</v>
      </c>
      <c r="K200" t="s">
        <v>44</v>
      </c>
      <c r="L200" t="s">
        <v>44</v>
      </c>
      <c r="M200" t="s">
        <v>777</v>
      </c>
      <c r="N200" t="s">
        <v>44</v>
      </c>
      <c r="O200" t="s">
        <v>44</v>
      </c>
      <c r="P200" t="s">
        <v>277</v>
      </c>
      <c r="Q200" t="s">
        <v>777</v>
      </c>
      <c r="R200" t="s">
        <v>590</v>
      </c>
      <c r="S200" t="s">
        <v>28</v>
      </c>
    </row>
    <row r="201" spans="1:19" x14ac:dyDescent="0.25">
      <c r="A201" t="s">
        <v>1028</v>
      </c>
      <c r="B201" t="s">
        <v>1028</v>
      </c>
      <c r="C201">
        <v>2.9104115099999999</v>
      </c>
      <c r="D201" s="38">
        <v>45953</v>
      </c>
      <c r="E201" s="38">
        <v>44035</v>
      </c>
      <c r="F201">
        <v>25.086994370999999</v>
      </c>
      <c r="G201">
        <v>358.69047223600001</v>
      </c>
      <c r="H201">
        <v>100.31180000000001</v>
      </c>
      <c r="I201" t="s">
        <v>165</v>
      </c>
      <c r="J201">
        <v>20180723</v>
      </c>
      <c r="K201" t="s">
        <v>795</v>
      </c>
      <c r="L201" t="s">
        <v>44</v>
      </c>
      <c r="M201" t="s">
        <v>44</v>
      </c>
      <c r="N201" t="s">
        <v>44</v>
      </c>
      <c r="O201" t="s">
        <v>44</v>
      </c>
      <c r="P201" t="s">
        <v>1569</v>
      </c>
      <c r="Q201" t="s">
        <v>795</v>
      </c>
      <c r="R201" t="s">
        <v>598</v>
      </c>
      <c r="S201" t="s">
        <v>28</v>
      </c>
    </row>
    <row r="202" spans="1:19" x14ac:dyDescent="0.25">
      <c r="A202" t="s">
        <v>675</v>
      </c>
      <c r="B202" t="s">
        <v>675</v>
      </c>
      <c r="C202">
        <v>5.1046420540000002</v>
      </c>
      <c r="D202" s="38">
        <v>45944</v>
      </c>
      <c r="E202" s="38">
        <v>45761</v>
      </c>
      <c r="F202">
        <v>18.156339154000001</v>
      </c>
      <c r="G202">
        <v>371.516642601</v>
      </c>
      <c r="H202">
        <v>100.5626</v>
      </c>
      <c r="I202" t="s">
        <v>166</v>
      </c>
      <c r="J202">
        <v>20230907</v>
      </c>
      <c r="K202" t="s">
        <v>24</v>
      </c>
      <c r="L202" t="s">
        <v>44</v>
      </c>
      <c r="M202" t="s">
        <v>44</v>
      </c>
      <c r="N202" t="s">
        <v>44</v>
      </c>
      <c r="O202" t="s">
        <v>44</v>
      </c>
      <c r="P202" t="s">
        <v>1570</v>
      </c>
      <c r="Q202" t="s">
        <v>24</v>
      </c>
      <c r="R202" t="s">
        <v>598</v>
      </c>
      <c r="S202" t="s">
        <v>24</v>
      </c>
    </row>
    <row r="203" spans="1:19" x14ac:dyDescent="0.25">
      <c r="A203" t="s">
        <v>1054</v>
      </c>
      <c r="B203" t="s">
        <v>1054</v>
      </c>
      <c r="C203">
        <v>8.8399431939999999</v>
      </c>
      <c r="D203" s="38">
        <v>45952</v>
      </c>
      <c r="E203" s="38">
        <v>46261</v>
      </c>
      <c r="F203">
        <v>12.619026455</v>
      </c>
      <c r="G203">
        <v>327.491792761</v>
      </c>
      <c r="H203">
        <v>100.4913</v>
      </c>
      <c r="I203" t="s">
        <v>167</v>
      </c>
      <c r="J203">
        <v>20240827</v>
      </c>
      <c r="K203" t="s">
        <v>28</v>
      </c>
      <c r="L203" t="s">
        <v>44</v>
      </c>
      <c r="M203" t="s">
        <v>44</v>
      </c>
      <c r="N203" t="s">
        <v>44</v>
      </c>
      <c r="O203" t="s">
        <v>44</v>
      </c>
      <c r="P203" t="s">
        <v>1571</v>
      </c>
      <c r="Q203" t="s">
        <v>28</v>
      </c>
      <c r="R203" t="s">
        <v>598</v>
      </c>
      <c r="S203" t="s">
        <v>28</v>
      </c>
    </row>
    <row r="204" spans="1:19" x14ac:dyDescent="0.25">
      <c r="A204" t="s">
        <v>1052</v>
      </c>
      <c r="B204" t="s">
        <v>1052</v>
      </c>
      <c r="C204">
        <v>9.2147772210000003</v>
      </c>
      <c r="D204" s="38">
        <v>45955</v>
      </c>
      <c r="E204" s="38">
        <v>46412</v>
      </c>
      <c r="F204">
        <v>12.210888568</v>
      </c>
      <c r="G204">
        <v>276.68041121900001</v>
      </c>
      <c r="H204">
        <v>100.5757</v>
      </c>
      <c r="I204" t="s">
        <v>167</v>
      </c>
      <c r="J204">
        <v>20250130</v>
      </c>
      <c r="K204" t="s">
        <v>777</v>
      </c>
      <c r="L204" t="s">
        <v>44</v>
      </c>
      <c r="M204" t="s">
        <v>44</v>
      </c>
      <c r="N204" t="s">
        <v>44</v>
      </c>
      <c r="O204" t="s">
        <v>44</v>
      </c>
      <c r="P204" t="s">
        <v>1571</v>
      </c>
      <c r="Q204" t="s">
        <v>777</v>
      </c>
      <c r="R204" t="s">
        <v>598</v>
      </c>
      <c r="S204" t="s">
        <v>28</v>
      </c>
    </row>
    <row r="205" spans="1:19" x14ac:dyDescent="0.25">
      <c r="A205" t="s">
        <v>1056</v>
      </c>
      <c r="B205" t="s">
        <v>1056</v>
      </c>
      <c r="C205">
        <v>8.835068089</v>
      </c>
      <c r="D205" s="38">
        <v>45950</v>
      </c>
      <c r="E205" s="38">
        <v>46223</v>
      </c>
      <c r="F205">
        <v>12.761805351</v>
      </c>
      <c r="G205">
        <v>317.79595567699999</v>
      </c>
      <c r="H205">
        <v>100.47329999999999</v>
      </c>
      <c r="I205" t="s">
        <v>167</v>
      </c>
      <c r="J205">
        <v>20240722</v>
      </c>
      <c r="K205" t="s">
        <v>28</v>
      </c>
      <c r="L205" t="s">
        <v>44</v>
      </c>
      <c r="M205" t="s">
        <v>44</v>
      </c>
      <c r="N205" t="s">
        <v>44</v>
      </c>
      <c r="O205" t="s">
        <v>44</v>
      </c>
      <c r="P205" t="s">
        <v>1571</v>
      </c>
      <c r="Q205" t="s">
        <v>28</v>
      </c>
      <c r="R205" t="s">
        <v>598</v>
      </c>
      <c r="S205" t="s">
        <v>28</v>
      </c>
    </row>
    <row r="206" spans="1:19" x14ac:dyDescent="0.25">
      <c r="A206" t="s">
        <v>1058</v>
      </c>
      <c r="B206" t="s">
        <v>1058</v>
      </c>
      <c r="C206">
        <v>9.1896307190000002</v>
      </c>
      <c r="D206" s="38">
        <v>45950</v>
      </c>
      <c r="E206" s="38">
        <v>46407</v>
      </c>
      <c r="F206">
        <v>13.17789002</v>
      </c>
      <c r="G206">
        <v>312.565645663</v>
      </c>
      <c r="H206">
        <v>100.5044</v>
      </c>
      <c r="I206" t="s">
        <v>167</v>
      </c>
      <c r="J206">
        <v>20241118</v>
      </c>
      <c r="K206" t="s">
        <v>28</v>
      </c>
      <c r="L206" t="s">
        <v>44</v>
      </c>
      <c r="M206" t="s">
        <v>44</v>
      </c>
      <c r="N206" t="s">
        <v>44</v>
      </c>
      <c r="O206" t="s">
        <v>44</v>
      </c>
      <c r="P206" t="s">
        <v>1572</v>
      </c>
      <c r="Q206" t="s">
        <v>28</v>
      </c>
      <c r="R206" t="s">
        <v>598</v>
      </c>
      <c r="S206" t="s">
        <v>28</v>
      </c>
    </row>
    <row r="207" spans="1:19" x14ac:dyDescent="0.25">
      <c r="A207" t="s">
        <v>1045</v>
      </c>
      <c r="B207" t="s">
        <v>1045</v>
      </c>
      <c r="C207">
        <v>9.0587398340000007</v>
      </c>
      <c r="D207" s="38">
        <v>45950</v>
      </c>
      <c r="E207" s="38">
        <v>46315</v>
      </c>
      <c r="F207">
        <v>12.400638110999999</v>
      </c>
      <c r="G207">
        <v>318.36550968400002</v>
      </c>
      <c r="H207">
        <v>100.44329999999999</v>
      </c>
      <c r="I207" t="s">
        <v>167</v>
      </c>
      <c r="J207">
        <v>20240926</v>
      </c>
      <c r="K207" t="s">
        <v>28</v>
      </c>
      <c r="L207" t="s">
        <v>44</v>
      </c>
      <c r="M207" t="s">
        <v>44</v>
      </c>
      <c r="N207" t="s">
        <v>44</v>
      </c>
      <c r="O207" t="s">
        <v>44</v>
      </c>
      <c r="P207" t="s">
        <v>1571</v>
      </c>
      <c r="Q207" t="s">
        <v>28</v>
      </c>
      <c r="R207" t="s">
        <v>598</v>
      </c>
      <c r="S207" t="s">
        <v>28</v>
      </c>
    </row>
    <row r="208" spans="1:19" x14ac:dyDescent="0.25">
      <c r="A208" t="s">
        <v>1050</v>
      </c>
      <c r="B208" t="s">
        <v>1050</v>
      </c>
      <c r="C208">
        <v>9.0278865340000003</v>
      </c>
      <c r="D208" s="38">
        <v>45952</v>
      </c>
      <c r="E208" s="38">
        <v>46270</v>
      </c>
      <c r="F208">
        <v>12.127106317999999</v>
      </c>
      <c r="G208">
        <v>293.342390647</v>
      </c>
      <c r="H208">
        <v>100.4483</v>
      </c>
      <c r="I208" t="s">
        <v>167</v>
      </c>
      <c r="J208">
        <v>20240905</v>
      </c>
      <c r="K208" t="s">
        <v>777</v>
      </c>
      <c r="L208" t="s">
        <v>44</v>
      </c>
      <c r="M208" t="s">
        <v>44</v>
      </c>
      <c r="N208" t="s">
        <v>44</v>
      </c>
      <c r="O208" t="s">
        <v>44</v>
      </c>
      <c r="P208" t="s">
        <v>1571</v>
      </c>
      <c r="Q208" t="s">
        <v>777</v>
      </c>
      <c r="R208" t="s">
        <v>598</v>
      </c>
      <c r="S208" t="s">
        <v>28</v>
      </c>
    </row>
    <row r="209" spans="1:19" x14ac:dyDescent="0.25">
      <c r="A209" t="s">
        <v>1048</v>
      </c>
      <c r="B209" t="s">
        <v>1048</v>
      </c>
      <c r="C209">
        <v>8.6519587540000007</v>
      </c>
      <c r="D209" s="38">
        <v>45952</v>
      </c>
      <c r="E209" s="38">
        <v>46134</v>
      </c>
      <c r="F209">
        <v>11.726264419</v>
      </c>
      <c r="G209">
        <v>392.26670270099999</v>
      </c>
      <c r="H209">
        <v>100.48309999999999</v>
      </c>
      <c r="I209" t="s">
        <v>167</v>
      </c>
      <c r="J209">
        <v>20240305</v>
      </c>
      <c r="K209" t="s">
        <v>777</v>
      </c>
      <c r="L209" t="s">
        <v>44</v>
      </c>
      <c r="M209" t="s">
        <v>44</v>
      </c>
      <c r="N209" t="s">
        <v>44</v>
      </c>
      <c r="O209" t="s">
        <v>44</v>
      </c>
      <c r="P209" t="s">
        <v>1571</v>
      </c>
      <c r="Q209" t="s">
        <v>777</v>
      </c>
      <c r="R209" t="s">
        <v>598</v>
      </c>
      <c r="S209" t="s">
        <v>28</v>
      </c>
    </row>
    <row r="210" spans="1:19" x14ac:dyDescent="0.25">
      <c r="A210" t="s">
        <v>1037</v>
      </c>
      <c r="B210" t="s">
        <v>1037</v>
      </c>
      <c r="C210">
        <v>9.019928277</v>
      </c>
      <c r="D210" s="38">
        <v>45950</v>
      </c>
      <c r="E210" s="38">
        <v>46291</v>
      </c>
      <c r="F210">
        <v>11.755970298999999</v>
      </c>
      <c r="G210">
        <v>303.89954864999999</v>
      </c>
      <c r="H210">
        <v>100.40770000000001</v>
      </c>
      <c r="I210" t="s">
        <v>94</v>
      </c>
      <c r="J210">
        <v>20240926</v>
      </c>
      <c r="K210" t="s">
        <v>44</v>
      </c>
      <c r="L210" t="s">
        <v>44</v>
      </c>
      <c r="M210" t="s">
        <v>777</v>
      </c>
      <c r="N210" t="s">
        <v>44</v>
      </c>
      <c r="O210" t="s">
        <v>44</v>
      </c>
      <c r="P210" t="s">
        <v>283</v>
      </c>
      <c r="Q210" t="s">
        <v>777</v>
      </c>
      <c r="R210" t="s">
        <v>590</v>
      </c>
      <c r="S210" t="s">
        <v>28</v>
      </c>
    </row>
    <row r="211" spans="1:19" x14ac:dyDescent="0.25">
      <c r="A211" t="s">
        <v>1041</v>
      </c>
      <c r="B211" t="s">
        <v>1041</v>
      </c>
      <c r="C211">
        <v>8.5406364759999995</v>
      </c>
      <c r="D211" s="38">
        <v>45950</v>
      </c>
      <c r="E211" s="38">
        <v>46076</v>
      </c>
      <c r="F211">
        <v>12.04011494</v>
      </c>
      <c r="G211">
        <v>333.80826882700001</v>
      </c>
      <c r="H211">
        <v>100.39149999999999</v>
      </c>
      <c r="I211" t="s">
        <v>95</v>
      </c>
      <c r="J211">
        <v>20240223</v>
      </c>
      <c r="K211" t="s">
        <v>44</v>
      </c>
      <c r="L211" t="s">
        <v>44</v>
      </c>
      <c r="M211" t="s">
        <v>777</v>
      </c>
      <c r="N211" t="s">
        <v>44</v>
      </c>
      <c r="O211" t="s">
        <v>44</v>
      </c>
      <c r="P211" t="s">
        <v>283</v>
      </c>
      <c r="Q211" t="s">
        <v>777</v>
      </c>
      <c r="R211" t="s">
        <v>590</v>
      </c>
      <c r="S211" t="s">
        <v>28</v>
      </c>
    </row>
    <row r="212" spans="1:19" x14ac:dyDescent="0.25">
      <c r="A212" t="s">
        <v>1039</v>
      </c>
      <c r="B212" t="s">
        <v>1039</v>
      </c>
      <c r="C212">
        <v>7.9536181079999997</v>
      </c>
      <c r="D212" s="38">
        <v>45950</v>
      </c>
      <c r="E212" s="38">
        <v>45950</v>
      </c>
      <c r="F212">
        <v>12.24935919</v>
      </c>
      <c r="G212">
        <v>430.75669279200002</v>
      </c>
      <c r="H212">
        <v>100.53530000000001</v>
      </c>
      <c r="I212" t="s">
        <v>94</v>
      </c>
      <c r="J212">
        <v>20230914</v>
      </c>
      <c r="K212" t="s">
        <v>44</v>
      </c>
      <c r="L212" t="s">
        <v>44</v>
      </c>
      <c r="M212" t="s">
        <v>777</v>
      </c>
      <c r="N212" t="s">
        <v>44</v>
      </c>
      <c r="O212" t="s">
        <v>44</v>
      </c>
      <c r="P212" t="s">
        <v>283</v>
      </c>
      <c r="Q212" t="s">
        <v>777</v>
      </c>
      <c r="R212" t="s">
        <v>590</v>
      </c>
      <c r="S212" t="s">
        <v>28</v>
      </c>
    </row>
    <row r="213" spans="1:19" x14ac:dyDescent="0.25">
      <c r="A213" t="s">
        <v>684</v>
      </c>
      <c r="B213" t="s">
        <v>684</v>
      </c>
      <c r="C213">
        <v>8.4292555480000004</v>
      </c>
      <c r="D213" s="38">
        <v>45950</v>
      </c>
      <c r="E213" s="38">
        <v>46315</v>
      </c>
      <c r="F213">
        <v>18.030329628</v>
      </c>
      <c r="G213">
        <v>182.97632772200001</v>
      </c>
      <c r="H213">
        <v>100.47150000000001</v>
      </c>
      <c r="I213" t="s">
        <v>95</v>
      </c>
      <c r="J213">
        <v>20241030</v>
      </c>
      <c r="K213" t="s">
        <v>44</v>
      </c>
      <c r="L213" t="s">
        <v>44</v>
      </c>
      <c r="M213" t="s">
        <v>24</v>
      </c>
      <c r="N213" t="s">
        <v>44</v>
      </c>
      <c r="O213" t="s">
        <v>44</v>
      </c>
      <c r="P213" t="s">
        <v>283</v>
      </c>
      <c r="Q213" t="s">
        <v>24</v>
      </c>
      <c r="R213" t="s">
        <v>590</v>
      </c>
      <c r="S213" t="s">
        <v>24</v>
      </c>
    </row>
    <row r="214" spans="1:19" x14ac:dyDescent="0.25">
      <c r="A214" t="s">
        <v>1043</v>
      </c>
      <c r="B214" t="s">
        <v>1043</v>
      </c>
      <c r="C214">
        <v>8.9988373389999996</v>
      </c>
      <c r="D214" s="38">
        <v>45950</v>
      </c>
      <c r="E214" s="38">
        <v>46315</v>
      </c>
      <c r="F214">
        <v>12.032548868999999</v>
      </c>
      <c r="G214">
        <v>279.77978173000002</v>
      </c>
      <c r="H214">
        <v>100.351</v>
      </c>
      <c r="I214" t="s">
        <v>95</v>
      </c>
      <c r="J214">
        <v>20241030</v>
      </c>
      <c r="K214" t="s">
        <v>44</v>
      </c>
      <c r="L214" t="s">
        <v>44</v>
      </c>
      <c r="M214" t="s">
        <v>777</v>
      </c>
      <c r="N214" t="s">
        <v>44</v>
      </c>
      <c r="O214" t="s">
        <v>44</v>
      </c>
      <c r="P214" t="s">
        <v>283</v>
      </c>
      <c r="Q214" t="s">
        <v>777</v>
      </c>
      <c r="R214" t="s">
        <v>590</v>
      </c>
      <c r="S214" t="s">
        <v>28</v>
      </c>
    </row>
    <row r="215" spans="1:19" x14ac:dyDescent="0.25">
      <c r="A215" t="s">
        <v>1035</v>
      </c>
      <c r="B215" t="s">
        <v>1035</v>
      </c>
      <c r="C215">
        <v>6.4065086100000004</v>
      </c>
      <c r="D215" s="38">
        <v>45950</v>
      </c>
      <c r="E215" s="38">
        <v>45402</v>
      </c>
      <c r="F215">
        <v>11.747535974</v>
      </c>
      <c r="G215">
        <v>333.63989365499998</v>
      </c>
      <c r="H215">
        <v>100.5821</v>
      </c>
      <c r="I215" t="s">
        <v>97</v>
      </c>
      <c r="J215">
        <v>20220317</v>
      </c>
      <c r="K215" t="s">
        <v>44</v>
      </c>
      <c r="L215" t="s">
        <v>44</v>
      </c>
      <c r="M215" t="s">
        <v>28</v>
      </c>
      <c r="N215" t="s">
        <v>44</v>
      </c>
      <c r="O215" t="s">
        <v>44</v>
      </c>
      <c r="P215" t="s">
        <v>483</v>
      </c>
      <c r="Q215" t="s">
        <v>28</v>
      </c>
      <c r="R215" t="s">
        <v>590</v>
      </c>
      <c r="S215" t="s">
        <v>28</v>
      </c>
    </row>
    <row r="216" spans="1:19" x14ac:dyDescent="0.25">
      <c r="A216" t="s">
        <v>678</v>
      </c>
      <c r="B216" t="s">
        <v>678</v>
      </c>
      <c r="C216">
        <v>7.0076056260000001</v>
      </c>
      <c r="D216" s="38">
        <v>45955</v>
      </c>
      <c r="E216" s="38">
        <v>45863</v>
      </c>
      <c r="F216">
        <v>19.178588829999999</v>
      </c>
      <c r="H216">
        <v>100.005</v>
      </c>
      <c r="I216" t="s">
        <v>97</v>
      </c>
      <c r="J216">
        <v>20230721</v>
      </c>
      <c r="K216" t="s">
        <v>44</v>
      </c>
      <c r="L216" t="s">
        <v>44</v>
      </c>
      <c r="M216" t="s">
        <v>24</v>
      </c>
      <c r="N216" t="s">
        <v>44</v>
      </c>
      <c r="O216" t="s">
        <v>44</v>
      </c>
      <c r="P216" t="s">
        <v>483</v>
      </c>
      <c r="Q216" t="s">
        <v>24</v>
      </c>
      <c r="R216" t="s">
        <v>590</v>
      </c>
      <c r="S216" t="s">
        <v>24</v>
      </c>
    </row>
    <row r="217" spans="1:19" x14ac:dyDescent="0.25">
      <c r="A217" t="s">
        <v>1072</v>
      </c>
      <c r="B217" t="s">
        <v>1072</v>
      </c>
      <c r="C217">
        <v>9.0328193910000003</v>
      </c>
      <c r="D217" s="38">
        <v>45950</v>
      </c>
      <c r="E217" s="38">
        <v>46292</v>
      </c>
      <c r="F217">
        <v>12</v>
      </c>
      <c r="G217">
        <v>295.11567060700003</v>
      </c>
      <c r="H217">
        <v>100.3267</v>
      </c>
      <c r="I217" t="s">
        <v>122</v>
      </c>
      <c r="J217">
        <v>20240927</v>
      </c>
      <c r="K217" t="s">
        <v>777</v>
      </c>
      <c r="L217" t="s">
        <v>44</v>
      </c>
      <c r="M217" t="s">
        <v>44</v>
      </c>
      <c r="N217" t="s">
        <v>44</v>
      </c>
      <c r="O217" t="s">
        <v>44</v>
      </c>
      <c r="P217" t="s">
        <v>1573</v>
      </c>
      <c r="Q217" t="s">
        <v>777</v>
      </c>
      <c r="R217" t="s">
        <v>598</v>
      </c>
      <c r="S217" t="s">
        <v>28</v>
      </c>
    </row>
    <row r="218" spans="1:19" x14ac:dyDescent="0.25">
      <c r="A218" t="s">
        <v>687</v>
      </c>
      <c r="B218" t="s">
        <v>687</v>
      </c>
      <c r="C218">
        <v>5.8437278299999997</v>
      </c>
      <c r="D218" s="38">
        <v>45950</v>
      </c>
      <c r="E218" s="38">
        <v>45219</v>
      </c>
      <c r="F218">
        <v>17.499676991000001</v>
      </c>
      <c r="G218">
        <v>264.48696464</v>
      </c>
      <c r="H218">
        <v>100.3218</v>
      </c>
      <c r="I218" t="s">
        <v>168</v>
      </c>
      <c r="J218">
        <v>20211112</v>
      </c>
      <c r="K218" t="s">
        <v>44</v>
      </c>
      <c r="L218" t="s">
        <v>610</v>
      </c>
      <c r="M218" t="s">
        <v>44</v>
      </c>
      <c r="N218" t="s">
        <v>44</v>
      </c>
      <c r="O218" t="s">
        <v>44</v>
      </c>
      <c r="P218" t="s">
        <v>1574</v>
      </c>
      <c r="Q218" t="s">
        <v>610</v>
      </c>
      <c r="R218" t="s">
        <v>572</v>
      </c>
      <c r="S218" t="s">
        <v>24</v>
      </c>
    </row>
    <row r="219" spans="1:19" x14ac:dyDescent="0.25">
      <c r="A219" t="s">
        <v>1063</v>
      </c>
      <c r="B219" t="s">
        <v>1063</v>
      </c>
      <c r="C219">
        <v>6.3071643699999997</v>
      </c>
      <c r="D219" s="38">
        <v>45950</v>
      </c>
      <c r="E219" s="38">
        <v>45219</v>
      </c>
      <c r="F219">
        <v>10.838160225999999</v>
      </c>
      <c r="G219">
        <v>376.73306176199998</v>
      </c>
      <c r="H219">
        <v>100.26519999999999</v>
      </c>
      <c r="I219" t="s">
        <v>168</v>
      </c>
      <c r="J219">
        <v>20211112</v>
      </c>
      <c r="K219" t="s">
        <v>44</v>
      </c>
      <c r="L219" t="s">
        <v>815</v>
      </c>
      <c r="M219" t="s">
        <v>44</v>
      </c>
      <c r="N219" t="s">
        <v>44</v>
      </c>
      <c r="O219" t="s">
        <v>44</v>
      </c>
      <c r="P219" t="s">
        <v>1574</v>
      </c>
      <c r="Q219" t="s">
        <v>815</v>
      </c>
      <c r="R219" t="s">
        <v>572</v>
      </c>
      <c r="S219" t="s">
        <v>28</v>
      </c>
    </row>
    <row r="220" spans="1:19" x14ac:dyDescent="0.25">
      <c r="A220" t="s">
        <v>1065</v>
      </c>
      <c r="B220" t="s">
        <v>1065</v>
      </c>
      <c r="C220">
        <v>6.1576218349999996</v>
      </c>
      <c r="D220" s="38">
        <v>45950</v>
      </c>
      <c r="E220" s="38">
        <v>45127</v>
      </c>
      <c r="F220">
        <v>11.142306570000001</v>
      </c>
      <c r="G220">
        <v>400.74684841200002</v>
      </c>
      <c r="H220">
        <v>99.514300000000006</v>
      </c>
      <c r="I220" t="s">
        <v>168</v>
      </c>
      <c r="J220">
        <v>20210820</v>
      </c>
      <c r="K220" t="s">
        <v>777</v>
      </c>
      <c r="L220" t="s">
        <v>44</v>
      </c>
      <c r="M220" t="s">
        <v>44</v>
      </c>
      <c r="N220" t="s">
        <v>44</v>
      </c>
      <c r="O220" t="s">
        <v>44</v>
      </c>
      <c r="P220" t="s">
        <v>1575</v>
      </c>
      <c r="Q220" t="s">
        <v>777</v>
      </c>
      <c r="R220" t="s">
        <v>598</v>
      </c>
      <c r="S220" t="s">
        <v>28</v>
      </c>
    </row>
    <row r="221" spans="1:19" x14ac:dyDescent="0.25">
      <c r="A221" t="s">
        <v>1070</v>
      </c>
      <c r="B221" t="s">
        <v>1070</v>
      </c>
      <c r="C221">
        <v>9.0226220599999998</v>
      </c>
      <c r="D221" s="38">
        <v>45945</v>
      </c>
      <c r="E221" s="38">
        <v>46310</v>
      </c>
      <c r="F221">
        <v>11.947183416</v>
      </c>
      <c r="G221">
        <v>295.57575690099998</v>
      </c>
      <c r="H221">
        <v>100.97839999999999</v>
      </c>
      <c r="I221" t="s">
        <v>105</v>
      </c>
      <c r="J221">
        <v>20241023</v>
      </c>
      <c r="K221" t="s">
        <v>777</v>
      </c>
      <c r="L221" t="s">
        <v>44</v>
      </c>
      <c r="M221" t="s">
        <v>44</v>
      </c>
      <c r="N221" t="s">
        <v>44</v>
      </c>
      <c r="O221" t="s">
        <v>44</v>
      </c>
      <c r="P221" t="s">
        <v>292</v>
      </c>
      <c r="Q221" t="s">
        <v>777</v>
      </c>
      <c r="R221" t="s">
        <v>598</v>
      </c>
      <c r="S221" t="s">
        <v>28</v>
      </c>
    </row>
    <row r="222" spans="1:19" x14ac:dyDescent="0.25">
      <c r="A222" t="s">
        <v>1068</v>
      </c>
      <c r="B222" t="s">
        <v>1068</v>
      </c>
      <c r="C222">
        <v>8.5257213259999993</v>
      </c>
      <c r="D222" s="38">
        <v>45945</v>
      </c>
      <c r="E222" s="38">
        <v>46127</v>
      </c>
      <c r="F222">
        <v>13.010893811000001</v>
      </c>
      <c r="G222">
        <v>364.50396564499999</v>
      </c>
      <c r="H222">
        <v>100.66070000000001</v>
      </c>
      <c r="I222" t="s">
        <v>169</v>
      </c>
      <c r="J222">
        <v>20240502</v>
      </c>
      <c r="K222" t="s">
        <v>28</v>
      </c>
      <c r="L222" t="s">
        <v>44</v>
      </c>
      <c r="M222" t="s">
        <v>44</v>
      </c>
      <c r="N222" t="s">
        <v>44</v>
      </c>
      <c r="O222" t="s">
        <v>44</v>
      </c>
      <c r="P222" t="s">
        <v>292</v>
      </c>
      <c r="Q222" t="s">
        <v>28</v>
      </c>
      <c r="R222" t="s">
        <v>598</v>
      </c>
      <c r="S222" t="s">
        <v>28</v>
      </c>
    </row>
    <row r="223" spans="1:19" x14ac:dyDescent="0.25">
      <c r="A223" t="s">
        <v>1082</v>
      </c>
      <c r="B223" t="s">
        <v>1082</v>
      </c>
      <c r="C223">
        <v>6.1937311719999997</v>
      </c>
      <c r="D223" s="38">
        <v>45950</v>
      </c>
      <c r="E223" s="38">
        <v>46009</v>
      </c>
      <c r="F223">
        <v>10.376062549</v>
      </c>
      <c r="G223">
        <v>372.53497182500001</v>
      </c>
      <c r="H223">
        <v>100.1712</v>
      </c>
      <c r="I223" t="s">
        <v>106</v>
      </c>
      <c r="J223">
        <v>20211027</v>
      </c>
      <c r="K223" t="s">
        <v>44</v>
      </c>
      <c r="L223" t="s">
        <v>815</v>
      </c>
      <c r="M223" t="s">
        <v>44</v>
      </c>
      <c r="N223" t="s">
        <v>44</v>
      </c>
      <c r="O223" t="s">
        <v>44</v>
      </c>
      <c r="P223" t="s">
        <v>297</v>
      </c>
      <c r="Q223" t="s">
        <v>815</v>
      </c>
      <c r="R223" t="s">
        <v>572</v>
      </c>
      <c r="S223" t="s">
        <v>28</v>
      </c>
    </row>
    <row r="224" spans="1:19" x14ac:dyDescent="0.25">
      <c r="A224" t="s">
        <v>1078</v>
      </c>
      <c r="B224" t="s">
        <v>1078</v>
      </c>
      <c r="C224">
        <v>6.4876421239999997</v>
      </c>
      <c r="D224" s="38">
        <v>45950</v>
      </c>
      <c r="E224" s="38">
        <v>46097</v>
      </c>
      <c r="F224">
        <v>9.2564090009999997</v>
      </c>
      <c r="G224">
        <v>441.54429702499999</v>
      </c>
      <c r="H224">
        <v>97.174000000000007</v>
      </c>
      <c r="I224" t="s">
        <v>106</v>
      </c>
      <c r="J224">
        <v>20211207</v>
      </c>
      <c r="K224" t="s">
        <v>777</v>
      </c>
      <c r="L224" t="s">
        <v>44</v>
      </c>
      <c r="M224" t="s">
        <v>44</v>
      </c>
      <c r="N224" t="s">
        <v>44</v>
      </c>
      <c r="O224" t="s">
        <v>44</v>
      </c>
      <c r="P224" t="s">
        <v>297</v>
      </c>
      <c r="Q224" t="s">
        <v>777</v>
      </c>
      <c r="R224" t="s">
        <v>598</v>
      </c>
      <c r="S224" t="s">
        <v>28</v>
      </c>
    </row>
    <row r="225" spans="1:19" x14ac:dyDescent="0.25">
      <c r="A225" t="s">
        <v>1080</v>
      </c>
      <c r="B225" t="s">
        <v>1080</v>
      </c>
      <c r="C225">
        <v>6.0233941409999998</v>
      </c>
      <c r="D225" s="38">
        <v>45947</v>
      </c>
      <c r="E225" s="38">
        <v>45750</v>
      </c>
      <c r="F225">
        <v>8.3942935599999995</v>
      </c>
      <c r="G225">
        <v>408.64932890400001</v>
      </c>
      <c r="H225">
        <v>97.944100000000006</v>
      </c>
      <c r="I225" t="s">
        <v>106</v>
      </c>
      <c r="J225">
        <v>20210311</v>
      </c>
      <c r="K225" t="s">
        <v>777</v>
      </c>
      <c r="L225" t="s">
        <v>44</v>
      </c>
      <c r="M225" t="s">
        <v>44</v>
      </c>
      <c r="N225" t="s">
        <v>44</v>
      </c>
      <c r="O225" t="s">
        <v>44</v>
      </c>
      <c r="P225" t="s">
        <v>297</v>
      </c>
      <c r="Q225" t="s">
        <v>777</v>
      </c>
      <c r="R225" t="s">
        <v>598</v>
      </c>
      <c r="S225" t="s">
        <v>28</v>
      </c>
    </row>
    <row r="226" spans="1:19" x14ac:dyDescent="0.25">
      <c r="A226" t="s">
        <v>1088</v>
      </c>
      <c r="B226" t="s">
        <v>1088</v>
      </c>
      <c r="C226">
        <v>8.754830321</v>
      </c>
      <c r="D226" s="38">
        <v>45952</v>
      </c>
      <c r="E226" s="38">
        <v>46075</v>
      </c>
      <c r="F226">
        <v>10.70557314</v>
      </c>
      <c r="G226">
        <v>372.89223289300003</v>
      </c>
      <c r="H226">
        <v>100.7757</v>
      </c>
      <c r="I226" t="s">
        <v>116</v>
      </c>
      <c r="J226">
        <v>20240222</v>
      </c>
      <c r="K226" t="s">
        <v>44</v>
      </c>
      <c r="L226" t="s">
        <v>44</v>
      </c>
      <c r="M226" t="s">
        <v>777</v>
      </c>
      <c r="N226" t="s">
        <v>44</v>
      </c>
      <c r="O226" t="s">
        <v>44</v>
      </c>
      <c r="P226" t="s">
        <v>300</v>
      </c>
      <c r="Q226" t="s">
        <v>777</v>
      </c>
      <c r="R226" t="s">
        <v>590</v>
      </c>
      <c r="S226" t="s">
        <v>28</v>
      </c>
    </row>
    <row r="227" spans="1:19" x14ac:dyDescent="0.25">
      <c r="A227" t="s">
        <v>1084</v>
      </c>
      <c r="B227" t="s">
        <v>1084</v>
      </c>
      <c r="C227">
        <v>6.3391075299999997</v>
      </c>
      <c r="D227" s="38">
        <v>45952</v>
      </c>
      <c r="E227" s="38">
        <v>45221</v>
      </c>
      <c r="F227">
        <v>10.147923587999999</v>
      </c>
      <c r="G227">
        <v>320.247394461</v>
      </c>
      <c r="H227">
        <v>100.2967</v>
      </c>
      <c r="I227" t="s">
        <v>116</v>
      </c>
      <c r="J227">
        <v>20211202</v>
      </c>
      <c r="K227" t="s">
        <v>44</v>
      </c>
      <c r="L227" t="s">
        <v>815</v>
      </c>
      <c r="M227" t="s">
        <v>44</v>
      </c>
      <c r="N227" t="s">
        <v>44</v>
      </c>
      <c r="O227" t="s">
        <v>44</v>
      </c>
      <c r="P227" t="s">
        <v>300</v>
      </c>
      <c r="Q227" t="s">
        <v>815</v>
      </c>
      <c r="R227" t="s">
        <v>572</v>
      </c>
      <c r="S227" t="s">
        <v>28</v>
      </c>
    </row>
    <row r="228" spans="1:19" x14ac:dyDescent="0.25">
      <c r="A228" t="s">
        <v>1086</v>
      </c>
      <c r="B228" t="s">
        <v>1086</v>
      </c>
      <c r="C228">
        <v>9.1435837269999993</v>
      </c>
      <c r="D228" s="38">
        <v>45952</v>
      </c>
      <c r="E228" s="38">
        <v>46317</v>
      </c>
      <c r="F228">
        <v>11.711810495</v>
      </c>
      <c r="G228">
        <v>316.60413530699998</v>
      </c>
      <c r="H228">
        <v>100.2238</v>
      </c>
      <c r="I228" t="s">
        <v>116</v>
      </c>
      <c r="J228">
        <v>20241022</v>
      </c>
      <c r="K228" t="s">
        <v>44</v>
      </c>
      <c r="L228" t="s">
        <v>44</v>
      </c>
      <c r="M228" t="s">
        <v>777</v>
      </c>
      <c r="N228" t="s">
        <v>44</v>
      </c>
      <c r="O228" t="s">
        <v>44</v>
      </c>
      <c r="P228" t="s">
        <v>300</v>
      </c>
      <c r="Q228" t="s">
        <v>777</v>
      </c>
      <c r="R228" t="s">
        <v>590</v>
      </c>
      <c r="S228" t="s">
        <v>28</v>
      </c>
    </row>
    <row r="229" spans="1:19" x14ac:dyDescent="0.25">
      <c r="A229" t="s">
        <v>691</v>
      </c>
      <c r="B229" t="s">
        <v>691</v>
      </c>
      <c r="C229">
        <v>8.3316300539999997</v>
      </c>
      <c r="D229" s="38">
        <v>45945</v>
      </c>
      <c r="E229" s="38">
        <v>46218</v>
      </c>
      <c r="F229">
        <v>17.280125625</v>
      </c>
      <c r="G229">
        <v>227.29538943700001</v>
      </c>
      <c r="H229">
        <v>100.8347</v>
      </c>
      <c r="I229" t="s">
        <v>116</v>
      </c>
      <c r="J229">
        <v>20240516</v>
      </c>
      <c r="K229" t="s">
        <v>44</v>
      </c>
      <c r="L229" t="s">
        <v>44</v>
      </c>
      <c r="M229" t="s">
        <v>24</v>
      </c>
      <c r="N229" t="s">
        <v>44</v>
      </c>
      <c r="O229" t="s">
        <v>44</v>
      </c>
      <c r="P229" t="s">
        <v>300</v>
      </c>
      <c r="Q229" t="s">
        <v>24</v>
      </c>
      <c r="R229" t="s">
        <v>590</v>
      </c>
      <c r="S229" t="s">
        <v>24</v>
      </c>
    </row>
    <row r="230" spans="1:19" x14ac:dyDescent="0.25">
      <c r="A230" t="s">
        <v>1090</v>
      </c>
      <c r="B230" t="s">
        <v>1090</v>
      </c>
      <c r="C230">
        <v>8.8945877759999998</v>
      </c>
      <c r="D230" s="38">
        <v>45945</v>
      </c>
      <c r="E230" s="38">
        <v>46218</v>
      </c>
      <c r="F230">
        <v>11.227451889999999</v>
      </c>
      <c r="G230">
        <v>346.283904667</v>
      </c>
      <c r="H230">
        <v>100.9008</v>
      </c>
      <c r="I230" t="s">
        <v>116</v>
      </c>
      <c r="J230">
        <v>20240516</v>
      </c>
      <c r="K230" t="s">
        <v>44</v>
      </c>
      <c r="L230" t="s">
        <v>44</v>
      </c>
      <c r="M230" t="s">
        <v>777</v>
      </c>
      <c r="N230" t="s">
        <v>44</v>
      </c>
      <c r="O230" t="s">
        <v>44</v>
      </c>
      <c r="P230" t="s">
        <v>300</v>
      </c>
      <c r="Q230" t="s">
        <v>777</v>
      </c>
      <c r="R230" t="s">
        <v>590</v>
      </c>
      <c r="S230" t="s">
        <v>28</v>
      </c>
    </row>
    <row r="231" spans="1:19" x14ac:dyDescent="0.25">
      <c r="A231" t="s">
        <v>1094</v>
      </c>
      <c r="B231" t="s">
        <v>1094</v>
      </c>
      <c r="C231">
        <v>5.5992404479999998</v>
      </c>
      <c r="D231" s="38">
        <v>45955</v>
      </c>
      <c r="E231" s="38">
        <v>45164</v>
      </c>
      <c r="F231">
        <v>11.859114473</v>
      </c>
      <c r="H231">
        <v>100.005</v>
      </c>
      <c r="I231" t="s">
        <v>103</v>
      </c>
      <c r="J231">
        <v>20210826</v>
      </c>
      <c r="K231" t="s">
        <v>777</v>
      </c>
      <c r="L231" t="s">
        <v>44</v>
      </c>
      <c r="M231" t="s">
        <v>44</v>
      </c>
      <c r="N231" t="s">
        <v>44</v>
      </c>
      <c r="O231" t="s">
        <v>44</v>
      </c>
      <c r="P231" t="s">
        <v>1095</v>
      </c>
      <c r="Q231" t="s">
        <v>777</v>
      </c>
      <c r="R231" t="s">
        <v>598</v>
      </c>
      <c r="S231" t="s">
        <v>28</v>
      </c>
    </row>
    <row r="232" spans="1:19" x14ac:dyDescent="0.25">
      <c r="A232" t="s">
        <v>1097</v>
      </c>
      <c r="B232" t="s">
        <v>1097</v>
      </c>
      <c r="C232">
        <v>3.2610679070000002</v>
      </c>
      <c r="D232" s="38">
        <v>45944</v>
      </c>
      <c r="E232" s="38">
        <v>44026</v>
      </c>
      <c r="F232">
        <v>18.327913216999999</v>
      </c>
      <c r="G232">
        <v>344.23862059700002</v>
      </c>
      <c r="H232">
        <v>100.1853</v>
      </c>
      <c r="I232" t="s">
        <v>170</v>
      </c>
      <c r="J232">
        <v>20180711</v>
      </c>
      <c r="K232" t="s">
        <v>44</v>
      </c>
      <c r="L232" t="s">
        <v>815</v>
      </c>
      <c r="M232" t="s">
        <v>44</v>
      </c>
      <c r="N232" t="s">
        <v>44</v>
      </c>
      <c r="O232" t="s">
        <v>44</v>
      </c>
      <c r="P232" t="s">
        <v>1095</v>
      </c>
      <c r="Q232" t="s">
        <v>815</v>
      </c>
      <c r="R232" t="s">
        <v>572</v>
      </c>
      <c r="S232" t="s">
        <v>28</v>
      </c>
    </row>
    <row r="233" spans="1:19" x14ac:dyDescent="0.25">
      <c r="A233" t="s">
        <v>1116</v>
      </c>
      <c r="B233" t="s">
        <v>1116</v>
      </c>
      <c r="C233">
        <v>6.781422032</v>
      </c>
      <c r="D233" s="38">
        <v>45950</v>
      </c>
      <c r="E233" s="38">
        <v>46020</v>
      </c>
      <c r="F233">
        <v>11.753136224</v>
      </c>
      <c r="G233">
        <v>474.000047392</v>
      </c>
      <c r="H233">
        <v>101.3368</v>
      </c>
      <c r="I233" t="s">
        <v>121</v>
      </c>
      <c r="J233">
        <v>20231229</v>
      </c>
      <c r="K233" t="s">
        <v>44</v>
      </c>
      <c r="L233" t="s">
        <v>44</v>
      </c>
      <c r="M233" t="s">
        <v>777</v>
      </c>
      <c r="N233" t="s">
        <v>44</v>
      </c>
      <c r="O233" t="s">
        <v>44</v>
      </c>
      <c r="P233" t="s">
        <v>506</v>
      </c>
      <c r="Q233" t="s">
        <v>777</v>
      </c>
      <c r="R233" t="s">
        <v>590</v>
      </c>
      <c r="S233" t="s">
        <v>28</v>
      </c>
    </row>
    <row r="234" spans="1:19" x14ac:dyDescent="0.25">
      <c r="A234" t="s">
        <v>694</v>
      </c>
      <c r="B234" t="s">
        <v>694</v>
      </c>
      <c r="C234">
        <v>6.2482040679999997</v>
      </c>
      <c r="D234" s="38">
        <v>45950</v>
      </c>
      <c r="E234" s="38">
        <v>45858</v>
      </c>
      <c r="F234">
        <v>18.027786343999999</v>
      </c>
      <c r="G234">
        <v>175.33832056599999</v>
      </c>
      <c r="H234">
        <v>100.5119</v>
      </c>
      <c r="I234" t="s">
        <v>104</v>
      </c>
      <c r="J234">
        <v>20240722</v>
      </c>
      <c r="K234" t="s">
        <v>24</v>
      </c>
      <c r="L234" t="s">
        <v>44</v>
      </c>
      <c r="M234" t="s">
        <v>44</v>
      </c>
      <c r="N234" t="s">
        <v>44</v>
      </c>
      <c r="O234" t="s">
        <v>44</v>
      </c>
      <c r="P234" t="s">
        <v>1576</v>
      </c>
      <c r="Q234" t="s">
        <v>24</v>
      </c>
      <c r="R234" t="s">
        <v>598</v>
      </c>
      <c r="S234" t="s">
        <v>24</v>
      </c>
    </row>
    <row r="235" spans="1:19" x14ac:dyDescent="0.25">
      <c r="A235" t="s">
        <v>1092</v>
      </c>
      <c r="B235" t="s">
        <v>1092</v>
      </c>
      <c r="C235">
        <v>6.6129483889999996</v>
      </c>
      <c r="D235" s="38">
        <v>45950</v>
      </c>
      <c r="E235" s="38">
        <v>45858</v>
      </c>
      <c r="F235">
        <v>12.029819491</v>
      </c>
      <c r="G235">
        <v>282.81335321500001</v>
      </c>
      <c r="H235">
        <v>100.1109</v>
      </c>
      <c r="I235" t="s">
        <v>104</v>
      </c>
      <c r="J235">
        <v>20240722</v>
      </c>
      <c r="K235" t="s">
        <v>777</v>
      </c>
      <c r="L235" t="s">
        <v>44</v>
      </c>
      <c r="M235" t="s">
        <v>44</v>
      </c>
      <c r="N235" t="s">
        <v>44</v>
      </c>
      <c r="O235" t="s">
        <v>44</v>
      </c>
      <c r="P235" t="s">
        <v>1576</v>
      </c>
      <c r="Q235" t="s">
        <v>777</v>
      </c>
      <c r="R235" t="s">
        <v>598</v>
      </c>
      <c r="S235" t="s">
        <v>28</v>
      </c>
    </row>
    <row r="236" spans="1:19" x14ac:dyDescent="0.25">
      <c r="A236" t="s">
        <v>567</v>
      </c>
      <c r="B236" t="s">
        <v>567</v>
      </c>
      <c r="C236">
        <v>2.6001600630000001</v>
      </c>
      <c r="D236" s="38">
        <v>45945</v>
      </c>
      <c r="E236" s="38">
        <v>44119</v>
      </c>
      <c r="F236">
        <v>37.616781975999999</v>
      </c>
      <c r="G236">
        <v>238.32200597299999</v>
      </c>
      <c r="H236">
        <v>100.2955</v>
      </c>
      <c r="I236" t="s">
        <v>121</v>
      </c>
      <c r="J236">
        <v>20181003</v>
      </c>
      <c r="K236" t="s">
        <v>44</v>
      </c>
      <c r="L236" t="s">
        <v>573</v>
      </c>
      <c r="M236" t="s">
        <v>44</v>
      </c>
      <c r="N236" t="s">
        <v>44</v>
      </c>
      <c r="O236" t="s">
        <v>44</v>
      </c>
      <c r="P236" t="s">
        <v>506</v>
      </c>
      <c r="Q236" t="s">
        <v>573</v>
      </c>
      <c r="R236" t="s">
        <v>572</v>
      </c>
      <c r="S236" t="s">
        <v>21</v>
      </c>
    </row>
    <row r="237" spans="1:19" x14ac:dyDescent="0.25">
      <c r="A237" t="s">
        <v>1099</v>
      </c>
      <c r="B237" t="s">
        <v>1099</v>
      </c>
      <c r="C237">
        <v>6.2040991590000001</v>
      </c>
      <c r="D237" s="38">
        <v>45950</v>
      </c>
      <c r="E237" s="38">
        <v>45204</v>
      </c>
      <c r="F237">
        <v>10.385864761000001</v>
      </c>
      <c r="G237">
        <v>389.71755554800001</v>
      </c>
      <c r="H237">
        <v>98.322699999999998</v>
      </c>
      <c r="I237" t="s">
        <v>121</v>
      </c>
      <c r="J237">
        <v>20211005</v>
      </c>
      <c r="K237" t="s">
        <v>777</v>
      </c>
      <c r="L237" t="s">
        <v>44</v>
      </c>
      <c r="M237" t="s">
        <v>44</v>
      </c>
      <c r="N237" t="s">
        <v>44</v>
      </c>
      <c r="O237" t="s">
        <v>44</v>
      </c>
      <c r="P237" t="s">
        <v>506</v>
      </c>
      <c r="Q237" t="s">
        <v>777</v>
      </c>
      <c r="R237" t="s">
        <v>598</v>
      </c>
      <c r="S237" t="s">
        <v>28</v>
      </c>
    </row>
    <row r="238" spans="1:19" x14ac:dyDescent="0.25">
      <c r="A238" t="s">
        <v>1101</v>
      </c>
      <c r="B238" t="s">
        <v>1101</v>
      </c>
      <c r="C238">
        <v>5.521120314</v>
      </c>
      <c r="D238" s="38">
        <v>45945</v>
      </c>
      <c r="E238" s="38">
        <v>45031</v>
      </c>
      <c r="F238">
        <v>11.233012471</v>
      </c>
      <c r="G238">
        <v>362.05156883400002</v>
      </c>
      <c r="H238">
        <v>100.35899999999999</v>
      </c>
      <c r="I238" t="s">
        <v>121</v>
      </c>
      <c r="J238">
        <v>20210325</v>
      </c>
      <c r="K238" t="s">
        <v>44</v>
      </c>
      <c r="L238" t="s">
        <v>815</v>
      </c>
      <c r="M238" t="s">
        <v>44</v>
      </c>
      <c r="N238" t="s">
        <v>44</v>
      </c>
      <c r="O238" t="s">
        <v>44</v>
      </c>
      <c r="P238" t="s">
        <v>506</v>
      </c>
      <c r="Q238" t="s">
        <v>815</v>
      </c>
      <c r="R238" t="s">
        <v>572</v>
      </c>
      <c r="S238" t="s">
        <v>28</v>
      </c>
    </row>
    <row r="239" spans="1:19" x14ac:dyDescent="0.25">
      <c r="A239" t="s">
        <v>1105</v>
      </c>
      <c r="B239" t="s">
        <v>1105</v>
      </c>
      <c r="C239">
        <v>3.863254907</v>
      </c>
      <c r="D239" s="38">
        <v>45950</v>
      </c>
      <c r="E239" s="38">
        <v>44762</v>
      </c>
      <c r="F239">
        <v>15.569588797</v>
      </c>
      <c r="G239">
        <v>343.514945834</v>
      </c>
      <c r="H239">
        <v>100.2469</v>
      </c>
      <c r="I239" t="s">
        <v>121</v>
      </c>
      <c r="J239">
        <v>20210720</v>
      </c>
      <c r="K239" t="s">
        <v>44</v>
      </c>
      <c r="L239" t="s">
        <v>931</v>
      </c>
      <c r="M239" t="s">
        <v>44</v>
      </c>
      <c r="N239" t="s">
        <v>44</v>
      </c>
      <c r="O239" t="s">
        <v>44</v>
      </c>
      <c r="P239" t="s">
        <v>506</v>
      </c>
      <c r="Q239" t="s">
        <v>931</v>
      </c>
      <c r="R239" t="s">
        <v>572</v>
      </c>
      <c r="S239" t="s">
        <v>28</v>
      </c>
    </row>
    <row r="240" spans="1:19" x14ac:dyDescent="0.25">
      <c r="A240" t="s">
        <v>1112</v>
      </c>
      <c r="B240" t="s">
        <v>1112</v>
      </c>
      <c r="C240">
        <v>5.8499582019999998</v>
      </c>
      <c r="D240" s="38">
        <v>45945</v>
      </c>
      <c r="E240" s="38">
        <v>45105</v>
      </c>
      <c r="F240">
        <v>11.300064370999999</v>
      </c>
      <c r="G240">
        <v>348.55208981800001</v>
      </c>
      <c r="H240">
        <v>100.3548</v>
      </c>
      <c r="I240" t="s">
        <v>121</v>
      </c>
      <c r="J240">
        <v>20210628</v>
      </c>
      <c r="K240" t="s">
        <v>44</v>
      </c>
      <c r="L240" t="s">
        <v>815</v>
      </c>
      <c r="M240" t="s">
        <v>44</v>
      </c>
      <c r="N240" t="s">
        <v>44</v>
      </c>
      <c r="O240" t="s">
        <v>44</v>
      </c>
      <c r="P240" t="s">
        <v>506</v>
      </c>
      <c r="Q240" t="s">
        <v>815</v>
      </c>
      <c r="R240" t="s">
        <v>572</v>
      </c>
      <c r="S240" t="s">
        <v>28</v>
      </c>
    </row>
    <row r="241" spans="1:19" x14ac:dyDescent="0.25">
      <c r="A241" t="s">
        <v>1114</v>
      </c>
      <c r="B241" t="s">
        <v>1114</v>
      </c>
      <c r="C241">
        <v>9.2727847259999994</v>
      </c>
      <c r="D241" s="38">
        <v>45950</v>
      </c>
      <c r="E241" s="38">
        <v>46407</v>
      </c>
      <c r="F241">
        <v>11.758769716</v>
      </c>
      <c r="G241">
        <v>287.01663481399999</v>
      </c>
      <c r="H241">
        <v>99.148499999999999</v>
      </c>
      <c r="I241" t="s">
        <v>121</v>
      </c>
      <c r="J241">
        <v>20250214</v>
      </c>
      <c r="K241" t="s">
        <v>777</v>
      </c>
      <c r="L241" t="s">
        <v>44</v>
      </c>
      <c r="M241" t="s">
        <v>44</v>
      </c>
      <c r="N241" t="s">
        <v>44</v>
      </c>
      <c r="O241" t="s">
        <v>44</v>
      </c>
      <c r="P241" t="s">
        <v>506</v>
      </c>
      <c r="Q241" t="s">
        <v>777</v>
      </c>
      <c r="R241" t="s">
        <v>598</v>
      </c>
      <c r="S241" t="s">
        <v>28</v>
      </c>
    </row>
    <row r="242" spans="1:19" x14ac:dyDescent="0.25">
      <c r="A242" t="s">
        <v>1107</v>
      </c>
      <c r="B242" t="s">
        <v>1107</v>
      </c>
      <c r="C242">
        <v>5.8098248950000002</v>
      </c>
      <c r="D242" s="38">
        <v>45950</v>
      </c>
      <c r="E242" s="38">
        <v>45036</v>
      </c>
      <c r="F242">
        <v>10.728899608000001</v>
      </c>
      <c r="G242">
        <v>302.51294479400002</v>
      </c>
      <c r="H242">
        <v>100.1677</v>
      </c>
      <c r="I242" t="s">
        <v>121</v>
      </c>
      <c r="J242">
        <v>20210326</v>
      </c>
      <c r="K242" t="s">
        <v>777</v>
      </c>
      <c r="L242" t="s">
        <v>44</v>
      </c>
      <c r="M242" t="s">
        <v>44</v>
      </c>
      <c r="N242" t="s">
        <v>44</v>
      </c>
      <c r="O242" t="s">
        <v>44</v>
      </c>
      <c r="P242" t="s">
        <v>506</v>
      </c>
      <c r="Q242" t="s">
        <v>777</v>
      </c>
      <c r="R242" t="s">
        <v>598</v>
      </c>
      <c r="S242" t="s">
        <v>28</v>
      </c>
    </row>
    <row r="243" spans="1:19" x14ac:dyDescent="0.25">
      <c r="A243" t="s">
        <v>1110</v>
      </c>
      <c r="B243" t="s">
        <v>1110</v>
      </c>
      <c r="C243">
        <v>5.9997397049999996</v>
      </c>
      <c r="D243" s="38">
        <v>45950</v>
      </c>
      <c r="E243" s="38">
        <v>45080</v>
      </c>
      <c r="F243">
        <v>10.293899656000001</v>
      </c>
      <c r="G243">
        <v>394.89973187499999</v>
      </c>
      <c r="H243">
        <v>97.153899999999993</v>
      </c>
      <c r="I243" t="s">
        <v>121</v>
      </c>
      <c r="J243">
        <v>20210603</v>
      </c>
      <c r="K243" t="s">
        <v>777</v>
      </c>
      <c r="L243" t="s">
        <v>44</v>
      </c>
      <c r="M243" t="s">
        <v>44</v>
      </c>
      <c r="N243" t="s">
        <v>44</v>
      </c>
      <c r="O243" t="s">
        <v>44</v>
      </c>
      <c r="P243" t="s">
        <v>506</v>
      </c>
      <c r="Q243" t="s">
        <v>777</v>
      </c>
      <c r="R243" t="s">
        <v>598</v>
      </c>
      <c r="S243" t="s">
        <v>28</v>
      </c>
    </row>
    <row r="244" spans="1:19" x14ac:dyDescent="0.25">
      <c r="A244" t="s">
        <v>1103</v>
      </c>
      <c r="B244" t="s">
        <v>1103</v>
      </c>
      <c r="C244">
        <v>9.1014795799999995</v>
      </c>
      <c r="D244" s="38">
        <v>45950</v>
      </c>
      <c r="E244" s="38">
        <v>46263</v>
      </c>
      <c r="F244">
        <v>12.138184428000001</v>
      </c>
      <c r="G244">
        <v>308.61015649799998</v>
      </c>
      <c r="H244">
        <v>100.4299</v>
      </c>
      <c r="I244" t="s">
        <v>121</v>
      </c>
      <c r="J244">
        <v>20240829</v>
      </c>
      <c r="K244" t="s">
        <v>44</v>
      </c>
      <c r="L244" t="s">
        <v>44</v>
      </c>
      <c r="M244" t="s">
        <v>28</v>
      </c>
      <c r="N244" t="s">
        <v>44</v>
      </c>
      <c r="O244" t="s">
        <v>44</v>
      </c>
      <c r="P244" t="s">
        <v>506</v>
      </c>
      <c r="Q244" t="s">
        <v>28</v>
      </c>
      <c r="R244" t="s">
        <v>590</v>
      </c>
      <c r="S244" t="s">
        <v>28</v>
      </c>
    </row>
    <row r="245" spans="1:19" x14ac:dyDescent="0.25">
      <c r="A245" t="s">
        <v>697</v>
      </c>
      <c r="B245" t="s">
        <v>697</v>
      </c>
      <c r="C245">
        <v>7.0637563669999999</v>
      </c>
      <c r="D245" s="38">
        <v>45945</v>
      </c>
      <c r="E245" s="38">
        <v>46335</v>
      </c>
      <c r="F245">
        <v>25.050717868</v>
      </c>
      <c r="G245">
        <v>258.08624949799997</v>
      </c>
      <c r="H245">
        <v>98.951599999999999</v>
      </c>
      <c r="I245" t="s">
        <v>154</v>
      </c>
      <c r="J245">
        <v>20241107</v>
      </c>
      <c r="K245" t="s">
        <v>24</v>
      </c>
      <c r="L245" t="s">
        <v>44</v>
      </c>
      <c r="M245" t="s">
        <v>44</v>
      </c>
      <c r="N245" t="s">
        <v>44</v>
      </c>
      <c r="O245" t="s">
        <v>44</v>
      </c>
      <c r="P245" t="s">
        <v>1577</v>
      </c>
      <c r="Q245" t="s">
        <v>24</v>
      </c>
      <c r="R245" t="s">
        <v>598</v>
      </c>
      <c r="S245" t="s">
        <v>24</v>
      </c>
    </row>
    <row r="246" spans="1:19" x14ac:dyDescent="0.25">
      <c r="A246" t="s">
        <v>1118</v>
      </c>
      <c r="B246" t="s">
        <v>1118</v>
      </c>
      <c r="C246">
        <v>7.5288223990000001</v>
      </c>
      <c r="D246" s="38">
        <v>45945</v>
      </c>
      <c r="E246" s="38">
        <v>46335</v>
      </c>
      <c r="F246">
        <v>19.133983196999999</v>
      </c>
      <c r="G246">
        <v>396.65287706800001</v>
      </c>
      <c r="H246">
        <v>101.62179999999999</v>
      </c>
      <c r="I246" t="s">
        <v>154</v>
      </c>
      <c r="J246">
        <v>20241107</v>
      </c>
      <c r="K246" t="s">
        <v>777</v>
      </c>
      <c r="L246" t="s">
        <v>44</v>
      </c>
      <c r="M246" t="s">
        <v>44</v>
      </c>
      <c r="N246" t="s">
        <v>44</v>
      </c>
      <c r="O246" t="s">
        <v>44</v>
      </c>
      <c r="P246" t="s">
        <v>1577</v>
      </c>
      <c r="Q246" t="s">
        <v>777</v>
      </c>
      <c r="R246" t="s">
        <v>598</v>
      </c>
      <c r="S246" t="s">
        <v>28</v>
      </c>
    </row>
    <row r="247" spans="1:19" x14ac:dyDescent="0.25">
      <c r="A247" t="s">
        <v>1120</v>
      </c>
      <c r="B247" t="s">
        <v>1120</v>
      </c>
      <c r="C247">
        <v>7.200714971</v>
      </c>
      <c r="D247" s="38">
        <v>45945</v>
      </c>
      <c r="E247" s="38">
        <v>46368</v>
      </c>
      <c r="F247">
        <v>18.679933244000001</v>
      </c>
      <c r="G247">
        <v>407.26463926999998</v>
      </c>
      <c r="H247">
        <v>100.4174</v>
      </c>
      <c r="I247" t="s">
        <v>154</v>
      </c>
      <c r="J247">
        <v>20241212</v>
      </c>
      <c r="K247" t="s">
        <v>777</v>
      </c>
      <c r="L247" t="s">
        <v>44</v>
      </c>
      <c r="M247" t="s">
        <v>44</v>
      </c>
      <c r="N247" t="s">
        <v>44</v>
      </c>
      <c r="O247" t="s">
        <v>44</v>
      </c>
      <c r="P247" t="s">
        <v>1578</v>
      </c>
      <c r="Q247" t="s">
        <v>777</v>
      </c>
      <c r="R247" t="s">
        <v>598</v>
      </c>
      <c r="S247" t="s">
        <v>28</v>
      </c>
    </row>
    <row r="248" spans="1:19" x14ac:dyDescent="0.25">
      <c r="A248" t="s">
        <v>749</v>
      </c>
      <c r="B248" t="s">
        <v>749</v>
      </c>
      <c r="C248">
        <v>3.132243033</v>
      </c>
      <c r="D248" s="38">
        <v>45945</v>
      </c>
      <c r="E248" s="38">
        <v>45031</v>
      </c>
      <c r="F248">
        <v>23.806716531999999</v>
      </c>
      <c r="G248">
        <v>319.41370288899998</v>
      </c>
      <c r="H248">
        <v>100.1808</v>
      </c>
      <c r="I248" t="s">
        <v>154</v>
      </c>
      <c r="J248">
        <v>20210526</v>
      </c>
      <c r="K248" t="s">
        <v>44</v>
      </c>
      <c r="L248" t="s">
        <v>753</v>
      </c>
      <c r="M248" t="s">
        <v>44</v>
      </c>
      <c r="N248" t="s">
        <v>44</v>
      </c>
      <c r="O248" t="s">
        <v>44</v>
      </c>
      <c r="P248" t="s">
        <v>1579</v>
      </c>
      <c r="Q248" t="s">
        <v>753</v>
      </c>
      <c r="R248" t="s">
        <v>572</v>
      </c>
      <c r="S248" t="s">
        <v>24</v>
      </c>
    </row>
    <row r="249" spans="1:19" x14ac:dyDescent="0.25">
      <c r="A249" t="s">
        <v>1316</v>
      </c>
      <c r="B249" t="s">
        <v>1316</v>
      </c>
      <c r="C249">
        <v>3.6029312029999998</v>
      </c>
      <c r="D249" s="38">
        <v>45945</v>
      </c>
      <c r="E249" s="38">
        <v>45031</v>
      </c>
      <c r="F249">
        <v>18.221783309999999</v>
      </c>
      <c r="G249">
        <v>444.77523187700001</v>
      </c>
      <c r="H249">
        <v>100.1875</v>
      </c>
      <c r="I249" t="s">
        <v>154</v>
      </c>
      <c r="J249">
        <v>20210526</v>
      </c>
      <c r="K249" t="s">
        <v>44</v>
      </c>
      <c r="L249" t="s">
        <v>815</v>
      </c>
      <c r="M249" t="s">
        <v>44</v>
      </c>
      <c r="N249" t="s">
        <v>44</v>
      </c>
      <c r="O249" t="s">
        <v>44</v>
      </c>
      <c r="P249" t="s">
        <v>1579</v>
      </c>
      <c r="Q249" t="s">
        <v>815</v>
      </c>
      <c r="R249" t="s">
        <v>572</v>
      </c>
      <c r="S249" t="s">
        <v>28</v>
      </c>
    </row>
    <row r="250" spans="1:19" x14ac:dyDescent="0.25">
      <c r="A250" t="s">
        <v>1126</v>
      </c>
      <c r="B250" t="s">
        <v>1126</v>
      </c>
      <c r="C250">
        <v>8.5290392379999993</v>
      </c>
      <c r="D250" s="38">
        <v>45950</v>
      </c>
      <c r="E250" s="38">
        <v>46305</v>
      </c>
      <c r="F250">
        <v>17.546339571000001</v>
      </c>
      <c r="G250">
        <v>418.368231364</v>
      </c>
      <c r="H250">
        <v>99.778000000000006</v>
      </c>
      <c r="I250" t="s">
        <v>171</v>
      </c>
      <c r="J250">
        <v>20241010</v>
      </c>
      <c r="K250" t="s">
        <v>777</v>
      </c>
      <c r="L250" t="s">
        <v>44</v>
      </c>
      <c r="M250" t="s">
        <v>44</v>
      </c>
      <c r="N250" t="s">
        <v>44</v>
      </c>
      <c r="O250" t="s">
        <v>44</v>
      </c>
      <c r="P250" t="s">
        <v>1127</v>
      </c>
      <c r="Q250" t="s">
        <v>777</v>
      </c>
      <c r="R250" t="s">
        <v>598</v>
      </c>
      <c r="S250" t="s">
        <v>28</v>
      </c>
    </row>
    <row r="251" spans="1:19" x14ac:dyDescent="0.25">
      <c r="A251" t="s">
        <v>704</v>
      </c>
      <c r="B251" t="s">
        <v>704</v>
      </c>
      <c r="C251">
        <v>8.5133252590000001</v>
      </c>
      <c r="D251" s="38">
        <v>45955</v>
      </c>
      <c r="E251" s="38">
        <v>46320</v>
      </c>
      <c r="F251">
        <v>18.135315712000001</v>
      </c>
      <c r="G251">
        <v>195.27817900599999</v>
      </c>
      <c r="H251">
        <v>100.3164</v>
      </c>
      <c r="I251" t="s">
        <v>123</v>
      </c>
      <c r="J251">
        <v>20241025</v>
      </c>
      <c r="K251" t="s">
        <v>44</v>
      </c>
      <c r="L251" t="s">
        <v>44</v>
      </c>
      <c r="M251" t="s">
        <v>615</v>
      </c>
      <c r="N251" t="s">
        <v>44</v>
      </c>
      <c r="O251" t="s">
        <v>44</v>
      </c>
      <c r="P251" t="s">
        <v>312</v>
      </c>
      <c r="Q251" t="s">
        <v>615</v>
      </c>
      <c r="R251" t="s">
        <v>590</v>
      </c>
      <c r="S251" t="s">
        <v>24</v>
      </c>
    </row>
    <row r="252" spans="1:19" x14ac:dyDescent="0.25">
      <c r="A252" t="s">
        <v>1153</v>
      </c>
      <c r="B252" t="s">
        <v>1153</v>
      </c>
      <c r="C252">
        <v>9.0307088929999999</v>
      </c>
      <c r="D252" s="38">
        <v>45955</v>
      </c>
      <c r="E252" s="38">
        <v>46320</v>
      </c>
      <c r="F252">
        <v>12.145216861</v>
      </c>
      <c r="G252">
        <v>290.32525124900002</v>
      </c>
      <c r="H252">
        <v>101.0003</v>
      </c>
      <c r="I252" t="s">
        <v>123</v>
      </c>
      <c r="J252">
        <v>20241025</v>
      </c>
      <c r="K252" t="s">
        <v>44</v>
      </c>
      <c r="L252" t="s">
        <v>44</v>
      </c>
      <c r="M252" t="s">
        <v>28</v>
      </c>
      <c r="N252" t="s">
        <v>44</v>
      </c>
      <c r="O252" t="s">
        <v>44</v>
      </c>
      <c r="P252" t="s">
        <v>312</v>
      </c>
      <c r="Q252" t="s">
        <v>28</v>
      </c>
      <c r="R252" t="s">
        <v>590</v>
      </c>
      <c r="S252" t="s">
        <v>28</v>
      </c>
    </row>
    <row r="253" spans="1:19" x14ac:dyDescent="0.25">
      <c r="A253" t="s">
        <v>1137</v>
      </c>
      <c r="B253" t="s">
        <v>1137</v>
      </c>
      <c r="C253">
        <v>9.0513523520000003</v>
      </c>
      <c r="D253" s="38">
        <v>45952</v>
      </c>
      <c r="E253" s="38">
        <v>46225</v>
      </c>
      <c r="F253">
        <v>11.941870768999999</v>
      </c>
      <c r="G253">
        <v>339.91588140300001</v>
      </c>
      <c r="H253">
        <v>99.996300000000005</v>
      </c>
      <c r="I253" t="s">
        <v>123</v>
      </c>
      <c r="J253">
        <v>20240809</v>
      </c>
      <c r="K253" t="s">
        <v>44</v>
      </c>
      <c r="L253" t="s">
        <v>44</v>
      </c>
      <c r="M253" t="s">
        <v>28</v>
      </c>
      <c r="N253" t="s">
        <v>44</v>
      </c>
      <c r="O253" t="s">
        <v>44</v>
      </c>
      <c r="P253" t="s">
        <v>312</v>
      </c>
      <c r="Q253" t="s">
        <v>28</v>
      </c>
      <c r="R253" t="s">
        <v>590</v>
      </c>
      <c r="S253" t="s">
        <v>28</v>
      </c>
    </row>
    <row r="254" spans="1:19" x14ac:dyDescent="0.25">
      <c r="A254" t="s">
        <v>1149</v>
      </c>
      <c r="B254" t="s">
        <v>1149</v>
      </c>
      <c r="C254">
        <v>6.578649038</v>
      </c>
      <c r="D254" s="38">
        <v>45951</v>
      </c>
      <c r="E254" s="38">
        <v>45382</v>
      </c>
      <c r="F254">
        <v>10.77049923</v>
      </c>
      <c r="G254">
        <v>316.87751121500003</v>
      </c>
      <c r="H254">
        <v>100.15770000000001</v>
      </c>
      <c r="I254" t="s">
        <v>124</v>
      </c>
      <c r="J254">
        <v>20220331</v>
      </c>
      <c r="K254" t="s">
        <v>44</v>
      </c>
      <c r="L254" t="s">
        <v>44</v>
      </c>
      <c r="M254" t="s">
        <v>777</v>
      </c>
      <c r="N254" t="s">
        <v>44</v>
      </c>
      <c r="O254" t="s">
        <v>44</v>
      </c>
      <c r="P254" t="s">
        <v>312</v>
      </c>
      <c r="Q254" t="s">
        <v>777</v>
      </c>
      <c r="R254" t="s">
        <v>590</v>
      </c>
      <c r="S254" t="s">
        <v>28</v>
      </c>
    </row>
    <row r="255" spans="1:19" x14ac:dyDescent="0.25">
      <c r="A255" t="s">
        <v>702</v>
      </c>
      <c r="B255" t="s">
        <v>702</v>
      </c>
      <c r="C255">
        <v>8.28757375</v>
      </c>
      <c r="D255" s="38">
        <v>45948</v>
      </c>
      <c r="E255" s="38">
        <v>46221</v>
      </c>
      <c r="F255">
        <v>17.826155635999999</v>
      </c>
      <c r="G255">
        <v>202.090982962</v>
      </c>
      <c r="H255">
        <v>100.52030000000001</v>
      </c>
      <c r="I255" t="s">
        <v>123</v>
      </c>
      <c r="J255">
        <v>20240718</v>
      </c>
      <c r="K255" t="s">
        <v>44</v>
      </c>
      <c r="L255" t="s">
        <v>44</v>
      </c>
      <c r="M255" t="s">
        <v>615</v>
      </c>
      <c r="N255" t="s">
        <v>44</v>
      </c>
      <c r="O255" t="s">
        <v>44</v>
      </c>
      <c r="P255" t="s">
        <v>312</v>
      </c>
      <c r="Q255" t="s">
        <v>615</v>
      </c>
      <c r="R255" t="s">
        <v>590</v>
      </c>
      <c r="S255" t="s">
        <v>24</v>
      </c>
    </row>
    <row r="256" spans="1:19" x14ac:dyDescent="0.25">
      <c r="A256" t="s">
        <v>1151</v>
      </c>
      <c r="B256" t="s">
        <v>1151</v>
      </c>
      <c r="C256">
        <v>8.8546129269999998</v>
      </c>
      <c r="D256" s="38">
        <v>45948</v>
      </c>
      <c r="E256" s="38">
        <v>46221</v>
      </c>
      <c r="F256">
        <v>11.813435317</v>
      </c>
      <c r="G256">
        <v>309.081955585</v>
      </c>
      <c r="H256">
        <v>100.3882</v>
      </c>
      <c r="I256" t="s">
        <v>123</v>
      </c>
      <c r="J256">
        <v>20240718</v>
      </c>
      <c r="K256" t="s">
        <v>44</v>
      </c>
      <c r="L256" t="s">
        <v>44</v>
      </c>
      <c r="M256" t="s">
        <v>777</v>
      </c>
      <c r="N256" t="s">
        <v>44</v>
      </c>
      <c r="O256" t="s">
        <v>44</v>
      </c>
      <c r="P256" t="s">
        <v>312</v>
      </c>
      <c r="Q256" t="s">
        <v>777</v>
      </c>
      <c r="R256" t="s">
        <v>590</v>
      </c>
      <c r="S256" t="s">
        <v>28</v>
      </c>
    </row>
    <row r="257" spans="1:19" x14ac:dyDescent="0.25">
      <c r="A257" t="s">
        <v>1139</v>
      </c>
      <c r="B257" t="s">
        <v>1139</v>
      </c>
      <c r="C257">
        <v>4.8816673740000001</v>
      </c>
      <c r="D257" s="38">
        <v>45945</v>
      </c>
      <c r="E257" s="38">
        <v>45031</v>
      </c>
      <c r="F257">
        <v>10.848923362000001</v>
      </c>
      <c r="G257">
        <v>301.12053889100002</v>
      </c>
      <c r="H257">
        <v>100.3659</v>
      </c>
      <c r="I257" t="s">
        <v>124</v>
      </c>
      <c r="J257">
        <v>20220202</v>
      </c>
      <c r="K257" t="s">
        <v>777</v>
      </c>
      <c r="L257" t="s">
        <v>44</v>
      </c>
      <c r="M257" t="s">
        <v>44</v>
      </c>
      <c r="N257" t="s">
        <v>44</v>
      </c>
      <c r="O257" t="s">
        <v>44</v>
      </c>
      <c r="P257" t="s">
        <v>312</v>
      </c>
      <c r="Q257" t="s">
        <v>777</v>
      </c>
      <c r="R257" t="s">
        <v>598</v>
      </c>
      <c r="S257" t="s">
        <v>28</v>
      </c>
    </row>
    <row r="258" spans="1:19" x14ac:dyDescent="0.25">
      <c r="A258" t="s">
        <v>1141</v>
      </c>
      <c r="B258" t="s">
        <v>1141</v>
      </c>
      <c r="C258">
        <v>4.0759011259999998</v>
      </c>
      <c r="D258" s="38">
        <v>45950</v>
      </c>
      <c r="E258" s="38">
        <v>44671</v>
      </c>
      <c r="F258">
        <v>12.100782524</v>
      </c>
      <c r="G258">
        <v>317.20696102900001</v>
      </c>
      <c r="H258">
        <v>100.313</v>
      </c>
      <c r="I258" t="s">
        <v>124</v>
      </c>
      <c r="J258">
        <v>20210420</v>
      </c>
      <c r="K258" t="s">
        <v>777</v>
      </c>
      <c r="L258" t="s">
        <v>44</v>
      </c>
      <c r="M258" t="s">
        <v>44</v>
      </c>
      <c r="N258" t="s">
        <v>44</v>
      </c>
      <c r="O258" t="s">
        <v>44</v>
      </c>
      <c r="P258" t="s">
        <v>312</v>
      </c>
      <c r="Q258" t="s">
        <v>777</v>
      </c>
      <c r="R258" t="s">
        <v>598</v>
      </c>
      <c r="S258" t="s">
        <v>28</v>
      </c>
    </row>
    <row r="259" spans="1:19" x14ac:dyDescent="0.25">
      <c r="A259" t="s">
        <v>1131</v>
      </c>
      <c r="B259" t="s">
        <v>1131</v>
      </c>
      <c r="C259">
        <v>8.3703028600000007</v>
      </c>
      <c r="D259" s="38">
        <v>45945</v>
      </c>
      <c r="E259" s="38">
        <v>46396</v>
      </c>
      <c r="F259">
        <v>13.226648836000001</v>
      </c>
      <c r="G259">
        <v>285.19466826299998</v>
      </c>
      <c r="H259">
        <v>100.30419999999999</v>
      </c>
      <c r="I259" t="s">
        <v>123</v>
      </c>
      <c r="J259">
        <v>20250109</v>
      </c>
      <c r="K259" t="s">
        <v>44</v>
      </c>
      <c r="L259" t="s">
        <v>44</v>
      </c>
      <c r="M259" t="s">
        <v>795</v>
      </c>
      <c r="N259" t="s">
        <v>44</v>
      </c>
      <c r="O259" t="s">
        <v>44</v>
      </c>
      <c r="P259" t="s">
        <v>312</v>
      </c>
      <c r="Q259" t="s">
        <v>795</v>
      </c>
      <c r="R259" t="s">
        <v>590</v>
      </c>
      <c r="S259" t="s">
        <v>28</v>
      </c>
    </row>
    <row r="260" spans="1:19" x14ac:dyDescent="0.25">
      <c r="A260" t="s">
        <v>1129</v>
      </c>
      <c r="B260" t="s">
        <v>1129</v>
      </c>
      <c r="C260">
        <v>4.8130989199999998</v>
      </c>
      <c r="D260" s="38">
        <v>45945</v>
      </c>
      <c r="E260" s="38">
        <v>44849</v>
      </c>
      <c r="F260">
        <v>11.196499884</v>
      </c>
      <c r="G260">
        <v>344.99594603399999</v>
      </c>
      <c r="H260">
        <v>100.2454</v>
      </c>
      <c r="I260" t="s">
        <v>124</v>
      </c>
      <c r="J260">
        <v>20211029</v>
      </c>
      <c r="K260" t="s">
        <v>777</v>
      </c>
      <c r="L260" t="s">
        <v>44</v>
      </c>
      <c r="M260" t="s">
        <v>44</v>
      </c>
      <c r="N260" t="s">
        <v>44</v>
      </c>
      <c r="O260" t="s">
        <v>44</v>
      </c>
      <c r="P260" t="s">
        <v>312</v>
      </c>
      <c r="Q260" t="s">
        <v>777</v>
      </c>
      <c r="R260" t="s">
        <v>598</v>
      </c>
      <c r="S260" t="s">
        <v>28</v>
      </c>
    </row>
    <row r="261" spans="1:19" x14ac:dyDescent="0.25">
      <c r="A261" t="s">
        <v>700</v>
      </c>
      <c r="B261" t="s">
        <v>700</v>
      </c>
      <c r="C261">
        <v>8.7623761210000009</v>
      </c>
      <c r="D261" s="38">
        <v>45945</v>
      </c>
      <c r="E261" s="38">
        <v>46402</v>
      </c>
      <c r="F261">
        <v>18.342440232000001</v>
      </c>
      <c r="G261">
        <v>190.51879334899999</v>
      </c>
      <c r="H261">
        <v>100.6567</v>
      </c>
      <c r="I261" t="s">
        <v>123</v>
      </c>
      <c r="J261">
        <v>20241218</v>
      </c>
      <c r="K261" t="s">
        <v>44</v>
      </c>
      <c r="L261" t="s">
        <v>44</v>
      </c>
      <c r="M261" t="s">
        <v>615</v>
      </c>
      <c r="N261" t="s">
        <v>44</v>
      </c>
      <c r="O261" t="s">
        <v>44</v>
      </c>
      <c r="P261" t="s">
        <v>312</v>
      </c>
      <c r="Q261" t="s">
        <v>615</v>
      </c>
      <c r="R261" t="s">
        <v>590</v>
      </c>
      <c r="S261" t="s">
        <v>24</v>
      </c>
    </row>
    <row r="262" spans="1:19" x14ac:dyDescent="0.25">
      <c r="A262" t="s">
        <v>1133</v>
      </c>
      <c r="B262" t="s">
        <v>1133</v>
      </c>
      <c r="C262">
        <v>9.2316113739999999</v>
      </c>
      <c r="D262" s="38">
        <v>45945</v>
      </c>
      <c r="E262" s="38">
        <v>46402</v>
      </c>
      <c r="F262">
        <v>12.367496834000001</v>
      </c>
      <c r="G262">
        <v>287.70997070099997</v>
      </c>
      <c r="H262">
        <v>100.501</v>
      </c>
      <c r="I262" t="s">
        <v>123</v>
      </c>
      <c r="J262">
        <v>20241218</v>
      </c>
      <c r="K262" t="s">
        <v>44</v>
      </c>
      <c r="L262" t="s">
        <v>44</v>
      </c>
      <c r="M262" t="s">
        <v>777</v>
      </c>
      <c r="N262" t="s">
        <v>44</v>
      </c>
      <c r="O262" t="s">
        <v>44</v>
      </c>
      <c r="P262" t="s">
        <v>312</v>
      </c>
      <c r="Q262" t="s">
        <v>777</v>
      </c>
      <c r="R262" t="s">
        <v>590</v>
      </c>
      <c r="S262" t="s">
        <v>28</v>
      </c>
    </row>
    <row r="263" spans="1:19" x14ac:dyDescent="0.25">
      <c r="A263" t="s">
        <v>623</v>
      </c>
      <c r="B263" t="s">
        <v>623</v>
      </c>
      <c r="C263">
        <v>2.9017850269999999</v>
      </c>
      <c r="F263">
        <v>21.773822043999999</v>
      </c>
      <c r="G263">
        <v>218.99394916599999</v>
      </c>
      <c r="H263">
        <v>100.1879</v>
      </c>
      <c r="I263" t="s">
        <v>124</v>
      </c>
      <c r="J263">
        <v>20210222</v>
      </c>
      <c r="K263" t="s">
        <v>24</v>
      </c>
      <c r="L263" t="s">
        <v>44</v>
      </c>
      <c r="M263" t="s">
        <v>44</v>
      </c>
      <c r="N263" t="s">
        <v>44</v>
      </c>
      <c r="O263" t="s">
        <v>44</v>
      </c>
      <c r="P263" t="s">
        <v>1580</v>
      </c>
      <c r="Q263" t="s">
        <v>24</v>
      </c>
      <c r="R263" t="s">
        <v>598</v>
      </c>
      <c r="S263" t="s">
        <v>24</v>
      </c>
    </row>
    <row r="264" spans="1:19" x14ac:dyDescent="0.25">
      <c r="A264" t="s">
        <v>1145</v>
      </c>
      <c r="B264" t="s">
        <v>1145</v>
      </c>
      <c r="C264">
        <v>6.0841395240000002</v>
      </c>
      <c r="D264" s="38">
        <v>45949</v>
      </c>
      <c r="E264" s="38">
        <v>45126</v>
      </c>
      <c r="F264">
        <v>11.582135095</v>
      </c>
      <c r="G264">
        <v>321.766074102</v>
      </c>
      <c r="H264">
        <v>100.46129999999999</v>
      </c>
      <c r="I264" t="s">
        <v>124</v>
      </c>
      <c r="J264">
        <v>20210628</v>
      </c>
      <c r="K264" t="s">
        <v>777</v>
      </c>
      <c r="L264" t="s">
        <v>44</v>
      </c>
      <c r="M264" t="s">
        <v>44</v>
      </c>
      <c r="N264" t="s">
        <v>44</v>
      </c>
      <c r="O264" t="s">
        <v>44</v>
      </c>
      <c r="P264" t="s">
        <v>312</v>
      </c>
      <c r="Q264" t="s">
        <v>777</v>
      </c>
      <c r="R264" t="s">
        <v>598</v>
      </c>
      <c r="S264" t="s">
        <v>28</v>
      </c>
    </row>
    <row r="265" spans="1:19" x14ac:dyDescent="0.25">
      <c r="A265" t="s">
        <v>1135</v>
      </c>
      <c r="B265" t="s">
        <v>1135</v>
      </c>
      <c r="C265">
        <v>8.8334126289999997</v>
      </c>
      <c r="D265" s="38">
        <v>45946</v>
      </c>
      <c r="E265" s="38">
        <v>46219</v>
      </c>
      <c r="F265">
        <v>11.954360748999999</v>
      </c>
      <c r="G265">
        <v>305.70847486899999</v>
      </c>
      <c r="H265">
        <v>100.9504</v>
      </c>
      <c r="I265" t="s">
        <v>123</v>
      </c>
      <c r="J265">
        <v>20240829</v>
      </c>
      <c r="K265" t="s">
        <v>44</v>
      </c>
      <c r="L265" t="s">
        <v>44</v>
      </c>
      <c r="M265" t="s">
        <v>795</v>
      </c>
      <c r="N265" t="s">
        <v>44</v>
      </c>
      <c r="O265" t="s">
        <v>44</v>
      </c>
      <c r="P265" t="s">
        <v>312</v>
      </c>
      <c r="Q265" t="s">
        <v>795</v>
      </c>
      <c r="R265" t="s">
        <v>590</v>
      </c>
      <c r="S265" t="s">
        <v>28</v>
      </c>
    </row>
    <row r="266" spans="1:19" x14ac:dyDescent="0.25">
      <c r="A266" t="s">
        <v>1143</v>
      </c>
      <c r="B266" t="s">
        <v>1143</v>
      </c>
      <c r="C266">
        <v>4.0119716089999997</v>
      </c>
      <c r="D266" s="38">
        <v>45949</v>
      </c>
      <c r="E266" s="38">
        <v>44618</v>
      </c>
      <c r="F266">
        <v>12.228600527999999</v>
      </c>
      <c r="G266">
        <v>313.15938441999998</v>
      </c>
      <c r="H266">
        <v>100.4474</v>
      </c>
      <c r="I266" t="s">
        <v>124</v>
      </c>
      <c r="J266">
        <v>20210226</v>
      </c>
      <c r="K266" t="s">
        <v>777</v>
      </c>
      <c r="L266" t="s">
        <v>44</v>
      </c>
      <c r="M266" t="s">
        <v>44</v>
      </c>
      <c r="N266" t="s">
        <v>44</v>
      </c>
      <c r="O266" t="s">
        <v>44</v>
      </c>
      <c r="P266" t="s">
        <v>312</v>
      </c>
      <c r="Q266" t="s">
        <v>777</v>
      </c>
      <c r="R266" t="s">
        <v>598</v>
      </c>
      <c r="S266" t="s">
        <v>28</v>
      </c>
    </row>
    <row r="267" spans="1:19" x14ac:dyDescent="0.25">
      <c r="A267" t="s">
        <v>1147</v>
      </c>
      <c r="B267" t="s">
        <v>1147</v>
      </c>
      <c r="C267">
        <v>6.469160821</v>
      </c>
      <c r="D267" s="38">
        <v>45952</v>
      </c>
      <c r="E267" s="38">
        <v>45289</v>
      </c>
      <c r="F267">
        <v>10.428775306</v>
      </c>
      <c r="G267">
        <v>347.03383579400003</v>
      </c>
      <c r="H267">
        <v>99.684799999999996</v>
      </c>
      <c r="I267" t="s">
        <v>124</v>
      </c>
      <c r="J267">
        <v>20211229</v>
      </c>
      <c r="K267" t="s">
        <v>777</v>
      </c>
      <c r="L267" t="s">
        <v>44</v>
      </c>
      <c r="M267" t="s">
        <v>44</v>
      </c>
      <c r="N267" t="s">
        <v>44</v>
      </c>
      <c r="O267" t="s">
        <v>44</v>
      </c>
      <c r="P267" t="s">
        <v>312</v>
      </c>
      <c r="Q267" t="s">
        <v>777</v>
      </c>
      <c r="R267" t="s">
        <v>598</v>
      </c>
      <c r="S267" t="s">
        <v>28</v>
      </c>
    </row>
    <row r="268" spans="1:19" x14ac:dyDescent="0.25">
      <c r="A268" t="s">
        <v>706</v>
      </c>
      <c r="B268" t="s">
        <v>706</v>
      </c>
      <c r="C268">
        <v>8.6338724459999998</v>
      </c>
      <c r="D268" s="38">
        <v>45950</v>
      </c>
      <c r="E268" s="38">
        <v>46407</v>
      </c>
      <c r="F268">
        <v>18.127448955999999</v>
      </c>
      <c r="G268">
        <v>173.18261903999999</v>
      </c>
      <c r="H268">
        <v>100.4695</v>
      </c>
      <c r="I268" t="s">
        <v>123</v>
      </c>
      <c r="J268">
        <v>20250115</v>
      </c>
      <c r="K268" t="s">
        <v>44</v>
      </c>
      <c r="L268" t="s">
        <v>44</v>
      </c>
      <c r="M268" t="s">
        <v>615</v>
      </c>
      <c r="N268" t="s">
        <v>44</v>
      </c>
      <c r="O268" t="s">
        <v>44</v>
      </c>
      <c r="P268" t="s">
        <v>312</v>
      </c>
      <c r="Q268" t="s">
        <v>615</v>
      </c>
      <c r="R268" t="s">
        <v>590</v>
      </c>
      <c r="S268" t="s">
        <v>24</v>
      </c>
    </row>
    <row r="269" spans="1:19" x14ac:dyDescent="0.25">
      <c r="A269" t="s">
        <v>1155</v>
      </c>
      <c r="B269" t="s">
        <v>1155</v>
      </c>
      <c r="C269">
        <v>9.1776957479999997</v>
      </c>
      <c r="D269" s="38">
        <v>45950</v>
      </c>
      <c r="E269" s="38">
        <v>46407</v>
      </c>
      <c r="F269">
        <v>12.136774490000001</v>
      </c>
      <c r="G269">
        <v>264.31799430299998</v>
      </c>
      <c r="H269">
        <v>100.39190000000001</v>
      </c>
      <c r="I269" t="s">
        <v>123</v>
      </c>
      <c r="J269">
        <v>20250115</v>
      </c>
      <c r="K269" t="s">
        <v>44</v>
      </c>
      <c r="L269" t="s">
        <v>44</v>
      </c>
      <c r="M269" t="s">
        <v>28</v>
      </c>
      <c r="N269" t="s">
        <v>44</v>
      </c>
      <c r="O269" t="s">
        <v>44</v>
      </c>
      <c r="P269" t="s">
        <v>312</v>
      </c>
      <c r="Q269" t="s">
        <v>28</v>
      </c>
      <c r="R269" t="s">
        <v>590</v>
      </c>
      <c r="S269" t="s">
        <v>28</v>
      </c>
    </row>
    <row r="270" spans="1:19" x14ac:dyDescent="0.25">
      <c r="A270" t="s">
        <v>1122</v>
      </c>
      <c r="B270" t="s">
        <v>1122</v>
      </c>
      <c r="C270">
        <v>6.4531112080000002</v>
      </c>
      <c r="D270" s="38">
        <v>45955</v>
      </c>
      <c r="E270" s="38">
        <v>45275</v>
      </c>
      <c r="F270">
        <v>10.69401332</v>
      </c>
      <c r="G270">
        <v>319.33662651600002</v>
      </c>
      <c r="H270">
        <v>100.6105</v>
      </c>
      <c r="I270" t="s">
        <v>125</v>
      </c>
      <c r="J270">
        <v>20211215</v>
      </c>
      <c r="K270" t="s">
        <v>777</v>
      </c>
      <c r="L270" t="s">
        <v>44</v>
      </c>
      <c r="M270" t="s">
        <v>44</v>
      </c>
      <c r="N270" t="s">
        <v>44</v>
      </c>
      <c r="O270" t="s">
        <v>44</v>
      </c>
      <c r="P270" t="s">
        <v>317</v>
      </c>
      <c r="Q270" t="s">
        <v>777</v>
      </c>
      <c r="R270" t="s">
        <v>598</v>
      </c>
      <c r="S270" t="s">
        <v>28</v>
      </c>
    </row>
    <row r="271" spans="1:19" x14ac:dyDescent="0.25">
      <c r="A271" t="s">
        <v>1124</v>
      </c>
      <c r="B271" t="s">
        <v>1124</v>
      </c>
      <c r="C271">
        <v>6.3546943980000004</v>
      </c>
      <c r="D271" s="38">
        <v>45945</v>
      </c>
      <c r="E271" s="38">
        <v>45397</v>
      </c>
      <c r="F271">
        <v>10.621222633</v>
      </c>
      <c r="G271">
        <v>296.96483753699999</v>
      </c>
      <c r="H271">
        <v>100.4101</v>
      </c>
      <c r="I271" t="s">
        <v>125</v>
      </c>
      <c r="J271">
        <v>20220223</v>
      </c>
      <c r="K271" t="s">
        <v>44</v>
      </c>
      <c r="L271" t="s">
        <v>44</v>
      </c>
      <c r="M271" t="s">
        <v>777</v>
      </c>
      <c r="N271" t="s">
        <v>44</v>
      </c>
      <c r="O271" t="s">
        <v>44</v>
      </c>
      <c r="P271" t="s">
        <v>317</v>
      </c>
      <c r="Q271" t="s">
        <v>777</v>
      </c>
      <c r="R271" t="s">
        <v>590</v>
      </c>
      <c r="S271" t="s">
        <v>28</v>
      </c>
    </row>
    <row r="272" spans="1:19" x14ac:dyDescent="0.25">
      <c r="A272" t="s">
        <v>712</v>
      </c>
      <c r="B272" t="s">
        <v>712</v>
      </c>
      <c r="C272">
        <v>2.6334108020000002</v>
      </c>
      <c r="D272" s="38">
        <v>45945</v>
      </c>
      <c r="E272" s="38">
        <v>45122</v>
      </c>
      <c r="F272">
        <v>21.602694813999999</v>
      </c>
      <c r="G272">
        <v>324.58436588000001</v>
      </c>
      <c r="H272">
        <v>100.2764</v>
      </c>
      <c r="I272" t="s">
        <v>127</v>
      </c>
      <c r="J272">
        <v>20210623</v>
      </c>
      <c r="K272" t="s">
        <v>24</v>
      </c>
      <c r="L272" t="s">
        <v>44</v>
      </c>
      <c r="M272" t="s">
        <v>44</v>
      </c>
      <c r="N272" t="s">
        <v>24</v>
      </c>
      <c r="O272" t="s">
        <v>44</v>
      </c>
      <c r="P272" t="s">
        <v>321</v>
      </c>
      <c r="Q272" t="s">
        <v>24</v>
      </c>
      <c r="R272" t="s">
        <v>598</v>
      </c>
      <c r="S272" t="s">
        <v>24</v>
      </c>
    </row>
    <row r="273" spans="1:19" x14ac:dyDescent="0.25">
      <c r="A273" t="s">
        <v>708</v>
      </c>
      <c r="B273" t="s">
        <v>708</v>
      </c>
      <c r="C273">
        <v>2.5174412940000002</v>
      </c>
      <c r="D273" s="38">
        <v>45945</v>
      </c>
      <c r="E273" s="38">
        <v>45031</v>
      </c>
      <c r="F273">
        <v>21.638390285</v>
      </c>
      <c r="G273">
        <v>337.19390175500001</v>
      </c>
      <c r="H273">
        <v>100.1942</v>
      </c>
      <c r="I273" t="s">
        <v>126</v>
      </c>
      <c r="J273">
        <v>20210519</v>
      </c>
      <c r="K273" t="s">
        <v>24</v>
      </c>
      <c r="L273" t="s">
        <v>44</v>
      </c>
      <c r="M273" t="s">
        <v>44</v>
      </c>
      <c r="N273" t="s">
        <v>24</v>
      </c>
      <c r="O273" t="s">
        <v>44</v>
      </c>
      <c r="P273" t="s">
        <v>321</v>
      </c>
      <c r="Q273" t="s">
        <v>24</v>
      </c>
      <c r="R273" t="s">
        <v>598</v>
      </c>
      <c r="S273" t="s">
        <v>24</v>
      </c>
    </row>
    <row r="274" spans="1:19" x14ac:dyDescent="0.25">
      <c r="A274" t="s">
        <v>1165</v>
      </c>
      <c r="B274" t="s">
        <v>1165</v>
      </c>
      <c r="C274">
        <v>5.8098467229999997</v>
      </c>
      <c r="D274" s="38">
        <v>45953</v>
      </c>
      <c r="E274" s="38">
        <v>45039</v>
      </c>
      <c r="F274">
        <v>12.422227638000001</v>
      </c>
      <c r="G274">
        <v>350.068617007</v>
      </c>
      <c r="H274">
        <v>100.2834</v>
      </c>
      <c r="I274" t="s">
        <v>172</v>
      </c>
      <c r="J274">
        <v>20210521</v>
      </c>
      <c r="K274" t="s">
        <v>795</v>
      </c>
      <c r="L274" t="s">
        <v>44</v>
      </c>
      <c r="M274" t="s">
        <v>44</v>
      </c>
      <c r="N274" t="s">
        <v>44</v>
      </c>
      <c r="O274" t="s">
        <v>44</v>
      </c>
      <c r="P274" t="s">
        <v>1581</v>
      </c>
      <c r="Q274" t="s">
        <v>795</v>
      </c>
      <c r="R274" t="s">
        <v>598</v>
      </c>
      <c r="S274" t="s">
        <v>28</v>
      </c>
    </row>
    <row r="275" spans="1:19" x14ac:dyDescent="0.25">
      <c r="A275" t="s">
        <v>1162</v>
      </c>
      <c r="B275" t="s">
        <v>1162</v>
      </c>
      <c r="C275">
        <v>6.1676719709999999</v>
      </c>
      <c r="D275" s="38">
        <v>45949</v>
      </c>
      <c r="E275" s="38">
        <v>45246</v>
      </c>
      <c r="F275">
        <v>12.01001393</v>
      </c>
      <c r="G275">
        <v>360.61595884100001</v>
      </c>
      <c r="H275">
        <v>100.26909999999999</v>
      </c>
      <c r="I275" t="s">
        <v>172</v>
      </c>
      <c r="J275">
        <v>20211116</v>
      </c>
      <c r="K275" t="s">
        <v>44</v>
      </c>
      <c r="L275" t="s">
        <v>815</v>
      </c>
      <c r="M275" t="s">
        <v>44</v>
      </c>
      <c r="N275" t="s">
        <v>44</v>
      </c>
      <c r="O275" t="s">
        <v>44</v>
      </c>
      <c r="P275" t="s">
        <v>1582</v>
      </c>
      <c r="Q275" t="s">
        <v>815</v>
      </c>
      <c r="R275" t="s">
        <v>572</v>
      </c>
      <c r="S275" t="s">
        <v>28</v>
      </c>
    </row>
    <row r="276" spans="1:19" x14ac:dyDescent="0.25">
      <c r="A276" t="s">
        <v>607</v>
      </c>
      <c r="B276" t="s">
        <v>607</v>
      </c>
      <c r="C276">
        <v>5.3737713730000003</v>
      </c>
      <c r="D276" s="38">
        <v>45950</v>
      </c>
      <c r="E276" s="38">
        <v>45234</v>
      </c>
      <c r="F276">
        <v>18.885951308999999</v>
      </c>
      <c r="G276">
        <v>293.88845093100002</v>
      </c>
      <c r="H276">
        <v>100.32129999999999</v>
      </c>
      <c r="I276" t="s">
        <v>173</v>
      </c>
      <c r="J276">
        <v>20211104</v>
      </c>
      <c r="K276" t="s">
        <v>44</v>
      </c>
      <c r="L276" t="s">
        <v>610</v>
      </c>
      <c r="M276" t="s">
        <v>44</v>
      </c>
      <c r="N276" t="s">
        <v>44</v>
      </c>
      <c r="O276" t="s">
        <v>44</v>
      </c>
      <c r="P276" t="s">
        <v>608</v>
      </c>
      <c r="Q276" t="s">
        <v>610</v>
      </c>
      <c r="R276" t="s">
        <v>572</v>
      </c>
      <c r="S276" t="s">
        <v>24</v>
      </c>
    </row>
    <row r="277" spans="1:19" x14ac:dyDescent="0.25">
      <c r="A277" t="s">
        <v>1157</v>
      </c>
      <c r="B277" t="s">
        <v>1157</v>
      </c>
      <c r="C277">
        <v>6.3799806710000002</v>
      </c>
      <c r="D277" s="38">
        <v>45953</v>
      </c>
      <c r="E277" s="38">
        <v>45836</v>
      </c>
      <c r="F277">
        <v>11.154722792999999</v>
      </c>
      <c r="G277">
        <v>342.661744236</v>
      </c>
      <c r="H277">
        <v>100.1112</v>
      </c>
      <c r="I277" t="s">
        <v>174</v>
      </c>
      <c r="J277">
        <v>20240628</v>
      </c>
      <c r="K277" t="s">
        <v>795</v>
      </c>
      <c r="L277" t="s">
        <v>44</v>
      </c>
      <c r="M277" t="s">
        <v>44</v>
      </c>
      <c r="N277" t="s">
        <v>44</v>
      </c>
      <c r="O277" t="s">
        <v>44</v>
      </c>
      <c r="P277" t="s">
        <v>328</v>
      </c>
      <c r="Q277" t="s">
        <v>795</v>
      </c>
      <c r="R277" t="s">
        <v>598</v>
      </c>
      <c r="S277" t="s">
        <v>28</v>
      </c>
    </row>
    <row r="278" spans="1:19" x14ac:dyDescent="0.25">
      <c r="A278" t="s">
        <v>1172</v>
      </c>
      <c r="B278" t="s">
        <v>1172</v>
      </c>
      <c r="C278">
        <v>8.4864670370000006</v>
      </c>
      <c r="D278" s="38">
        <v>45950</v>
      </c>
      <c r="E278" s="38">
        <v>46365</v>
      </c>
      <c r="F278">
        <v>12.000027115</v>
      </c>
      <c r="G278">
        <v>283.98044937899999</v>
      </c>
      <c r="H278">
        <v>100.3878</v>
      </c>
      <c r="I278" t="s">
        <v>175</v>
      </c>
      <c r="J278">
        <v>20241209</v>
      </c>
      <c r="K278" t="s">
        <v>44</v>
      </c>
      <c r="L278" t="s">
        <v>44</v>
      </c>
      <c r="M278" t="s">
        <v>777</v>
      </c>
      <c r="N278" t="s">
        <v>44</v>
      </c>
      <c r="O278" t="s">
        <v>44</v>
      </c>
      <c r="P278" t="s">
        <v>331</v>
      </c>
      <c r="Q278" t="s">
        <v>777</v>
      </c>
      <c r="R278" t="s">
        <v>590</v>
      </c>
      <c r="S278" t="s">
        <v>28</v>
      </c>
    </row>
    <row r="279" spans="1:19" x14ac:dyDescent="0.25">
      <c r="A279" t="s">
        <v>1170</v>
      </c>
      <c r="B279" t="s">
        <v>1170</v>
      </c>
      <c r="C279">
        <v>9.4796255479999996</v>
      </c>
      <c r="D279" s="38">
        <v>45945</v>
      </c>
      <c r="E279" s="38">
        <v>46437</v>
      </c>
      <c r="F279">
        <v>12.001717855000001</v>
      </c>
      <c r="G279">
        <v>271.05379960699997</v>
      </c>
      <c r="H279">
        <v>99.557299999999998</v>
      </c>
      <c r="I279" t="s">
        <v>175</v>
      </c>
      <c r="J279">
        <v>20250219</v>
      </c>
      <c r="K279" t="s">
        <v>44</v>
      </c>
      <c r="L279" t="s">
        <v>44</v>
      </c>
      <c r="M279" t="s">
        <v>777</v>
      </c>
      <c r="N279" t="s">
        <v>44</v>
      </c>
      <c r="O279" t="s">
        <v>44</v>
      </c>
      <c r="P279" t="s">
        <v>331</v>
      </c>
      <c r="Q279" t="s">
        <v>777</v>
      </c>
      <c r="R279" t="s">
        <v>590</v>
      </c>
      <c r="S279" t="s">
        <v>28</v>
      </c>
    </row>
    <row r="280" spans="1:19" x14ac:dyDescent="0.25">
      <c r="A280" t="s">
        <v>1174</v>
      </c>
      <c r="B280" t="s">
        <v>1174</v>
      </c>
      <c r="C280">
        <v>9.2279649789999993</v>
      </c>
      <c r="D280" s="38">
        <v>45949</v>
      </c>
      <c r="E280" s="38">
        <v>46368</v>
      </c>
      <c r="F280">
        <v>12.123305775</v>
      </c>
      <c r="G280">
        <v>286.90249742700001</v>
      </c>
      <c r="H280">
        <v>100.55800000000001</v>
      </c>
      <c r="I280" t="s">
        <v>129</v>
      </c>
      <c r="J280">
        <v>20241212</v>
      </c>
      <c r="K280" t="s">
        <v>44</v>
      </c>
      <c r="L280" t="s">
        <v>44</v>
      </c>
      <c r="M280" t="s">
        <v>777</v>
      </c>
      <c r="N280" t="s">
        <v>44</v>
      </c>
      <c r="O280" t="s">
        <v>44</v>
      </c>
      <c r="P280" t="s">
        <v>331</v>
      </c>
      <c r="Q280" t="s">
        <v>777</v>
      </c>
      <c r="R280" t="s">
        <v>590</v>
      </c>
      <c r="S280" t="s">
        <v>28</v>
      </c>
    </row>
    <row r="281" spans="1:19" x14ac:dyDescent="0.25">
      <c r="A281" t="s">
        <v>1176</v>
      </c>
      <c r="B281" t="s">
        <v>1176</v>
      </c>
      <c r="C281">
        <v>6.1742103999999998</v>
      </c>
      <c r="D281" s="38">
        <v>45944</v>
      </c>
      <c r="E281" s="38">
        <v>46101</v>
      </c>
      <c r="F281">
        <v>11.125777378</v>
      </c>
      <c r="G281">
        <v>265.615435902</v>
      </c>
      <c r="H281">
        <v>100.2174</v>
      </c>
      <c r="I281" t="s">
        <v>176</v>
      </c>
      <c r="J281">
        <v>20250320</v>
      </c>
      <c r="K281" t="s">
        <v>777</v>
      </c>
      <c r="L281" t="s">
        <v>44</v>
      </c>
      <c r="M281" t="s">
        <v>44</v>
      </c>
      <c r="N281" t="s">
        <v>44</v>
      </c>
      <c r="O281" t="s">
        <v>44</v>
      </c>
      <c r="P281" t="s">
        <v>331</v>
      </c>
      <c r="Q281" t="s">
        <v>777</v>
      </c>
      <c r="R281" t="s">
        <v>598</v>
      </c>
      <c r="S281" t="s">
        <v>28</v>
      </c>
    </row>
    <row r="282" spans="1:19" x14ac:dyDescent="0.25">
      <c r="A282" t="s">
        <v>1167</v>
      </c>
      <c r="B282" t="s">
        <v>1167</v>
      </c>
      <c r="C282">
        <v>3.3646189909999999</v>
      </c>
      <c r="D282" s="38">
        <v>45955</v>
      </c>
      <c r="E282" s="38">
        <v>43671</v>
      </c>
      <c r="F282">
        <v>13.361529319000001</v>
      </c>
      <c r="G282">
        <v>325.83472608300002</v>
      </c>
      <c r="H282">
        <v>100.4456</v>
      </c>
      <c r="I282" t="s">
        <v>80</v>
      </c>
      <c r="J282">
        <v>20210303</v>
      </c>
      <c r="K282" t="s">
        <v>44</v>
      </c>
      <c r="L282" t="s">
        <v>931</v>
      </c>
      <c r="M282" t="s">
        <v>44</v>
      </c>
      <c r="N282" t="s">
        <v>44</v>
      </c>
      <c r="O282" t="s">
        <v>44</v>
      </c>
      <c r="P282" t="s">
        <v>1583</v>
      </c>
      <c r="Q282" t="s">
        <v>931</v>
      </c>
      <c r="R282" t="s">
        <v>572</v>
      </c>
      <c r="S282" t="s">
        <v>28</v>
      </c>
    </row>
    <row r="283" spans="1:19" x14ac:dyDescent="0.25">
      <c r="A283" t="s">
        <v>1358</v>
      </c>
      <c r="B283" t="s">
        <v>1358</v>
      </c>
      <c r="C283">
        <v>5.9432115760000004</v>
      </c>
      <c r="D283" s="38">
        <v>45950</v>
      </c>
      <c r="E283" s="38">
        <v>45127</v>
      </c>
      <c r="F283">
        <v>12.262366335999999</v>
      </c>
      <c r="G283">
        <v>396.69692009800002</v>
      </c>
      <c r="H283">
        <v>100.20399999999999</v>
      </c>
      <c r="I283" t="s">
        <v>144</v>
      </c>
      <c r="J283">
        <v>20210729</v>
      </c>
      <c r="K283" t="s">
        <v>44</v>
      </c>
      <c r="L283" t="s">
        <v>815</v>
      </c>
      <c r="M283" t="s">
        <v>44</v>
      </c>
      <c r="N283" t="s">
        <v>44</v>
      </c>
      <c r="O283" t="s">
        <v>44</v>
      </c>
      <c r="P283" t="s">
        <v>768</v>
      </c>
      <c r="Q283" t="s">
        <v>815</v>
      </c>
      <c r="R283" t="s">
        <v>572</v>
      </c>
      <c r="S283" t="s">
        <v>28</v>
      </c>
    </row>
    <row r="284" spans="1:19" x14ac:dyDescent="0.25">
      <c r="A284" t="s">
        <v>767</v>
      </c>
      <c r="B284" t="s">
        <v>767</v>
      </c>
      <c r="C284">
        <v>5.7796780969999997</v>
      </c>
      <c r="D284" s="38">
        <v>45947</v>
      </c>
      <c r="E284" s="38">
        <v>45216</v>
      </c>
      <c r="F284">
        <v>16.997714115000001</v>
      </c>
      <c r="H284">
        <v>100.005</v>
      </c>
      <c r="I284" t="s">
        <v>144</v>
      </c>
      <c r="J284">
        <v>20211123</v>
      </c>
      <c r="K284" t="s">
        <v>44</v>
      </c>
      <c r="L284" t="s">
        <v>610</v>
      </c>
      <c r="M284" t="s">
        <v>44</v>
      </c>
      <c r="N284" t="s">
        <v>44</v>
      </c>
      <c r="O284" t="s">
        <v>44</v>
      </c>
      <c r="P284" t="s">
        <v>768</v>
      </c>
      <c r="Q284" t="s">
        <v>610</v>
      </c>
      <c r="R284" t="s">
        <v>572</v>
      </c>
      <c r="S284" t="s">
        <v>24</v>
      </c>
    </row>
    <row r="285" spans="1:19" x14ac:dyDescent="0.25">
      <c r="A285" t="s">
        <v>1360</v>
      </c>
      <c r="B285" t="s">
        <v>1360</v>
      </c>
      <c r="C285">
        <v>6.218061413</v>
      </c>
      <c r="D285" s="38">
        <v>45947</v>
      </c>
      <c r="E285" s="38">
        <v>45216</v>
      </c>
      <c r="F285">
        <v>10.442185317</v>
      </c>
      <c r="G285">
        <v>380.89023727300003</v>
      </c>
      <c r="H285">
        <v>99.753799999999998</v>
      </c>
      <c r="I285" t="s">
        <v>144</v>
      </c>
      <c r="J285">
        <v>20211123</v>
      </c>
      <c r="K285" t="s">
        <v>44</v>
      </c>
      <c r="L285" t="s">
        <v>815</v>
      </c>
      <c r="M285" t="s">
        <v>44</v>
      </c>
      <c r="N285" t="s">
        <v>44</v>
      </c>
      <c r="O285" t="s">
        <v>44</v>
      </c>
      <c r="P285" t="s">
        <v>768</v>
      </c>
      <c r="Q285" t="s">
        <v>815</v>
      </c>
      <c r="R285" t="s">
        <v>572</v>
      </c>
      <c r="S285" t="s">
        <v>28</v>
      </c>
    </row>
    <row r="286" spans="1:19" x14ac:dyDescent="0.25">
      <c r="A286" t="s">
        <v>1189</v>
      </c>
      <c r="B286" t="s">
        <v>1189</v>
      </c>
      <c r="C286">
        <v>9.2708154139999994</v>
      </c>
      <c r="D286" s="38">
        <v>45952</v>
      </c>
      <c r="E286" s="38">
        <v>46372</v>
      </c>
      <c r="F286">
        <v>11.889148394999999</v>
      </c>
      <c r="G286">
        <v>263.92980898799999</v>
      </c>
      <c r="H286">
        <v>100.42310000000001</v>
      </c>
      <c r="I286" t="s">
        <v>130</v>
      </c>
      <c r="J286">
        <v>20241216</v>
      </c>
      <c r="K286" t="s">
        <v>777</v>
      </c>
      <c r="L286" t="s">
        <v>44</v>
      </c>
      <c r="M286" t="s">
        <v>44</v>
      </c>
      <c r="N286" t="s">
        <v>44</v>
      </c>
      <c r="O286" t="s">
        <v>44</v>
      </c>
      <c r="P286" t="s">
        <v>334</v>
      </c>
      <c r="Q286" t="s">
        <v>777</v>
      </c>
      <c r="R286" t="s">
        <v>598</v>
      </c>
      <c r="S286" t="s">
        <v>28</v>
      </c>
    </row>
    <row r="287" spans="1:19" x14ac:dyDescent="0.25">
      <c r="A287" t="s">
        <v>1194</v>
      </c>
      <c r="B287" t="s">
        <v>1194</v>
      </c>
      <c r="C287">
        <v>8.8050649920000001</v>
      </c>
      <c r="D287" s="38">
        <v>45950</v>
      </c>
      <c r="E287" s="38">
        <v>46223</v>
      </c>
      <c r="F287">
        <v>11.985213849999999</v>
      </c>
      <c r="G287">
        <v>284.95618268999999</v>
      </c>
      <c r="H287">
        <v>100.3327</v>
      </c>
      <c r="I287" t="s">
        <v>130</v>
      </c>
      <c r="J287">
        <v>20240711</v>
      </c>
      <c r="K287" t="s">
        <v>777</v>
      </c>
      <c r="L287" t="s">
        <v>44</v>
      </c>
      <c r="M287" t="s">
        <v>44</v>
      </c>
      <c r="N287" t="s">
        <v>44</v>
      </c>
      <c r="O287" t="s">
        <v>44</v>
      </c>
      <c r="P287" t="s">
        <v>334</v>
      </c>
      <c r="Q287" t="s">
        <v>777</v>
      </c>
      <c r="R287" t="s">
        <v>598</v>
      </c>
      <c r="S287" t="s">
        <v>28</v>
      </c>
    </row>
    <row r="288" spans="1:19" x14ac:dyDescent="0.25">
      <c r="A288" t="s">
        <v>715</v>
      </c>
      <c r="B288" t="s">
        <v>715</v>
      </c>
      <c r="C288">
        <v>8.2209395460000003</v>
      </c>
      <c r="D288" s="38">
        <v>45950</v>
      </c>
      <c r="E288" s="38">
        <v>46223</v>
      </c>
      <c r="F288">
        <v>17.986221997000001</v>
      </c>
      <c r="G288">
        <v>191.66242638599999</v>
      </c>
      <c r="H288">
        <v>100.54810000000001</v>
      </c>
      <c r="I288" t="s">
        <v>130</v>
      </c>
      <c r="J288">
        <v>20240711</v>
      </c>
      <c r="K288" t="s">
        <v>24</v>
      </c>
      <c r="L288" t="s">
        <v>44</v>
      </c>
      <c r="M288" t="s">
        <v>44</v>
      </c>
      <c r="N288" t="s">
        <v>44</v>
      </c>
      <c r="O288" t="s">
        <v>44</v>
      </c>
      <c r="P288" t="s">
        <v>334</v>
      </c>
      <c r="Q288" t="s">
        <v>24</v>
      </c>
      <c r="R288" t="s">
        <v>598</v>
      </c>
      <c r="S288" t="s">
        <v>24</v>
      </c>
    </row>
    <row r="289" spans="1:19" x14ac:dyDescent="0.25">
      <c r="A289" t="s">
        <v>1211</v>
      </c>
      <c r="B289" t="s">
        <v>1211</v>
      </c>
      <c r="C289">
        <v>9.0507018559999999</v>
      </c>
      <c r="D289" s="38">
        <v>45955</v>
      </c>
      <c r="E289" s="38">
        <v>46320</v>
      </c>
      <c r="F289">
        <v>11.924196997999999</v>
      </c>
      <c r="G289">
        <v>298.30899583299998</v>
      </c>
      <c r="H289">
        <v>100.7937</v>
      </c>
      <c r="I289" t="s">
        <v>177</v>
      </c>
      <c r="J289">
        <v>20240925</v>
      </c>
      <c r="K289" t="s">
        <v>28</v>
      </c>
      <c r="L289" t="s">
        <v>44</v>
      </c>
      <c r="M289" t="s">
        <v>44</v>
      </c>
      <c r="N289" t="s">
        <v>44</v>
      </c>
      <c r="O289" t="s">
        <v>44</v>
      </c>
      <c r="P289" t="s">
        <v>724</v>
      </c>
      <c r="Q289" t="s">
        <v>28</v>
      </c>
      <c r="R289" t="s">
        <v>598</v>
      </c>
      <c r="S289" t="s">
        <v>28</v>
      </c>
    </row>
    <row r="290" spans="1:19" x14ac:dyDescent="0.25">
      <c r="A290" t="s">
        <v>1233</v>
      </c>
      <c r="B290" t="s">
        <v>1233</v>
      </c>
      <c r="C290">
        <v>6.3401163809999996</v>
      </c>
      <c r="D290" s="38">
        <v>45949</v>
      </c>
      <c r="E290" s="38">
        <v>45262</v>
      </c>
      <c r="F290">
        <v>11.412920385</v>
      </c>
      <c r="G290">
        <v>338.025519793</v>
      </c>
      <c r="H290">
        <v>100.4113</v>
      </c>
      <c r="I290" t="s">
        <v>130</v>
      </c>
      <c r="J290">
        <v>20211202</v>
      </c>
      <c r="K290" t="s">
        <v>777</v>
      </c>
      <c r="L290" t="s">
        <v>44</v>
      </c>
      <c r="M290" t="s">
        <v>44</v>
      </c>
      <c r="N290" t="s">
        <v>44</v>
      </c>
      <c r="O290" t="s">
        <v>44</v>
      </c>
      <c r="P290" t="s">
        <v>1236</v>
      </c>
      <c r="Q290" t="s">
        <v>777</v>
      </c>
      <c r="R290" t="s">
        <v>598</v>
      </c>
      <c r="S290" t="s">
        <v>28</v>
      </c>
    </row>
    <row r="291" spans="1:19" x14ac:dyDescent="0.25">
      <c r="A291" t="s">
        <v>1181</v>
      </c>
      <c r="B291" t="s">
        <v>1181</v>
      </c>
      <c r="C291">
        <v>7.8614500129999998</v>
      </c>
      <c r="D291" s="38">
        <v>45950</v>
      </c>
      <c r="E291" s="38">
        <v>46162</v>
      </c>
      <c r="F291">
        <v>11.906123123</v>
      </c>
      <c r="G291">
        <v>302.81640810699997</v>
      </c>
      <c r="H291">
        <v>100.4345</v>
      </c>
      <c r="I291" t="s">
        <v>130</v>
      </c>
      <c r="J291">
        <v>20240520</v>
      </c>
      <c r="K291" t="s">
        <v>777</v>
      </c>
      <c r="L291" t="s">
        <v>44</v>
      </c>
      <c r="M291" t="s">
        <v>44</v>
      </c>
      <c r="N291" t="s">
        <v>44</v>
      </c>
      <c r="O291" t="s">
        <v>44</v>
      </c>
      <c r="P291" t="s">
        <v>1179</v>
      </c>
      <c r="Q291" t="s">
        <v>777</v>
      </c>
      <c r="R291" t="s">
        <v>598</v>
      </c>
      <c r="S291" t="s">
        <v>28</v>
      </c>
    </row>
    <row r="292" spans="1:19" x14ac:dyDescent="0.25">
      <c r="A292" t="s">
        <v>1235</v>
      </c>
      <c r="B292" t="s">
        <v>1235</v>
      </c>
      <c r="C292">
        <v>8.8457775000000005</v>
      </c>
      <c r="D292" s="38">
        <v>45950</v>
      </c>
      <c r="E292" s="38">
        <v>46176</v>
      </c>
      <c r="F292">
        <v>11.879383364000001</v>
      </c>
      <c r="G292">
        <v>298.26980315200001</v>
      </c>
      <c r="H292">
        <v>100.4465</v>
      </c>
      <c r="I292" t="s">
        <v>130</v>
      </c>
      <c r="J292">
        <v>20240603</v>
      </c>
      <c r="K292" t="s">
        <v>777</v>
      </c>
      <c r="L292" t="s">
        <v>44</v>
      </c>
      <c r="M292" t="s">
        <v>44</v>
      </c>
      <c r="N292" t="s">
        <v>44</v>
      </c>
      <c r="O292" t="s">
        <v>44</v>
      </c>
      <c r="P292" t="s">
        <v>1236</v>
      </c>
      <c r="Q292" t="s">
        <v>777</v>
      </c>
      <c r="R292" t="s">
        <v>598</v>
      </c>
      <c r="S292" t="s">
        <v>28</v>
      </c>
    </row>
    <row r="293" spans="1:19" x14ac:dyDescent="0.25">
      <c r="A293" t="s">
        <v>1187</v>
      </c>
      <c r="B293" t="s">
        <v>1187</v>
      </c>
      <c r="C293">
        <v>8.6662160539999995</v>
      </c>
      <c r="D293" s="38">
        <v>45950</v>
      </c>
      <c r="E293" s="38">
        <v>46122</v>
      </c>
      <c r="F293">
        <v>11.914417628000001</v>
      </c>
      <c r="G293">
        <v>350.34985889299998</v>
      </c>
      <c r="H293">
        <v>100.6186</v>
      </c>
      <c r="I293" t="s">
        <v>130</v>
      </c>
      <c r="J293">
        <v>20240410</v>
      </c>
      <c r="K293" t="s">
        <v>777</v>
      </c>
      <c r="L293" t="s">
        <v>44</v>
      </c>
      <c r="M293" t="s">
        <v>44</v>
      </c>
      <c r="N293" t="s">
        <v>44</v>
      </c>
      <c r="O293" t="s">
        <v>44</v>
      </c>
      <c r="P293" t="s">
        <v>334</v>
      </c>
      <c r="Q293" t="s">
        <v>777</v>
      </c>
      <c r="R293" t="s">
        <v>598</v>
      </c>
      <c r="S293" t="s">
        <v>28</v>
      </c>
    </row>
    <row r="294" spans="1:19" x14ac:dyDescent="0.25">
      <c r="A294" t="s">
        <v>1209</v>
      </c>
      <c r="B294" t="s">
        <v>1209</v>
      </c>
      <c r="C294">
        <v>8.8497823130000004</v>
      </c>
      <c r="D294" s="38">
        <v>45950</v>
      </c>
      <c r="E294" s="38">
        <v>46261</v>
      </c>
      <c r="F294">
        <v>11.950355028000001</v>
      </c>
      <c r="G294">
        <v>296.69582815299998</v>
      </c>
      <c r="H294">
        <v>100.88930000000001</v>
      </c>
      <c r="I294" t="s">
        <v>177</v>
      </c>
      <c r="J294">
        <v>20240827</v>
      </c>
      <c r="K294" t="s">
        <v>28</v>
      </c>
      <c r="L294" t="s">
        <v>44</v>
      </c>
      <c r="M294" t="s">
        <v>44</v>
      </c>
      <c r="N294" t="s">
        <v>44</v>
      </c>
      <c r="O294" t="s">
        <v>44</v>
      </c>
      <c r="P294" t="s">
        <v>724</v>
      </c>
      <c r="Q294" t="s">
        <v>28</v>
      </c>
      <c r="R294" t="s">
        <v>598</v>
      </c>
      <c r="S294" t="s">
        <v>28</v>
      </c>
    </row>
    <row r="295" spans="1:19" x14ac:dyDescent="0.25">
      <c r="A295" t="s">
        <v>723</v>
      </c>
      <c r="B295" t="s">
        <v>723</v>
      </c>
      <c r="C295">
        <v>8.6996069580000004</v>
      </c>
      <c r="D295" s="38">
        <v>45951</v>
      </c>
      <c r="E295" s="38">
        <v>46408</v>
      </c>
      <c r="F295">
        <v>18.044497045</v>
      </c>
      <c r="G295">
        <v>179.36489314400001</v>
      </c>
      <c r="H295">
        <v>100.387</v>
      </c>
      <c r="I295" t="s">
        <v>177</v>
      </c>
      <c r="J295">
        <v>20241227</v>
      </c>
      <c r="K295" t="s">
        <v>24</v>
      </c>
      <c r="L295" t="s">
        <v>44</v>
      </c>
      <c r="M295" t="s">
        <v>44</v>
      </c>
      <c r="N295" t="s">
        <v>44</v>
      </c>
      <c r="O295" t="s">
        <v>44</v>
      </c>
      <c r="P295" t="s">
        <v>724</v>
      </c>
      <c r="Q295" t="s">
        <v>24</v>
      </c>
      <c r="R295" t="s">
        <v>598</v>
      </c>
      <c r="S295" t="s">
        <v>24</v>
      </c>
    </row>
    <row r="296" spans="1:19" x14ac:dyDescent="0.25">
      <c r="A296" t="s">
        <v>1198</v>
      </c>
      <c r="B296" t="s">
        <v>1198</v>
      </c>
      <c r="C296">
        <v>9.0986853199999995</v>
      </c>
      <c r="D296" s="38">
        <v>45945</v>
      </c>
      <c r="E296" s="38">
        <v>46275</v>
      </c>
      <c r="F296">
        <v>11.489954000000001</v>
      </c>
      <c r="G296">
        <v>325.98295675399999</v>
      </c>
      <c r="H296">
        <v>100.26430000000001</v>
      </c>
      <c r="I296" t="s">
        <v>178</v>
      </c>
      <c r="J296">
        <v>20240910</v>
      </c>
      <c r="K296" t="s">
        <v>777</v>
      </c>
      <c r="L296" t="s">
        <v>44</v>
      </c>
      <c r="M296" t="s">
        <v>44</v>
      </c>
      <c r="N296" t="s">
        <v>44</v>
      </c>
      <c r="O296" t="s">
        <v>44</v>
      </c>
      <c r="P296" t="s">
        <v>719</v>
      </c>
      <c r="Q296" t="s">
        <v>777</v>
      </c>
      <c r="R296" t="s">
        <v>598</v>
      </c>
      <c r="S296" t="s">
        <v>28</v>
      </c>
    </row>
    <row r="297" spans="1:19" x14ac:dyDescent="0.25">
      <c r="A297" t="s">
        <v>718</v>
      </c>
      <c r="B297" t="s">
        <v>718</v>
      </c>
      <c r="C297">
        <v>8.6967420969999996</v>
      </c>
      <c r="D297" s="38">
        <v>45945</v>
      </c>
      <c r="E297" s="38">
        <v>46362</v>
      </c>
      <c r="F297">
        <v>19.167905509000001</v>
      </c>
      <c r="G297">
        <v>192.111211258</v>
      </c>
      <c r="H297">
        <v>100.1947</v>
      </c>
      <c r="I297" t="s">
        <v>178</v>
      </c>
      <c r="J297">
        <v>20241206</v>
      </c>
      <c r="K297" t="s">
        <v>615</v>
      </c>
      <c r="L297" t="s">
        <v>44</v>
      </c>
      <c r="M297" t="s">
        <v>44</v>
      </c>
      <c r="N297" t="s">
        <v>44</v>
      </c>
      <c r="O297" t="s">
        <v>44</v>
      </c>
      <c r="P297" t="s">
        <v>719</v>
      </c>
      <c r="Q297" t="s">
        <v>615</v>
      </c>
      <c r="R297" t="s">
        <v>598</v>
      </c>
      <c r="S297" t="s">
        <v>24</v>
      </c>
    </row>
    <row r="298" spans="1:19" x14ac:dyDescent="0.25">
      <c r="A298" t="s">
        <v>1196</v>
      </c>
      <c r="B298" t="s">
        <v>1196</v>
      </c>
      <c r="C298">
        <v>9.3279796919999995</v>
      </c>
      <c r="D298" s="38">
        <v>45945</v>
      </c>
      <c r="E298" s="38">
        <v>46362</v>
      </c>
      <c r="F298">
        <v>12.681379408</v>
      </c>
      <c r="G298">
        <v>294.39574424599999</v>
      </c>
      <c r="H298">
        <v>100.3854</v>
      </c>
      <c r="I298" t="s">
        <v>178</v>
      </c>
      <c r="J298">
        <v>20241206</v>
      </c>
      <c r="K298" t="s">
        <v>795</v>
      </c>
      <c r="L298" t="s">
        <v>44</v>
      </c>
      <c r="M298" t="s">
        <v>44</v>
      </c>
      <c r="N298" t="s">
        <v>44</v>
      </c>
      <c r="O298" t="s">
        <v>44</v>
      </c>
      <c r="P298" t="s">
        <v>719</v>
      </c>
      <c r="Q298" t="s">
        <v>795</v>
      </c>
      <c r="R298" t="s">
        <v>598</v>
      </c>
      <c r="S298" t="s">
        <v>28</v>
      </c>
    </row>
    <row r="299" spans="1:19" x14ac:dyDescent="0.25">
      <c r="A299" t="s">
        <v>721</v>
      </c>
      <c r="B299" t="s">
        <v>721</v>
      </c>
      <c r="C299">
        <v>8.7709917419999996</v>
      </c>
      <c r="D299" s="38">
        <v>45945</v>
      </c>
      <c r="E299" s="38">
        <v>46402</v>
      </c>
      <c r="F299">
        <v>17.968499622</v>
      </c>
      <c r="G299">
        <v>182.599077131</v>
      </c>
      <c r="H299">
        <v>100.51430000000001</v>
      </c>
      <c r="I299" t="s">
        <v>179</v>
      </c>
      <c r="J299">
        <v>20241220</v>
      </c>
      <c r="K299" t="s">
        <v>24</v>
      </c>
      <c r="L299" t="s">
        <v>44</v>
      </c>
      <c r="M299" t="s">
        <v>44</v>
      </c>
      <c r="N299" t="s">
        <v>44</v>
      </c>
      <c r="O299" t="s">
        <v>44</v>
      </c>
      <c r="P299" t="s">
        <v>719</v>
      </c>
      <c r="Q299" t="s">
        <v>24</v>
      </c>
      <c r="R299" t="s">
        <v>598</v>
      </c>
      <c r="S299" t="s">
        <v>24</v>
      </c>
    </row>
    <row r="300" spans="1:19" x14ac:dyDescent="0.25">
      <c r="A300" t="s">
        <v>1216</v>
      </c>
      <c r="B300" t="s">
        <v>1216</v>
      </c>
      <c r="C300">
        <v>4.6780564289999997</v>
      </c>
      <c r="D300" s="38">
        <v>45955</v>
      </c>
      <c r="E300" s="38">
        <v>45772</v>
      </c>
      <c r="F300">
        <v>11.556790697</v>
      </c>
      <c r="G300">
        <v>409.88136086399999</v>
      </c>
      <c r="H300">
        <v>100.2372</v>
      </c>
      <c r="I300" t="s">
        <v>132</v>
      </c>
      <c r="J300">
        <v>20190913</v>
      </c>
      <c r="K300" t="s">
        <v>44</v>
      </c>
      <c r="L300" t="s">
        <v>815</v>
      </c>
      <c r="M300" t="s">
        <v>44</v>
      </c>
      <c r="N300" t="s">
        <v>44</v>
      </c>
      <c r="O300" t="s">
        <v>44</v>
      </c>
      <c r="P300" t="s">
        <v>1584</v>
      </c>
      <c r="Q300" t="s">
        <v>815</v>
      </c>
      <c r="R300" t="s">
        <v>572</v>
      </c>
      <c r="S300" t="s">
        <v>28</v>
      </c>
    </row>
    <row r="301" spans="1:19" x14ac:dyDescent="0.25">
      <c r="A301" t="s">
        <v>1220</v>
      </c>
      <c r="B301" t="s">
        <v>1220</v>
      </c>
      <c r="C301">
        <v>9.3028813039999996</v>
      </c>
      <c r="D301" s="38">
        <v>45952</v>
      </c>
      <c r="E301" s="38">
        <v>46409</v>
      </c>
      <c r="F301">
        <v>12.261381796</v>
      </c>
      <c r="G301">
        <v>283.14639329599999</v>
      </c>
      <c r="H301">
        <v>100.4744</v>
      </c>
      <c r="I301" t="s">
        <v>132</v>
      </c>
      <c r="J301">
        <v>20250110</v>
      </c>
      <c r="K301" t="s">
        <v>44</v>
      </c>
      <c r="L301" t="s">
        <v>44</v>
      </c>
      <c r="M301" t="s">
        <v>777</v>
      </c>
      <c r="N301" t="s">
        <v>44</v>
      </c>
      <c r="O301" t="s">
        <v>44</v>
      </c>
      <c r="P301" t="s">
        <v>1585</v>
      </c>
      <c r="Q301" t="s">
        <v>777</v>
      </c>
      <c r="R301" t="s">
        <v>590</v>
      </c>
      <c r="S301" t="s">
        <v>28</v>
      </c>
    </row>
    <row r="302" spans="1:19" x14ac:dyDescent="0.25">
      <c r="A302" t="s">
        <v>1224</v>
      </c>
      <c r="B302" t="s">
        <v>1224</v>
      </c>
      <c r="C302">
        <v>5.9896885720000004</v>
      </c>
      <c r="D302" s="38">
        <v>45945</v>
      </c>
      <c r="E302" s="38">
        <v>45122</v>
      </c>
      <c r="F302">
        <v>10.113190807000001</v>
      </c>
      <c r="G302">
        <v>327.84966778799998</v>
      </c>
      <c r="H302">
        <v>100.1546</v>
      </c>
      <c r="I302" t="s">
        <v>132</v>
      </c>
      <c r="J302">
        <v>20210714</v>
      </c>
      <c r="K302" t="s">
        <v>44</v>
      </c>
      <c r="L302" t="s">
        <v>815</v>
      </c>
      <c r="M302" t="s">
        <v>44</v>
      </c>
      <c r="N302" t="s">
        <v>44</v>
      </c>
      <c r="O302" t="s">
        <v>44</v>
      </c>
      <c r="P302" t="s">
        <v>1586</v>
      </c>
      <c r="Q302" t="s">
        <v>815</v>
      </c>
      <c r="R302" t="s">
        <v>572</v>
      </c>
      <c r="S302" t="s">
        <v>28</v>
      </c>
    </row>
    <row r="303" spans="1:19" x14ac:dyDescent="0.25">
      <c r="A303" t="s">
        <v>1218</v>
      </c>
      <c r="B303" t="s">
        <v>1218</v>
      </c>
      <c r="C303">
        <v>6.4799685450000002</v>
      </c>
      <c r="D303" s="38">
        <v>45945</v>
      </c>
      <c r="E303" s="38">
        <v>45397</v>
      </c>
      <c r="F303">
        <v>9.0579098939999998</v>
      </c>
      <c r="G303">
        <v>357.830071444</v>
      </c>
      <c r="H303">
        <v>98.014499999999998</v>
      </c>
      <c r="I303" t="s">
        <v>132</v>
      </c>
      <c r="J303">
        <v>20220304</v>
      </c>
      <c r="K303" t="s">
        <v>777</v>
      </c>
      <c r="L303" t="s">
        <v>44</v>
      </c>
      <c r="M303" t="s">
        <v>44</v>
      </c>
      <c r="N303" t="s">
        <v>44</v>
      </c>
      <c r="O303" t="s">
        <v>44</v>
      </c>
      <c r="P303" t="s">
        <v>1587</v>
      </c>
      <c r="Q303" t="s">
        <v>777</v>
      </c>
      <c r="R303" t="s">
        <v>598</v>
      </c>
      <c r="S303" t="s">
        <v>28</v>
      </c>
    </row>
    <row r="304" spans="1:19" x14ac:dyDescent="0.25">
      <c r="A304" t="s">
        <v>1222</v>
      </c>
      <c r="B304" t="s">
        <v>1222</v>
      </c>
      <c r="C304">
        <v>8.6634616520000005</v>
      </c>
      <c r="D304" s="38">
        <v>45945</v>
      </c>
      <c r="E304" s="38">
        <v>46075</v>
      </c>
      <c r="F304">
        <v>11.664110109999999</v>
      </c>
      <c r="G304">
        <v>398.79715744700002</v>
      </c>
      <c r="H304">
        <v>100.38500000000001</v>
      </c>
      <c r="I304" t="s">
        <v>132</v>
      </c>
      <c r="J304">
        <v>20240222</v>
      </c>
      <c r="K304" t="s">
        <v>777</v>
      </c>
      <c r="L304" t="s">
        <v>44</v>
      </c>
      <c r="M304" t="s">
        <v>44</v>
      </c>
      <c r="N304" t="s">
        <v>44</v>
      </c>
      <c r="O304" t="s">
        <v>44</v>
      </c>
      <c r="P304" t="s">
        <v>1588</v>
      </c>
      <c r="Q304" t="s">
        <v>777</v>
      </c>
      <c r="R304" t="s">
        <v>598</v>
      </c>
      <c r="S304" t="s">
        <v>28</v>
      </c>
    </row>
    <row r="305" spans="1:19" x14ac:dyDescent="0.25">
      <c r="A305" t="s">
        <v>1213</v>
      </c>
      <c r="B305" t="s">
        <v>1213</v>
      </c>
      <c r="C305">
        <v>3.242261461</v>
      </c>
      <c r="D305" s="38">
        <v>45947</v>
      </c>
      <c r="E305" s="38">
        <v>44029</v>
      </c>
      <c r="F305">
        <v>13.032905514999999</v>
      </c>
      <c r="G305">
        <v>310.06510001300001</v>
      </c>
      <c r="H305">
        <v>100.45610000000001</v>
      </c>
      <c r="I305" t="s">
        <v>132</v>
      </c>
      <c r="J305">
        <v>20180717</v>
      </c>
      <c r="K305" t="s">
        <v>777</v>
      </c>
      <c r="L305" t="s">
        <v>44</v>
      </c>
      <c r="M305" t="s">
        <v>44</v>
      </c>
      <c r="N305" t="s">
        <v>44</v>
      </c>
      <c r="O305" t="s">
        <v>44</v>
      </c>
      <c r="P305" t="s">
        <v>347</v>
      </c>
      <c r="Q305" t="s">
        <v>777</v>
      </c>
      <c r="R305" t="s">
        <v>598</v>
      </c>
      <c r="S305" t="s">
        <v>28</v>
      </c>
    </row>
    <row r="306" spans="1:19" x14ac:dyDescent="0.25">
      <c r="A306" t="s">
        <v>1226</v>
      </c>
      <c r="B306" t="s">
        <v>1226</v>
      </c>
      <c r="C306">
        <v>6.1606291329999996</v>
      </c>
      <c r="D306" s="38">
        <v>45884</v>
      </c>
      <c r="E306" s="38">
        <v>45427</v>
      </c>
      <c r="F306">
        <v>10.728482767999999</v>
      </c>
      <c r="G306">
        <v>386.98660017999998</v>
      </c>
      <c r="H306">
        <v>99.150599999999997</v>
      </c>
      <c r="I306" t="s">
        <v>132</v>
      </c>
      <c r="J306">
        <v>20220428</v>
      </c>
      <c r="K306" t="s">
        <v>44</v>
      </c>
      <c r="L306" t="s">
        <v>815</v>
      </c>
      <c r="M306" t="s">
        <v>44</v>
      </c>
      <c r="N306" t="s">
        <v>44</v>
      </c>
      <c r="O306" t="s">
        <v>44</v>
      </c>
      <c r="P306" t="s">
        <v>1589</v>
      </c>
      <c r="Q306" t="s">
        <v>815</v>
      </c>
      <c r="R306" t="s">
        <v>572</v>
      </c>
      <c r="S306" t="s">
        <v>28</v>
      </c>
    </row>
    <row r="307" spans="1:19" x14ac:dyDescent="0.25">
      <c r="A307" t="s">
        <v>1228</v>
      </c>
      <c r="B307" t="s">
        <v>1228</v>
      </c>
      <c r="C307">
        <v>9.0544673150000001</v>
      </c>
      <c r="D307" s="38">
        <v>45950</v>
      </c>
      <c r="E307" s="38">
        <v>46315</v>
      </c>
      <c r="F307">
        <v>12.846340079999999</v>
      </c>
      <c r="G307">
        <v>299.59756122900001</v>
      </c>
      <c r="H307">
        <v>100.7038</v>
      </c>
      <c r="I307" t="s">
        <v>132</v>
      </c>
      <c r="J307">
        <v>20241021</v>
      </c>
      <c r="K307" t="s">
        <v>44</v>
      </c>
      <c r="L307" t="s">
        <v>44</v>
      </c>
      <c r="M307" t="s">
        <v>777</v>
      </c>
      <c r="N307" t="s">
        <v>44</v>
      </c>
      <c r="O307" t="s">
        <v>44</v>
      </c>
      <c r="P307" t="s">
        <v>1590</v>
      </c>
      <c r="Q307" t="s">
        <v>777</v>
      </c>
      <c r="R307" t="s">
        <v>590</v>
      </c>
      <c r="S307" t="s">
        <v>28</v>
      </c>
    </row>
    <row r="308" spans="1:19" x14ac:dyDescent="0.25">
      <c r="A308" t="s">
        <v>1230</v>
      </c>
      <c r="B308" t="s">
        <v>1230</v>
      </c>
      <c r="C308">
        <v>7.9476811170000001</v>
      </c>
      <c r="D308" s="38">
        <v>45950</v>
      </c>
      <c r="E308" s="38">
        <v>45950</v>
      </c>
      <c r="F308">
        <v>12.071532547</v>
      </c>
      <c r="G308">
        <v>411.12574331600001</v>
      </c>
      <c r="H308">
        <v>100.517</v>
      </c>
      <c r="I308" t="s">
        <v>132</v>
      </c>
      <c r="J308">
        <v>20231109</v>
      </c>
      <c r="K308" t="s">
        <v>44</v>
      </c>
      <c r="L308" t="s">
        <v>44</v>
      </c>
      <c r="M308" t="s">
        <v>777</v>
      </c>
      <c r="N308" t="s">
        <v>44</v>
      </c>
      <c r="O308" t="s">
        <v>44</v>
      </c>
      <c r="P308" t="s">
        <v>1591</v>
      </c>
      <c r="Q308" t="s">
        <v>777</v>
      </c>
      <c r="R308" t="s">
        <v>590</v>
      </c>
      <c r="S308" t="s">
        <v>28</v>
      </c>
    </row>
    <row r="309" spans="1:19" x14ac:dyDescent="0.25">
      <c r="A309" t="s">
        <v>1183</v>
      </c>
      <c r="B309" t="s">
        <v>1183</v>
      </c>
      <c r="C309">
        <v>9.2305555560000005</v>
      </c>
      <c r="D309" s="38">
        <v>45951</v>
      </c>
      <c r="E309" s="38">
        <v>46236</v>
      </c>
      <c r="F309">
        <v>10.721297354000001</v>
      </c>
      <c r="G309">
        <v>410.24045592800002</v>
      </c>
      <c r="H309">
        <v>100.6371</v>
      </c>
      <c r="I309" t="s">
        <v>130</v>
      </c>
      <c r="J309">
        <v>20240802</v>
      </c>
      <c r="K309" t="s">
        <v>777</v>
      </c>
      <c r="L309" t="s">
        <v>44</v>
      </c>
      <c r="M309" t="s">
        <v>44</v>
      </c>
      <c r="N309" t="s">
        <v>44</v>
      </c>
      <c r="O309" t="s">
        <v>44</v>
      </c>
      <c r="P309" t="s">
        <v>334</v>
      </c>
      <c r="Q309" t="s">
        <v>777</v>
      </c>
      <c r="R309" t="s">
        <v>598</v>
      </c>
      <c r="S309" t="s">
        <v>28</v>
      </c>
    </row>
    <row r="310" spans="1:19" x14ac:dyDescent="0.25">
      <c r="A310" t="s">
        <v>1185</v>
      </c>
      <c r="B310" t="s">
        <v>1185</v>
      </c>
      <c r="C310">
        <v>8.220652394</v>
      </c>
      <c r="D310" s="38">
        <v>45950</v>
      </c>
      <c r="E310" s="38">
        <v>46132</v>
      </c>
      <c r="F310">
        <v>12.729645886</v>
      </c>
      <c r="G310">
        <v>332.99854204100001</v>
      </c>
      <c r="H310">
        <v>100.7474</v>
      </c>
      <c r="I310" t="s">
        <v>130</v>
      </c>
      <c r="J310">
        <v>20240328</v>
      </c>
      <c r="K310" t="s">
        <v>28</v>
      </c>
      <c r="L310" t="s">
        <v>44</v>
      </c>
      <c r="M310" t="s">
        <v>44</v>
      </c>
      <c r="N310" t="s">
        <v>44</v>
      </c>
      <c r="O310" t="s">
        <v>44</v>
      </c>
      <c r="P310" t="s">
        <v>334</v>
      </c>
      <c r="Q310" t="s">
        <v>28</v>
      </c>
      <c r="R310" t="s">
        <v>598</v>
      </c>
      <c r="S310" t="s">
        <v>28</v>
      </c>
    </row>
    <row r="311" spans="1:19" x14ac:dyDescent="0.25">
      <c r="A311" t="s">
        <v>1178</v>
      </c>
      <c r="B311" t="s">
        <v>1178</v>
      </c>
      <c r="C311">
        <v>9.3192894129999999</v>
      </c>
      <c r="D311" s="38">
        <v>45950</v>
      </c>
      <c r="E311" s="38">
        <v>46457</v>
      </c>
      <c r="F311">
        <v>11.934857134</v>
      </c>
      <c r="G311">
        <v>254.08030531399999</v>
      </c>
      <c r="H311">
        <v>99.700699999999998</v>
      </c>
      <c r="I311" t="s">
        <v>130</v>
      </c>
      <c r="J311">
        <v>20250311</v>
      </c>
      <c r="K311" t="s">
        <v>777</v>
      </c>
      <c r="L311" t="s">
        <v>44</v>
      </c>
      <c r="M311" t="s">
        <v>44</v>
      </c>
      <c r="N311" t="s">
        <v>44</v>
      </c>
      <c r="O311" t="s">
        <v>44</v>
      </c>
      <c r="P311" t="s">
        <v>334</v>
      </c>
      <c r="Q311" t="s">
        <v>777</v>
      </c>
      <c r="R311" t="s">
        <v>598</v>
      </c>
      <c r="S311" t="s">
        <v>28</v>
      </c>
    </row>
    <row r="312" spans="1:19" x14ac:dyDescent="0.25">
      <c r="A312" t="s">
        <v>1192</v>
      </c>
      <c r="B312" t="s">
        <v>1192</v>
      </c>
      <c r="C312">
        <v>9.0338301679999997</v>
      </c>
      <c r="D312" s="38">
        <v>45950</v>
      </c>
      <c r="E312" s="38">
        <v>46396</v>
      </c>
      <c r="F312">
        <v>11.91333867</v>
      </c>
      <c r="G312">
        <v>271.03684029700003</v>
      </c>
      <c r="H312">
        <v>99.573499999999996</v>
      </c>
      <c r="I312" t="s">
        <v>130</v>
      </c>
      <c r="J312">
        <v>20250109</v>
      </c>
      <c r="K312" t="s">
        <v>777</v>
      </c>
      <c r="L312" t="s">
        <v>44</v>
      </c>
      <c r="M312" t="s">
        <v>44</v>
      </c>
      <c r="N312" t="s">
        <v>44</v>
      </c>
      <c r="O312" t="s">
        <v>44</v>
      </c>
      <c r="P312" t="s">
        <v>334</v>
      </c>
      <c r="Q312" t="s">
        <v>777</v>
      </c>
      <c r="R312" t="s">
        <v>598</v>
      </c>
      <c r="S312" t="s">
        <v>28</v>
      </c>
    </row>
    <row r="313" spans="1:19" x14ac:dyDescent="0.25">
      <c r="A313" t="s">
        <v>799</v>
      </c>
      <c r="B313" t="s">
        <v>799</v>
      </c>
      <c r="C313">
        <v>8.7571252529999999</v>
      </c>
      <c r="D313" s="38">
        <v>45955</v>
      </c>
      <c r="E313" s="38">
        <v>46187</v>
      </c>
      <c r="F313">
        <v>12.096093314000001</v>
      </c>
      <c r="G313">
        <v>346.29219905600002</v>
      </c>
      <c r="H313">
        <v>100.56189999999999</v>
      </c>
      <c r="I313" t="s">
        <v>180</v>
      </c>
      <c r="J313">
        <v>20240614</v>
      </c>
      <c r="K313" t="s">
        <v>777</v>
      </c>
      <c r="L313" t="s">
        <v>44</v>
      </c>
      <c r="M313" t="s">
        <v>44</v>
      </c>
      <c r="N313" t="s">
        <v>44</v>
      </c>
      <c r="O313" t="s">
        <v>44</v>
      </c>
      <c r="P313" t="s">
        <v>1592</v>
      </c>
      <c r="Q313" t="s">
        <v>777</v>
      </c>
      <c r="R313" t="s">
        <v>598</v>
      </c>
      <c r="S313" t="s">
        <v>28</v>
      </c>
    </row>
    <row r="314" spans="1:19" x14ac:dyDescent="0.25">
      <c r="A314" t="s">
        <v>796</v>
      </c>
      <c r="B314" t="s">
        <v>796</v>
      </c>
      <c r="C314">
        <v>7.9320862270000001</v>
      </c>
      <c r="D314" s="38">
        <v>45955</v>
      </c>
      <c r="E314" s="38">
        <v>46010</v>
      </c>
      <c r="F314">
        <v>12.174953878</v>
      </c>
      <c r="G314">
        <v>514.15173217899996</v>
      </c>
      <c r="H314">
        <v>100.8954</v>
      </c>
      <c r="I314" t="s">
        <v>180</v>
      </c>
      <c r="J314">
        <v>20231219</v>
      </c>
      <c r="K314" t="s">
        <v>777</v>
      </c>
      <c r="L314" t="s">
        <v>44</v>
      </c>
      <c r="M314" t="s">
        <v>44</v>
      </c>
      <c r="N314" t="s">
        <v>44</v>
      </c>
      <c r="O314" t="s">
        <v>44</v>
      </c>
      <c r="P314" t="s">
        <v>1592</v>
      </c>
      <c r="Q314" t="s">
        <v>777</v>
      </c>
      <c r="R314" t="s">
        <v>598</v>
      </c>
      <c r="S314" t="s">
        <v>28</v>
      </c>
    </row>
    <row r="315" spans="1:19" x14ac:dyDescent="0.25">
      <c r="A315" t="s">
        <v>1241</v>
      </c>
      <c r="B315" t="s">
        <v>1241</v>
      </c>
      <c r="C315">
        <v>6.2830814159999999</v>
      </c>
      <c r="D315" s="38">
        <v>45945</v>
      </c>
      <c r="E315" s="38">
        <v>45269</v>
      </c>
      <c r="F315">
        <v>12.243812149</v>
      </c>
      <c r="H315">
        <v>100.005</v>
      </c>
      <c r="I315" t="s">
        <v>133</v>
      </c>
      <c r="J315">
        <v>20211209</v>
      </c>
      <c r="K315" t="s">
        <v>44</v>
      </c>
      <c r="L315" t="s">
        <v>815</v>
      </c>
      <c r="M315" t="s">
        <v>44</v>
      </c>
      <c r="N315" t="s">
        <v>44</v>
      </c>
      <c r="O315" t="s">
        <v>44</v>
      </c>
      <c r="P315" t="s">
        <v>353</v>
      </c>
      <c r="Q315" t="s">
        <v>815</v>
      </c>
      <c r="R315" t="s">
        <v>572</v>
      </c>
      <c r="S315" t="s">
        <v>28</v>
      </c>
    </row>
    <row r="316" spans="1:19" x14ac:dyDescent="0.25">
      <c r="A316" t="s">
        <v>727</v>
      </c>
      <c r="B316" t="s">
        <v>727</v>
      </c>
      <c r="C316">
        <v>8.1649085390000007</v>
      </c>
      <c r="D316" s="38">
        <v>45950</v>
      </c>
      <c r="E316" s="38">
        <v>46223</v>
      </c>
      <c r="F316">
        <v>18.240613832000001</v>
      </c>
      <c r="G316">
        <v>188.07571710799999</v>
      </c>
      <c r="H316">
        <v>100.453</v>
      </c>
      <c r="I316" t="s">
        <v>133</v>
      </c>
      <c r="J316">
        <v>20240711</v>
      </c>
      <c r="K316" t="s">
        <v>24</v>
      </c>
      <c r="L316" t="s">
        <v>44</v>
      </c>
      <c r="M316" t="s">
        <v>44</v>
      </c>
      <c r="N316" t="s">
        <v>44</v>
      </c>
      <c r="O316" t="s">
        <v>44</v>
      </c>
      <c r="P316" t="s">
        <v>353</v>
      </c>
      <c r="Q316" t="s">
        <v>24</v>
      </c>
      <c r="R316" t="s">
        <v>598</v>
      </c>
      <c r="S316" t="s">
        <v>24</v>
      </c>
    </row>
    <row r="317" spans="1:19" x14ac:dyDescent="0.25">
      <c r="A317" t="s">
        <v>1244</v>
      </c>
      <c r="B317" t="s">
        <v>1244</v>
      </c>
      <c r="C317">
        <v>8.7308479689999992</v>
      </c>
      <c r="D317" s="38">
        <v>45950</v>
      </c>
      <c r="E317" s="38">
        <v>46223</v>
      </c>
      <c r="F317">
        <v>12.258219722</v>
      </c>
      <c r="G317">
        <v>289.03881326200002</v>
      </c>
      <c r="H317">
        <v>100.3917</v>
      </c>
      <c r="I317" t="s">
        <v>133</v>
      </c>
      <c r="J317">
        <v>20240711</v>
      </c>
      <c r="K317" t="s">
        <v>777</v>
      </c>
      <c r="L317" t="s">
        <v>44</v>
      </c>
      <c r="M317" t="s">
        <v>44</v>
      </c>
      <c r="N317" t="s">
        <v>44</v>
      </c>
      <c r="O317" t="s">
        <v>44</v>
      </c>
      <c r="P317" t="s">
        <v>353</v>
      </c>
      <c r="Q317" t="s">
        <v>777</v>
      </c>
      <c r="R317" t="s">
        <v>598</v>
      </c>
      <c r="S317" t="s">
        <v>28</v>
      </c>
    </row>
    <row r="318" spans="1:19" x14ac:dyDescent="0.25">
      <c r="A318" t="s">
        <v>1239</v>
      </c>
      <c r="B318" t="s">
        <v>1239</v>
      </c>
      <c r="C318">
        <v>9.2386458650000005</v>
      </c>
      <c r="D318" s="38">
        <v>45955</v>
      </c>
      <c r="E318" s="38">
        <v>46412</v>
      </c>
      <c r="F318">
        <v>12.587547347999999</v>
      </c>
      <c r="G318">
        <v>289.95231722599999</v>
      </c>
      <c r="H318">
        <v>100.34439999999999</v>
      </c>
      <c r="I318" t="s">
        <v>181</v>
      </c>
      <c r="J318">
        <v>20250128</v>
      </c>
      <c r="K318" t="s">
        <v>44</v>
      </c>
      <c r="L318" t="s">
        <v>44</v>
      </c>
      <c r="M318" t="s">
        <v>28</v>
      </c>
      <c r="N318" t="s">
        <v>44</v>
      </c>
      <c r="O318" t="s">
        <v>44</v>
      </c>
      <c r="P318" t="s">
        <v>135</v>
      </c>
      <c r="Q318" t="s">
        <v>28</v>
      </c>
      <c r="R318" t="s">
        <v>590</v>
      </c>
      <c r="S318" t="s">
        <v>28</v>
      </c>
    </row>
    <row r="319" spans="1:19" x14ac:dyDescent="0.25">
      <c r="A319" t="s">
        <v>729</v>
      </c>
      <c r="B319" t="s">
        <v>729</v>
      </c>
      <c r="C319">
        <v>8.6597029719999998</v>
      </c>
      <c r="D319" s="38">
        <v>45945</v>
      </c>
      <c r="E319" s="38">
        <v>46402</v>
      </c>
      <c r="F319">
        <v>17.998641959</v>
      </c>
      <c r="G319">
        <v>178.649973273</v>
      </c>
      <c r="H319">
        <v>100.0879</v>
      </c>
      <c r="I319" t="s">
        <v>122</v>
      </c>
      <c r="J319">
        <v>20250115</v>
      </c>
      <c r="K319" t="s">
        <v>24</v>
      </c>
      <c r="L319" t="s">
        <v>44</v>
      </c>
      <c r="M319" t="s">
        <v>44</v>
      </c>
      <c r="N319" t="s">
        <v>44</v>
      </c>
      <c r="O319" t="s">
        <v>44</v>
      </c>
      <c r="P319" t="s">
        <v>730</v>
      </c>
      <c r="Q319" t="s">
        <v>24</v>
      </c>
      <c r="R319" t="s">
        <v>598</v>
      </c>
      <c r="S319" t="s">
        <v>24</v>
      </c>
    </row>
    <row r="320" spans="1:19" x14ac:dyDescent="0.25">
      <c r="A320" t="s">
        <v>1246</v>
      </c>
      <c r="B320" t="s">
        <v>1246</v>
      </c>
      <c r="C320">
        <v>9.2084536349999997</v>
      </c>
      <c r="D320" s="38">
        <v>45945</v>
      </c>
      <c r="E320" s="38">
        <v>46402</v>
      </c>
      <c r="F320">
        <v>11.99854259</v>
      </c>
      <c r="G320">
        <v>258.92469740000001</v>
      </c>
      <c r="H320">
        <v>100.42100000000001</v>
      </c>
      <c r="I320" t="s">
        <v>122</v>
      </c>
      <c r="J320">
        <v>20250115</v>
      </c>
      <c r="K320" t="s">
        <v>777</v>
      </c>
      <c r="L320" t="s">
        <v>44</v>
      </c>
      <c r="M320" t="s">
        <v>44</v>
      </c>
      <c r="N320" t="s">
        <v>44</v>
      </c>
      <c r="O320" t="s">
        <v>44</v>
      </c>
      <c r="P320" t="s">
        <v>730</v>
      </c>
      <c r="Q320" t="s">
        <v>777</v>
      </c>
      <c r="R320" t="s">
        <v>598</v>
      </c>
      <c r="S320" t="s">
        <v>28</v>
      </c>
    </row>
    <row r="321" spans="1:19" x14ac:dyDescent="0.25">
      <c r="A321" t="s">
        <v>1254</v>
      </c>
      <c r="B321" t="s">
        <v>1254</v>
      </c>
      <c r="C321">
        <v>8.5557780819999998</v>
      </c>
      <c r="D321" s="38">
        <v>45950</v>
      </c>
      <c r="E321" s="38">
        <v>45983</v>
      </c>
      <c r="F321">
        <v>11.602152973999999</v>
      </c>
      <c r="G321">
        <v>484.07370830299999</v>
      </c>
      <c r="H321">
        <v>100.96040000000001</v>
      </c>
      <c r="I321" t="s">
        <v>182</v>
      </c>
      <c r="J321">
        <v>20231122</v>
      </c>
      <c r="K321" t="s">
        <v>44</v>
      </c>
      <c r="L321" t="s">
        <v>44</v>
      </c>
      <c r="M321" t="s">
        <v>777</v>
      </c>
      <c r="N321" t="s">
        <v>44</v>
      </c>
      <c r="O321" t="s">
        <v>44</v>
      </c>
      <c r="P321" t="s">
        <v>358</v>
      </c>
      <c r="Q321" t="s">
        <v>777</v>
      </c>
      <c r="R321" t="s">
        <v>590</v>
      </c>
      <c r="S321" t="s">
        <v>28</v>
      </c>
    </row>
    <row r="322" spans="1:19" x14ac:dyDescent="0.25">
      <c r="A322" t="s">
        <v>1250</v>
      </c>
      <c r="B322" t="s">
        <v>1250</v>
      </c>
      <c r="C322">
        <v>5.7780782740000003</v>
      </c>
      <c r="D322" s="38">
        <v>45947</v>
      </c>
      <c r="E322" s="38">
        <v>45764</v>
      </c>
      <c r="F322">
        <v>11.761713537</v>
      </c>
      <c r="G322">
        <v>410.525224127</v>
      </c>
      <c r="H322">
        <v>100.19629999999999</v>
      </c>
      <c r="I322" t="s">
        <v>182</v>
      </c>
      <c r="J322">
        <v>20240301</v>
      </c>
      <c r="K322" t="s">
        <v>28</v>
      </c>
      <c r="L322" t="s">
        <v>44</v>
      </c>
      <c r="M322" t="s">
        <v>44</v>
      </c>
      <c r="N322" t="s">
        <v>44</v>
      </c>
      <c r="O322" t="s">
        <v>44</v>
      </c>
      <c r="P322" t="s">
        <v>358</v>
      </c>
      <c r="Q322" t="s">
        <v>28</v>
      </c>
      <c r="R322" t="s">
        <v>598</v>
      </c>
      <c r="S322" t="s">
        <v>28</v>
      </c>
    </row>
    <row r="323" spans="1:19" x14ac:dyDescent="0.25">
      <c r="A323" t="s">
        <v>1252</v>
      </c>
      <c r="B323" t="s">
        <v>1252</v>
      </c>
      <c r="C323">
        <v>7.014098196</v>
      </c>
      <c r="D323" s="38">
        <v>45955</v>
      </c>
      <c r="E323" s="38">
        <v>46047</v>
      </c>
      <c r="F323">
        <v>12.125060673</v>
      </c>
      <c r="G323">
        <v>266.30053788999999</v>
      </c>
      <c r="H323">
        <v>99.632300000000001</v>
      </c>
      <c r="I323" t="s">
        <v>182</v>
      </c>
      <c r="J323">
        <v>20250214</v>
      </c>
      <c r="K323" t="s">
        <v>44</v>
      </c>
      <c r="L323" t="s">
        <v>44</v>
      </c>
      <c r="M323" t="s">
        <v>777</v>
      </c>
      <c r="N323" t="s">
        <v>44</v>
      </c>
      <c r="O323" t="s">
        <v>44</v>
      </c>
      <c r="P323" t="s">
        <v>358</v>
      </c>
      <c r="Q323" t="s">
        <v>777</v>
      </c>
      <c r="R323" t="s">
        <v>590</v>
      </c>
      <c r="S323" t="s">
        <v>28</v>
      </c>
    </row>
    <row r="324" spans="1:19" x14ac:dyDescent="0.25">
      <c r="A324" t="s">
        <v>732</v>
      </c>
      <c r="B324" t="s">
        <v>732</v>
      </c>
      <c r="C324">
        <v>8.6483314470000003</v>
      </c>
      <c r="D324" s="38">
        <v>45950</v>
      </c>
      <c r="E324" s="38">
        <v>46315</v>
      </c>
      <c r="F324">
        <v>17.342697068</v>
      </c>
      <c r="G324">
        <v>197.687299212</v>
      </c>
      <c r="H324">
        <v>100.49939999999999</v>
      </c>
      <c r="I324" t="s">
        <v>182</v>
      </c>
      <c r="J324">
        <v>20241021</v>
      </c>
      <c r="K324" t="s">
        <v>44</v>
      </c>
      <c r="L324" t="s">
        <v>44</v>
      </c>
      <c r="M324" t="s">
        <v>24</v>
      </c>
      <c r="N324" t="s">
        <v>44</v>
      </c>
      <c r="O324" t="s">
        <v>44</v>
      </c>
      <c r="P324" t="s">
        <v>358</v>
      </c>
      <c r="Q324" t="s">
        <v>24</v>
      </c>
      <c r="R324" t="s">
        <v>590</v>
      </c>
      <c r="S324" t="s">
        <v>24</v>
      </c>
    </row>
    <row r="325" spans="1:19" x14ac:dyDescent="0.25">
      <c r="A325" t="s">
        <v>1248</v>
      </c>
      <c r="B325" t="s">
        <v>1248</v>
      </c>
      <c r="C325">
        <v>9.0960109899999999</v>
      </c>
      <c r="D325" s="38">
        <v>45950</v>
      </c>
      <c r="E325" s="38">
        <v>46315</v>
      </c>
      <c r="F325">
        <v>12.302617621</v>
      </c>
      <c r="G325">
        <v>293.573114809</v>
      </c>
      <c r="H325">
        <v>100.4354</v>
      </c>
      <c r="I325" t="s">
        <v>182</v>
      </c>
      <c r="J325">
        <v>20241021</v>
      </c>
      <c r="K325" t="s">
        <v>44</v>
      </c>
      <c r="L325" t="s">
        <v>44</v>
      </c>
      <c r="M325" t="s">
        <v>28</v>
      </c>
      <c r="N325" t="s">
        <v>44</v>
      </c>
      <c r="O325" t="s">
        <v>44</v>
      </c>
      <c r="P325" t="s">
        <v>358</v>
      </c>
      <c r="Q325" t="s">
        <v>28</v>
      </c>
      <c r="R325" t="s">
        <v>590</v>
      </c>
      <c r="S325" t="s">
        <v>28</v>
      </c>
    </row>
    <row r="326" spans="1:19" x14ac:dyDescent="0.25">
      <c r="A326" t="s">
        <v>1256</v>
      </c>
      <c r="B326" t="s">
        <v>1256</v>
      </c>
      <c r="C326">
        <v>9.2488848909999994</v>
      </c>
      <c r="D326" s="38">
        <v>45945</v>
      </c>
      <c r="E326" s="38">
        <v>46402</v>
      </c>
      <c r="F326">
        <v>11.63737523</v>
      </c>
      <c r="G326">
        <v>255.797177232</v>
      </c>
      <c r="H326">
        <v>100.2908</v>
      </c>
      <c r="I326" t="s">
        <v>151</v>
      </c>
      <c r="J326">
        <v>20250211</v>
      </c>
      <c r="K326" t="s">
        <v>44</v>
      </c>
      <c r="L326" t="s">
        <v>44</v>
      </c>
      <c r="M326" t="s">
        <v>777</v>
      </c>
      <c r="N326" t="s">
        <v>44</v>
      </c>
      <c r="O326" t="s">
        <v>44</v>
      </c>
      <c r="P326" t="s">
        <v>1551</v>
      </c>
      <c r="Q326" t="s">
        <v>777</v>
      </c>
      <c r="R326" t="s">
        <v>590</v>
      </c>
      <c r="S326" t="s">
        <v>28</v>
      </c>
    </row>
    <row r="327" spans="1:19" x14ac:dyDescent="0.25">
      <c r="A327" t="s">
        <v>1264</v>
      </c>
      <c r="B327" t="s">
        <v>1264</v>
      </c>
      <c r="C327">
        <v>6.0054901129999996</v>
      </c>
      <c r="D327" s="38">
        <v>45920</v>
      </c>
      <c r="E327" s="38">
        <v>45097</v>
      </c>
      <c r="F327">
        <v>11.865882293</v>
      </c>
      <c r="G327">
        <v>326.43887878599998</v>
      </c>
      <c r="H327">
        <v>100.2253</v>
      </c>
      <c r="I327" t="s">
        <v>150</v>
      </c>
      <c r="J327">
        <v>20210621</v>
      </c>
      <c r="K327" t="s">
        <v>44</v>
      </c>
      <c r="L327" t="s">
        <v>815</v>
      </c>
      <c r="M327" t="s">
        <v>44</v>
      </c>
      <c r="N327" t="s">
        <v>44</v>
      </c>
      <c r="O327" t="s">
        <v>44</v>
      </c>
      <c r="P327" t="s">
        <v>1593</v>
      </c>
      <c r="Q327" t="s">
        <v>815</v>
      </c>
      <c r="R327" t="s">
        <v>572</v>
      </c>
      <c r="S327" t="s">
        <v>28</v>
      </c>
    </row>
    <row r="328" spans="1:19" x14ac:dyDescent="0.25">
      <c r="A328" t="s">
        <v>1260</v>
      </c>
      <c r="B328" t="s">
        <v>1260</v>
      </c>
      <c r="C328">
        <v>8.6439119170000005</v>
      </c>
      <c r="D328" s="38">
        <v>45956</v>
      </c>
      <c r="E328" s="38">
        <v>46096</v>
      </c>
      <c r="F328">
        <v>11.744197184000001</v>
      </c>
      <c r="G328">
        <v>357.96949232999998</v>
      </c>
      <c r="H328">
        <v>100.7701</v>
      </c>
      <c r="I328" t="s">
        <v>137</v>
      </c>
      <c r="J328">
        <v>20240315</v>
      </c>
      <c r="K328" t="s">
        <v>44</v>
      </c>
      <c r="L328" t="s">
        <v>44</v>
      </c>
      <c r="M328" t="s">
        <v>777</v>
      </c>
      <c r="N328" t="s">
        <v>44</v>
      </c>
      <c r="O328" t="s">
        <v>44</v>
      </c>
      <c r="P328" t="s">
        <v>1594</v>
      </c>
      <c r="Q328" t="s">
        <v>777</v>
      </c>
      <c r="R328" t="s">
        <v>590</v>
      </c>
      <c r="S328" t="s">
        <v>28</v>
      </c>
    </row>
    <row r="329" spans="1:19" x14ac:dyDescent="0.25">
      <c r="A329" t="s">
        <v>1262</v>
      </c>
      <c r="B329" t="s">
        <v>1262</v>
      </c>
      <c r="C329">
        <v>8.7875656880000008</v>
      </c>
      <c r="D329" s="38">
        <v>45945</v>
      </c>
      <c r="E329" s="38">
        <v>46271</v>
      </c>
      <c r="F329">
        <v>12.002255045</v>
      </c>
      <c r="G329">
        <v>294.59144834</v>
      </c>
      <c r="H329">
        <v>100.3552</v>
      </c>
      <c r="I329" t="s">
        <v>137</v>
      </c>
      <c r="J329">
        <v>20240906</v>
      </c>
      <c r="K329" t="s">
        <v>44</v>
      </c>
      <c r="L329" t="s">
        <v>44</v>
      </c>
      <c r="M329" t="s">
        <v>777</v>
      </c>
      <c r="N329" t="s">
        <v>44</v>
      </c>
      <c r="O329" t="s">
        <v>44</v>
      </c>
      <c r="P329" t="s">
        <v>1595</v>
      </c>
      <c r="Q329" t="s">
        <v>777</v>
      </c>
      <c r="R329" t="s">
        <v>590</v>
      </c>
      <c r="S329" t="s">
        <v>28</v>
      </c>
    </row>
    <row r="330" spans="1:19" x14ac:dyDescent="0.25">
      <c r="A330" t="s">
        <v>1258</v>
      </c>
      <c r="B330" t="s">
        <v>1258</v>
      </c>
      <c r="C330">
        <v>8.3321508160000004</v>
      </c>
      <c r="D330" s="38">
        <v>45955</v>
      </c>
      <c r="E330" s="38">
        <v>46003</v>
      </c>
      <c r="F330">
        <v>11.875192982</v>
      </c>
      <c r="G330">
        <v>508.70989095499999</v>
      </c>
      <c r="H330">
        <v>100.9558</v>
      </c>
      <c r="I330" t="s">
        <v>137</v>
      </c>
      <c r="J330">
        <v>20231212</v>
      </c>
      <c r="K330" t="s">
        <v>44</v>
      </c>
      <c r="L330" t="s">
        <v>44</v>
      </c>
      <c r="M330" t="s">
        <v>777</v>
      </c>
      <c r="N330" t="s">
        <v>44</v>
      </c>
      <c r="O330" t="s">
        <v>44</v>
      </c>
      <c r="P330" t="s">
        <v>1596</v>
      </c>
      <c r="Q330" t="s">
        <v>777</v>
      </c>
      <c r="R330" t="s">
        <v>590</v>
      </c>
      <c r="S330" t="s">
        <v>28</v>
      </c>
    </row>
    <row r="331" spans="1:19" x14ac:dyDescent="0.25">
      <c r="A331" t="s">
        <v>737</v>
      </c>
      <c r="B331" t="s">
        <v>737</v>
      </c>
      <c r="C331">
        <v>8.7194999539999998</v>
      </c>
      <c r="D331" s="38">
        <v>45955</v>
      </c>
      <c r="E331" s="38">
        <v>46412</v>
      </c>
      <c r="F331">
        <v>18</v>
      </c>
      <c r="G331">
        <v>176.49959169100001</v>
      </c>
      <c r="H331">
        <v>100.2396</v>
      </c>
      <c r="I331" t="s">
        <v>122</v>
      </c>
      <c r="J331">
        <v>20250205</v>
      </c>
      <c r="K331" t="s">
        <v>24</v>
      </c>
      <c r="L331" t="s">
        <v>44</v>
      </c>
      <c r="M331" t="s">
        <v>44</v>
      </c>
      <c r="N331" t="s">
        <v>44</v>
      </c>
      <c r="O331" t="s">
        <v>44</v>
      </c>
      <c r="P331" t="s">
        <v>1597</v>
      </c>
      <c r="Q331" t="s">
        <v>24</v>
      </c>
      <c r="R331" t="s">
        <v>598</v>
      </c>
      <c r="S331" t="s">
        <v>24</v>
      </c>
    </row>
    <row r="332" spans="1:19" x14ac:dyDescent="0.25">
      <c r="A332" t="s">
        <v>1274</v>
      </c>
      <c r="B332" t="s">
        <v>1274</v>
      </c>
      <c r="C332">
        <v>9.2609863019999992</v>
      </c>
      <c r="D332" s="38">
        <v>45955</v>
      </c>
      <c r="E332" s="38">
        <v>46412</v>
      </c>
      <c r="F332">
        <v>12</v>
      </c>
      <c r="G332">
        <v>256.19114636900002</v>
      </c>
      <c r="H332">
        <v>100.2629</v>
      </c>
      <c r="I332" t="s">
        <v>122</v>
      </c>
      <c r="J332">
        <v>20250205</v>
      </c>
      <c r="K332" t="s">
        <v>777</v>
      </c>
      <c r="L332" t="s">
        <v>44</v>
      </c>
      <c r="M332" t="s">
        <v>44</v>
      </c>
      <c r="N332" t="s">
        <v>44</v>
      </c>
      <c r="O332" t="s">
        <v>44</v>
      </c>
      <c r="P332" t="s">
        <v>1597</v>
      </c>
      <c r="Q332" t="s">
        <v>777</v>
      </c>
      <c r="R332" t="s">
        <v>598</v>
      </c>
      <c r="S332" t="s">
        <v>28</v>
      </c>
    </row>
    <row r="333" spans="1:19" x14ac:dyDescent="0.25">
      <c r="A333" t="s">
        <v>1269</v>
      </c>
      <c r="B333" t="s">
        <v>1269</v>
      </c>
      <c r="C333">
        <v>6.201122969</v>
      </c>
      <c r="D333" s="38">
        <v>45950</v>
      </c>
      <c r="E333" s="38">
        <v>45036</v>
      </c>
      <c r="F333">
        <v>11.172043797000001</v>
      </c>
      <c r="G333">
        <v>512.20018635400004</v>
      </c>
      <c r="H333">
        <v>100.559</v>
      </c>
      <c r="I333" t="s">
        <v>152</v>
      </c>
      <c r="J333">
        <v>20210415</v>
      </c>
      <c r="K333" t="s">
        <v>44</v>
      </c>
      <c r="L333" t="s">
        <v>815</v>
      </c>
      <c r="M333" t="s">
        <v>44</v>
      </c>
      <c r="N333" t="s">
        <v>44</v>
      </c>
      <c r="O333" t="s">
        <v>44</v>
      </c>
      <c r="P333" t="s">
        <v>1545</v>
      </c>
      <c r="Q333" t="s">
        <v>815</v>
      </c>
      <c r="R333" t="s">
        <v>572</v>
      </c>
      <c r="S333" t="s">
        <v>28</v>
      </c>
    </row>
    <row r="334" spans="1:19" x14ac:dyDescent="0.25">
      <c r="A334" t="s">
        <v>1272</v>
      </c>
      <c r="B334" t="s">
        <v>1272</v>
      </c>
      <c r="C334">
        <v>6.0461743659999998</v>
      </c>
      <c r="D334" s="38">
        <v>45950</v>
      </c>
      <c r="E334" s="38">
        <v>45127</v>
      </c>
      <c r="F334">
        <v>12.568735727</v>
      </c>
      <c r="G334">
        <v>321.66065138099998</v>
      </c>
      <c r="H334">
        <v>100.2144</v>
      </c>
      <c r="I334" t="s">
        <v>152</v>
      </c>
      <c r="J334">
        <v>20210611</v>
      </c>
      <c r="K334" t="s">
        <v>44</v>
      </c>
      <c r="L334" t="s">
        <v>815</v>
      </c>
      <c r="M334" t="s">
        <v>44</v>
      </c>
      <c r="N334" t="s">
        <v>44</v>
      </c>
      <c r="O334" t="s">
        <v>44</v>
      </c>
      <c r="P334" t="s">
        <v>1545</v>
      </c>
      <c r="Q334" t="s">
        <v>815</v>
      </c>
      <c r="R334" t="s">
        <v>572</v>
      </c>
      <c r="S334" t="s">
        <v>28</v>
      </c>
    </row>
    <row r="335" spans="1:19" x14ac:dyDescent="0.25">
      <c r="A335" t="s">
        <v>1266</v>
      </c>
      <c r="B335" t="s">
        <v>1266</v>
      </c>
      <c r="C335">
        <v>5.7483962489999998</v>
      </c>
      <c r="D335" s="38">
        <v>45950</v>
      </c>
      <c r="E335" s="38">
        <v>45036</v>
      </c>
      <c r="F335">
        <v>11.538608106</v>
      </c>
      <c r="H335">
        <v>100.005</v>
      </c>
      <c r="I335" t="s">
        <v>104</v>
      </c>
      <c r="J335">
        <v>20210607</v>
      </c>
      <c r="K335" t="s">
        <v>777</v>
      </c>
      <c r="L335" t="s">
        <v>44</v>
      </c>
      <c r="M335" t="s">
        <v>44</v>
      </c>
      <c r="N335" t="s">
        <v>44</v>
      </c>
      <c r="O335" t="s">
        <v>44</v>
      </c>
      <c r="P335" t="s">
        <v>1267</v>
      </c>
      <c r="Q335" t="s">
        <v>777</v>
      </c>
      <c r="R335" t="s">
        <v>598</v>
      </c>
      <c r="S335" t="s">
        <v>28</v>
      </c>
    </row>
    <row r="336" spans="1:19" x14ac:dyDescent="0.25">
      <c r="A336" t="s">
        <v>1297</v>
      </c>
      <c r="B336" t="s">
        <v>1297</v>
      </c>
      <c r="C336">
        <v>9.2428033060000008</v>
      </c>
      <c r="D336" s="38">
        <v>45950</v>
      </c>
      <c r="E336" s="38">
        <v>46407</v>
      </c>
      <c r="F336">
        <v>12.003085030999999</v>
      </c>
      <c r="G336">
        <v>284.29897166400002</v>
      </c>
      <c r="H336">
        <v>100.39109999999999</v>
      </c>
      <c r="I336" t="s">
        <v>183</v>
      </c>
      <c r="J336">
        <v>20250121</v>
      </c>
      <c r="K336" t="s">
        <v>44</v>
      </c>
      <c r="L336" t="s">
        <v>44</v>
      </c>
      <c r="M336" t="s">
        <v>777</v>
      </c>
      <c r="N336" t="s">
        <v>44</v>
      </c>
      <c r="O336" t="s">
        <v>44</v>
      </c>
      <c r="P336" t="s">
        <v>1598</v>
      </c>
      <c r="Q336" t="s">
        <v>777</v>
      </c>
      <c r="R336" t="s">
        <v>590</v>
      </c>
      <c r="S336" t="s">
        <v>28</v>
      </c>
    </row>
    <row r="337" spans="1:19" x14ac:dyDescent="0.25">
      <c r="A337" t="s">
        <v>1281</v>
      </c>
      <c r="B337" t="s">
        <v>1281</v>
      </c>
      <c r="C337">
        <v>7.9786931470000004</v>
      </c>
      <c r="D337" s="38">
        <v>45953</v>
      </c>
      <c r="E337" s="38">
        <v>45953</v>
      </c>
      <c r="F337">
        <v>12.129889821000001</v>
      </c>
      <c r="G337">
        <v>410.638007265</v>
      </c>
      <c r="H337">
        <v>100.5487</v>
      </c>
      <c r="I337" t="s">
        <v>141</v>
      </c>
      <c r="J337">
        <v>20231102</v>
      </c>
      <c r="K337" t="s">
        <v>777</v>
      </c>
      <c r="L337" t="s">
        <v>44</v>
      </c>
      <c r="M337" t="s">
        <v>44</v>
      </c>
      <c r="N337" t="s">
        <v>44</v>
      </c>
      <c r="O337" t="s">
        <v>44</v>
      </c>
      <c r="P337" t="s">
        <v>548</v>
      </c>
      <c r="Q337" t="s">
        <v>777</v>
      </c>
      <c r="R337" t="s">
        <v>598</v>
      </c>
      <c r="S337" t="s">
        <v>28</v>
      </c>
    </row>
    <row r="338" spans="1:19" x14ac:dyDescent="0.25">
      <c r="A338" t="s">
        <v>1283</v>
      </c>
      <c r="B338" t="s">
        <v>1283</v>
      </c>
      <c r="C338">
        <v>8.6278665070000002</v>
      </c>
      <c r="D338" s="38">
        <v>45953</v>
      </c>
      <c r="E338" s="38">
        <v>46117</v>
      </c>
      <c r="F338">
        <v>11.957195878</v>
      </c>
      <c r="G338">
        <v>347.179974894</v>
      </c>
      <c r="H338">
        <v>100.8228</v>
      </c>
      <c r="I338" t="s">
        <v>141</v>
      </c>
      <c r="J338">
        <v>20240405</v>
      </c>
      <c r="K338" t="s">
        <v>777</v>
      </c>
      <c r="L338" t="s">
        <v>44</v>
      </c>
      <c r="M338" t="s">
        <v>44</v>
      </c>
      <c r="N338" t="s">
        <v>44</v>
      </c>
      <c r="O338" t="s">
        <v>44</v>
      </c>
      <c r="P338" t="s">
        <v>548</v>
      </c>
      <c r="Q338" t="s">
        <v>777</v>
      </c>
      <c r="R338" t="s">
        <v>598</v>
      </c>
      <c r="S338" t="s">
        <v>28</v>
      </c>
    </row>
    <row r="339" spans="1:19" x14ac:dyDescent="0.25">
      <c r="A339" t="s">
        <v>1278</v>
      </c>
      <c r="B339" t="s">
        <v>1278</v>
      </c>
      <c r="C339">
        <v>9.2610579160000004</v>
      </c>
      <c r="D339" s="38">
        <v>45950</v>
      </c>
      <c r="E339" s="38">
        <v>46494</v>
      </c>
      <c r="F339">
        <v>11.940969818999999</v>
      </c>
      <c r="G339">
        <v>265.63563365599998</v>
      </c>
      <c r="H339">
        <v>100.30110000000001</v>
      </c>
      <c r="I339" t="s">
        <v>141</v>
      </c>
      <c r="J339">
        <v>20250306</v>
      </c>
      <c r="K339" t="s">
        <v>777</v>
      </c>
      <c r="L339" t="s">
        <v>44</v>
      </c>
      <c r="M339" t="s">
        <v>44</v>
      </c>
      <c r="N339" t="s">
        <v>44</v>
      </c>
      <c r="O339" t="s">
        <v>44</v>
      </c>
      <c r="P339" t="s">
        <v>548</v>
      </c>
      <c r="Q339" t="s">
        <v>777</v>
      </c>
      <c r="R339" t="s">
        <v>598</v>
      </c>
      <c r="S339" t="s">
        <v>28</v>
      </c>
    </row>
    <row r="340" spans="1:19" x14ac:dyDescent="0.25">
      <c r="A340" t="s">
        <v>1285</v>
      </c>
      <c r="B340" t="s">
        <v>1285</v>
      </c>
      <c r="C340">
        <v>9.2407462220000003</v>
      </c>
      <c r="D340" s="38">
        <v>45947</v>
      </c>
      <c r="E340" s="38">
        <v>46369</v>
      </c>
      <c r="F340">
        <v>12.033079820999999</v>
      </c>
      <c r="G340">
        <v>276.32313910400001</v>
      </c>
      <c r="H340">
        <v>100.2505</v>
      </c>
      <c r="I340" t="s">
        <v>141</v>
      </c>
      <c r="J340">
        <v>20241213</v>
      </c>
      <c r="K340" t="s">
        <v>777</v>
      </c>
      <c r="L340" t="s">
        <v>44</v>
      </c>
      <c r="M340" t="s">
        <v>44</v>
      </c>
      <c r="N340" t="s">
        <v>44</v>
      </c>
      <c r="O340" t="s">
        <v>44</v>
      </c>
      <c r="P340" t="s">
        <v>548</v>
      </c>
      <c r="Q340" t="s">
        <v>777</v>
      </c>
      <c r="R340" t="s">
        <v>598</v>
      </c>
      <c r="S340" t="s">
        <v>28</v>
      </c>
    </row>
    <row r="341" spans="1:19" x14ac:dyDescent="0.25">
      <c r="A341" t="s">
        <v>1287</v>
      </c>
      <c r="B341" t="s">
        <v>1287</v>
      </c>
      <c r="C341">
        <v>6.245600424</v>
      </c>
      <c r="D341" s="38">
        <v>45950</v>
      </c>
      <c r="E341" s="38">
        <v>45127</v>
      </c>
      <c r="F341">
        <v>11.470990322</v>
      </c>
      <c r="G341">
        <v>358.98270808699999</v>
      </c>
      <c r="H341">
        <v>100.1016</v>
      </c>
      <c r="I341" t="s">
        <v>153</v>
      </c>
      <c r="J341">
        <v>20210720</v>
      </c>
      <c r="K341" t="s">
        <v>44</v>
      </c>
      <c r="L341" t="s">
        <v>815</v>
      </c>
      <c r="M341" t="s">
        <v>44</v>
      </c>
      <c r="N341" t="s">
        <v>44</v>
      </c>
      <c r="O341" t="s">
        <v>44</v>
      </c>
      <c r="P341" t="s">
        <v>1546</v>
      </c>
      <c r="Q341" t="s">
        <v>815</v>
      </c>
      <c r="R341" t="s">
        <v>572</v>
      </c>
      <c r="S341" t="s">
        <v>28</v>
      </c>
    </row>
    <row r="342" spans="1:19" x14ac:dyDescent="0.25">
      <c r="A342" t="s">
        <v>1290</v>
      </c>
      <c r="B342" t="s">
        <v>1290</v>
      </c>
      <c r="C342">
        <v>6.2150524450000004</v>
      </c>
      <c r="D342" s="38">
        <v>45955</v>
      </c>
      <c r="E342" s="38">
        <v>45224</v>
      </c>
      <c r="F342">
        <v>10.844286336</v>
      </c>
      <c r="G342">
        <v>369.24269986000002</v>
      </c>
      <c r="H342">
        <v>99.069699999999997</v>
      </c>
      <c r="I342" t="s">
        <v>153</v>
      </c>
      <c r="J342">
        <v>20210916</v>
      </c>
      <c r="K342" t="s">
        <v>44</v>
      </c>
      <c r="L342" t="s">
        <v>815</v>
      </c>
      <c r="M342" t="s">
        <v>44</v>
      </c>
      <c r="N342" t="s">
        <v>44</v>
      </c>
      <c r="O342" t="s">
        <v>44</v>
      </c>
      <c r="P342" t="s">
        <v>1546</v>
      </c>
      <c r="Q342" t="s">
        <v>815</v>
      </c>
      <c r="R342" t="s">
        <v>572</v>
      </c>
      <c r="S342" t="s">
        <v>28</v>
      </c>
    </row>
    <row r="343" spans="1:19" x14ac:dyDescent="0.25">
      <c r="A343" t="s">
        <v>1292</v>
      </c>
      <c r="B343" t="s">
        <v>1292</v>
      </c>
      <c r="C343">
        <v>6.454160152</v>
      </c>
      <c r="D343" s="38">
        <v>45955</v>
      </c>
      <c r="E343" s="38">
        <v>45407</v>
      </c>
      <c r="F343">
        <v>10.570689227000001</v>
      </c>
      <c r="G343">
        <v>376.10275324399998</v>
      </c>
      <c r="H343">
        <v>97.598200000000006</v>
      </c>
      <c r="I343" t="s">
        <v>153</v>
      </c>
      <c r="J343">
        <v>20220303</v>
      </c>
      <c r="K343" t="s">
        <v>44</v>
      </c>
      <c r="L343" t="s">
        <v>815</v>
      </c>
      <c r="M343" t="s">
        <v>44</v>
      </c>
      <c r="N343" t="s">
        <v>44</v>
      </c>
      <c r="O343" t="s">
        <v>44</v>
      </c>
      <c r="P343" t="s">
        <v>1546</v>
      </c>
      <c r="Q343" t="s">
        <v>815</v>
      </c>
      <c r="R343" t="s">
        <v>572</v>
      </c>
      <c r="S343" t="s">
        <v>28</v>
      </c>
    </row>
    <row r="344" spans="1:19" x14ac:dyDescent="0.25">
      <c r="A344" t="s">
        <v>1295</v>
      </c>
      <c r="B344" t="s">
        <v>1295</v>
      </c>
      <c r="C344">
        <v>9.4540665209999997</v>
      </c>
      <c r="D344" s="38">
        <v>45945</v>
      </c>
      <c r="E344" s="38">
        <v>46507</v>
      </c>
      <c r="F344">
        <v>13.329762637</v>
      </c>
      <c r="G344">
        <v>417.24953291600002</v>
      </c>
      <c r="H344">
        <v>100.8276</v>
      </c>
      <c r="I344" t="s">
        <v>184</v>
      </c>
      <c r="J344">
        <v>20250430</v>
      </c>
      <c r="K344" t="s">
        <v>44</v>
      </c>
      <c r="L344" t="s">
        <v>44</v>
      </c>
      <c r="M344" t="s">
        <v>28</v>
      </c>
      <c r="N344" t="s">
        <v>44</v>
      </c>
      <c r="O344" t="s">
        <v>44</v>
      </c>
      <c r="P344" t="s">
        <v>1546</v>
      </c>
      <c r="Q344" t="s">
        <v>28</v>
      </c>
      <c r="R344" t="s">
        <v>590</v>
      </c>
      <c r="S344" t="s">
        <v>28</v>
      </c>
    </row>
    <row r="345" spans="1:19" x14ac:dyDescent="0.25">
      <c r="A345" t="s">
        <v>1300</v>
      </c>
      <c r="B345" t="s">
        <v>1300</v>
      </c>
      <c r="C345">
        <v>9.1235238509999999</v>
      </c>
      <c r="F345">
        <v>11.625815672</v>
      </c>
      <c r="G345">
        <v>304.53682101599998</v>
      </c>
      <c r="H345">
        <v>100.7123</v>
      </c>
      <c r="I345" t="s">
        <v>104</v>
      </c>
      <c r="J345">
        <v>20240923</v>
      </c>
      <c r="K345" t="s">
        <v>777</v>
      </c>
      <c r="L345" t="s">
        <v>44</v>
      </c>
      <c r="M345" t="s">
        <v>44</v>
      </c>
      <c r="N345" t="s">
        <v>44</v>
      </c>
      <c r="O345" t="s">
        <v>44</v>
      </c>
      <c r="P345" t="s">
        <v>1599</v>
      </c>
      <c r="Q345" t="s">
        <v>777</v>
      </c>
      <c r="R345" t="s">
        <v>598</v>
      </c>
      <c r="S345" t="s">
        <v>28</v>
      </c>
    </row>
    <row r="346" spans="1:19" x14ac:dyDescent="0.25">
      <c r="A346" t="s">
        <v>1303</v>
      </c>
      <c r="B346" t="s">
        <v>1303</v>
      </c>
      <c r="C346">
        <v>6.0821998519999996</v>
      </c>
      <c r="D346" s="38">
        <v>45949</v>
      </c>
      <c r="E346" s="38">
        <v>45031</v>
      </c>
      <c r="F346">
        <v>9.4179690479999998</v>
      </c>
      <c r="G346">
        <v>396.82827338800001</v>
      </c>
      <c r="H346">
        <v>99.468100000000007</v>
      </c>
      <c r="I346" t="s">
        <v>143</v>
      </c>
      <c r="J346">
        <v>20210415</v>
      </c>
      <c r="K346" t="s">
        <v>44</v>
      </c>
      <c r="L346" t="s">
        <v>815</v>
      </c>
      <c r="M346" t="s">
        <v>44</v>
      </c>
      <c r="N346" t="s">
        <v>44</v>
      </c>
      <c r="O346" t="s">
        <v>44</v>
      </c>
      <c r="P346" t="s">
        <v>391</v>
      </c>
      <c r="Q346" t="s">
        <v>815</v>
      </c>
      <c r="R346" t="s">
        <v>572</v>
      </c>
      <c r="S346" t="s">
        <v>28</v>
      </c>
    </row>
    <row r="347" spans="1:19" x14ac:dyDescent="0.25">
      <c r="A347" t="s">
        <v>1305</v>
      </c>
      <c r="B347" t="s">
        <v>1305</v>
      </c>
      <c r="C347">
        <v>6.5490167049999997</v>
      </c>
      <c r="D347" s="38">
        <v>45953</v>
      </c>
      <c r="E347" s="38">
        <v>45405</v>
      </c>
      <c r="F347">
        <v>11.299034317</v>
      </c>
      <c r="H347">
        <v>100.005</v>
      </c>
      <c r="I347" t="s">
        <v>143</v>
      </c>
      <c r="J347">
        <v>20220331</v>
      </c>
      <c r="K347" t="s">
        <v>44</v>
      </c>
      <c r="L347" t="s">
        <v>44</v>
      </c>
      <c r="M347" t="s">
        <v>28</v>
      </c>
      <c r="N347" t="s">
        <v>44</v>
      </c>
      <c r="O347" t="s">
        <v>44</v>
      </c>
      <c r="P347" t="s">
        <v>391</v>
      </c>
      <c r="Q347" t="s">
        <v>28</v>
      </c>
      <c r="R347" t="s">
        <v>590</v>
      </c>
      <c r="S347" t="s">
        <v>28</v>
      </c>
    </row>
    <row r="348" spans="1:19" x14ac:dyDescent="0.25">
      <c r="A348" t="s">
        <v>1307</v>
      </c>
      <c r="B348" t="s">
        <v>1307</v>
      </c>
      <c r="C348">
        <v>9.0163567839999992</v>
      </c>
      <c r="D348" s="38">
        <v>45954</v>
      </c>
      <c r="E348" s="38">
        <v>46292</v>
      </c>
      <c r="F348">
        <v>11.721122547</v>
      </c>
      <c r="G348">
        <v>323.45029781800002</v>
      </c>
      <c r="H348">
        <v>100.435</v>
      </c>
      <c r="I348" t="s">
        <v>143</v>
      </c>
      <c r="J348">
        <v>20240927</v>
      </c>
      <c r="K348" t="s">
        <v>777</v>
      </c>
      <c r="L348" t="s">
        <v>44</v>
      </c>
      <c r="M348" t="s">
        <v>44</v>
      </c>
      <c r="N348" t="s">
        <v>44</v>
      </c>
      <c r="O348" t="s">
        <v>44</v>
      </c>
      <c r="P348" t="s">
        <v>391</v>
      </c>
      <c r="Q348" t="s">
        <v>777</v>
      </c>
      <c r="R348" t="s">
        <v>598</v>
      </c>
      <c r="S348" t="s">
        <v>28</v>
      </c>
    </row>
    <row r="349" spans="1:19" x14ac:dyDescent="0.25">
      <c r="A349" t="s">
        <v>742</v>
      </c>
      <c r="B349" t="s">
        <v>742</v>
      </c>
      <c r="C349">
        <v>8.1104868200000002</v>
      </c>
      <c r="D349" s="38">
        <v>45950</v>
      </c>
      <c r="E349" s="38">
        <v>46156</v>
      </c>
      <c r="F349">
        <v>17.147367139</v>
      </c>
      <c r="G349">
        <v>239.83637902000001</v>
      </c>
      <c r="H349">
        <v>100.6499</v>
      </c>
      <c r="I349" t="s">
        <v>143</v>
      </c>
      <c r="J349">
        <v>20240514</v>
      </c>
      <c r="K349" t="s">
        <v>44</v>
      </c>
      <c r="L349" t="s">
        <v>44</v>
      </c>
      <c r="M349" t="s">
        <v>24</v>
      </c>
      <c r="N349" t="s">
        <v>44</v>
      </c>
      <c r="O349" t="s">
        <v>44</v>
      </c>
      <c r="P349" t="s">
        <v>391</v>
      </c>
      <c r="Q349" t="s">
        <v>24</v>
      </c>
      <c r="R349" t="s">
        <v>590</v>
      </c>
      <c r="S349" t="s">
        <v>24</v>
      </c>
    </row>
    <row r="350" spans="1:19" x14ac:dyDescent="0.25">
      <c r="A350" t="s">
        <v>1311</v>
      </c>
      <c r="B350" t="s">
        <v>1311</v>
      </c>
      <c r="C350">
        <v>8.8212232860000004</v>
      </c>
      <c r="D350" s="38">
        <v>45944</v>
      </c>
      <c r="E350" s="38">
        <v>46197</v>
      </c>
      <c r="F350">
        <v>11.539301105</v>
      </c>
      <c r="G350">
        <v>308.14038556000003</v>
      </c>
      <c r="H350">
        <v>100.78579999999999</v>
      </c>
      <c r="I350" t="s">
        <v>143</v>
      </c>
      <c r="J350">
        <v>20240624</v>
      </c>
      <c r="K350" t="s">
        <v>44</v>
      </c>
      <c r="L350" t="s">
        <v>44</v>
      </c>
      <c r="M350" t="s">
        <v>777</v>
      </c>
      <c r="N350" t="s">
        <v>44</v>
      </c>
      <c r="O350" t="s">
        <v>44</v>
      </c>
      <c r="P350" t="s">
        <v>391</v>
      </c>
      <c r="Q350" t="s">
        <v>777</v>
      </c>
      <c r="R350" t="s">
        <v>590</v>
      </c>
      <c r="S350" t="s">
        <v>28</v>
      </c>
    </row>
    <row r="351" spans="1:19" x14ac:dyDescent="0.25">
      <c r="A351" t="s">
        <v>744</v>
      </c>
      <c r="B351" t="s">
        <v>744</v>
      </c>
      <c r="C351">
        <v>8.0876730139999999</v>
      </c>
      <c r="D351" s="38">
        <v>45947</v>
      </c>
      <c r="E351" s="38">
        <v>46099</v>
      </c>
      <c r="F351">
        <v>17.441181476000001</v>
      </c>
      <c r="G351">
        <v>232.20705271099999</v>
      </c>
      <c r="H351">
        <v>100.4953</v>
      </c>
      <c r="I351" t="s">
        <v>143</v>
      </c>
      <c r="J351">
        <v>20240318</v>
      </c>
      <c r="K351" t="s">
        <v>44</v>
      </c>
      <c r="L351" t="s">
        <v>44</v>
      </c>
      <c r="M351" t="s">
        <v>24</v>
      </c>
      <c r="N351" t="s">
        <v>44</v>
      </c>
      <c r="O351" t="s">
        <v>44</v>
      </c>
      <c r="P351" t="s">
        <v>391</v>
      </c>
      <c r="Q351" t="s">
        <v>24</v>
      </c>
      <c r="R351" t="s">
        <v>590</v>
      </c>
      <c r="S351" t="s">
        <v>24</v>
      </c>
    </row>
    <row r="352" spans="1:19" x14ac:dyDescent="0.25">
      <c r="A352" t="s">
        <v>1309</v>
      </c>
      <c r="B352" t="s">
        <v>1309</v>
      </c>
      <c r="C352">
        <v>8.6752204509999995</v>
      </c>
      <c r="D352" s="38">
        <v>45947</v>
      </c>
      <c r="E352" s="38">
        <v>46099</v>
      </c>
      <c r="F352">
        <v>11.400292316</v>
      </c>
      <c r="G352">
        <v>344.44009039000002</v>
      </c>
      <c r="H352">
        <v>100.3528</v>
      </c>
      <c r="I352" t="s">
        <v>143</v>
      </c>
      <c r="J352">
        <v>20240318</v>
      </c>
      <c r="K352" t="s">
        <v>44</v>
      </c>
      <c r="L352" t="s">
        <v>44</v>
      </c>
      <c r="M352" t="s">
        <v>777</v>
      </c>
      <c r="N352" t="s">
        <v>44</v>
      </c>
      <c r="O352" t="s">
        <v>44</v>
      </c>
      <c r="P352" t="s">
        <v>391</v>
      </c>
      <c r="Q352" t="s">
        <v>777</v>
      </c>
      <c r="R352" t="s">
        <v>590</v>
      </c>
      <c r="S352" t="s">
        <v>28</v>
      </c>
    </row>
    <row r="353" spans="1:19" x14ac:dyDescent="0.25">
      <c r="A353" t="s">
        <v>1318</v>
      </c>
      <c r="B353" t="s">
        <v>1318</v>
      </c>
      <c r="C353">
        <v>4.5895595949999999</v>
      </c>
      <c r="D353" s="38">
        <v>45945</v>
      </c>
      <c r="E353" s="38">
        <v>45762</v>
      </c>
      <c r="F353">
        <v>9.6075469879999993</v>
      </c>
      <c r="G353">
        <v>338.18439328199997</v>
      </c>
      <c r="H353">
        <v>100.3002</v>
      </c>
      <c r="I353" t="s">
        <v>185</v>
      </c>
      <c r="J353">
        <v>20200303</v>
      </c>
      <c r="K353" t="s">
        <v>777</v>
      </c>
      <c r="L353" t="s">
        <v>44</v>
      </c>
      <c r="M353" t="s">
        <v>44</v>
      </c>
      <c r="N353" t="s">
        <v>44</v>
      </c>
      <c r="O353" t="s">
        <v>44</v>
      </c>
      <c r="P353" t="s">
        <v>1319</v>
      </c>
      <c r="Q353" t="s">
        <v>777</v>
      </c>
      <c r="R353" t="s">
        <v>598</v>
      </c>
      <c r="S353" t="s">
        <v>28</v>
      </c>
    </row>
    <row r="354" spans="1:19" x14ac:dyDescent="0.25">
      <c r="A354" t="s">
        <v>746</v>
      </c>
      <c r="B354" t="s">
        <v>746</v>
      </c>
      <c r="C354">
        <v>8.4284171350000001</v>
      </c>
      <c r="D354" s="38">
        <v>45951</v>
      </c>
      <c r="E354" s="38">
        <v>46292</v>
      </c>
      <c r="F354">
        <v>18.191883521000001</v>
      </c>
      <c r="G354">
        <v>188.20571069600001</v>
      </c>
      <c r="H354">
        <v>100.45489999999999</v>
      </c>
      <c r="I354" t="s">
        <v>159</v>
      </c>
      <c r="J354">
        <v>20240927</v>
      </c>
      <c r="K354" t="s">
        <v>44</v>
      </c>
      <c r="L354" t="s">
        <v>44</v>
      </c>
      <c r="M354" t="s">
        <v>24</v>
      </c>
      <c r="N354" t="s">
        <v>44</v>
      </c>
      <c r="O354" t="s">
        <v>44</v>
      </c>
      <c r="P354" t="s">
        <v>1600</v>
      </c>
      <c r="Q354" t="s">
        <v>24</v>
      </c>
      <c r="R354" t="s">
        <v>590</v>
      </c>
      <c r="S354" t="s">
        <v>24</v>
      </c>
    </row>
    <row r="355" spans="1:19" x14ac:dyDescent="0.25">
      <c r="A355" t="s">
        <v>1314</v>
      </c>
      <c r="B355" t="s">
        <v>1314</v>
      </c>
      <c r="C355">
        <v>8.9716997030000005</v>
      </c>
      <c r="D355" s="38">
        <v>45951</v>
      </c>
      <c r="E355" s="38">
        <v>46292</v>
      </c>
      <c r="F355">
        <v>12.205923778000001</v>
      </c>
      <c r="G355">
        <v>290.09456317899998</v>
      </c>
      <c r="H355">
        <v>100.32680000000001</v>
      </c>
      <c r="I355" t="s">
        <v>159</v>
      </c>
      <c r="J355">
        <v>20240927</v>
      </c>
      <c r="K355" t="s">
        <v>44</v>
      </c>
      <c r="L355" t="s">
        <v>44</v>
      </c>
      <c r="M355" t="s">
        <v>777</v>
      </c>
      <c r="N355" t="s">
        <v>44</v>
      </c>
      <c r="O355" t="s">
        <v>44</v>
      </c>
      <c r="P355" t="s">
        <v>1600</v>
      </c>
      <c r="Q355" t="s">
        <v>777</v>
      </c>
      <c r="R355" t="s">
        <v>590</v>
      </c>
      <c r="S355" t="s">
        <v>28</v>
      </c>
    </row>
    <row r="356" spans="1:19" x14ac:dyDescent="0.25">
      <c r="A356" t="s">
        <v>761</v>
      </c>
      <c r="B356" t="s">
        <v>761</v>
      </c>
      <c r="C356">
        <v>3.0372591280000001</v>
      </c>
      <c r="D356" s="38">
        <v>45950</v>
      </c>
      <c r="E356" s="38">
        <v>45575</v>
      </c>
      <c r="F356">
        <v>23.513109922000002</v>
      </c>
      <c r="G356">
        <v>334.86797752899997</v>
      </c>
      <c r="H356">
        <v>99.759600000000006</v>
      </c>
      <c r="I356" t="s">
        <v>154</v>
      </c>
      <c r="J356">
        <v>20181121</v>
      </c>
      <c r="K356" t="s">
        <v>44</v>
      </c>
      <c r="L356" t="s">
        <v>753</v>
      </c>
      <c r="M356" t="s">
        <v>44</v>
      </c>
      <c r="N356" t="s">
        <v>44</v>
      </c>
      <c r="O356" t="s">
        <v>44</v>
      </c>
      <c r="P356" t="s">
        <v>762</v>
      </c>
      <c r="Q356" t="s">
        <v>753</v>
      </c>
      <c r="R356" t="s">
        <v>572</v>
      </c>
      <c r="S356" t="s">
        <v>24</v>
      </c>
    </row>
    <row r="357" spans="1:19" x14ac:dyDescent="0.25">
      <c r="A357" t="s">
        <v>1332</v>
      </c>
      <c r="B357" t="s">
        <v>1332</v>
      </c>
      <c r="C357">
        <v>9.4915971619999997</v>
      </c>
      <c r="D357" s="38">
        <v>45955</v>
      </c>
      <c r="E357" s="38">
        <v>46446</v>
      </c>
      <c r="F357">
        <v>12.000000002</v>
      </c>
      <c r="G357">
        <v>259.71022649899999</v>
      </c>
      <c r="H357">
        <v>100.3745</v>
      </c>
      <c r="I357" t="s">
        <v>145</v>
      </c>
      <c r="J357">
        <v>20250228</v>
      </c>
      <c r="K357" t="s">
        <v>44</v>
      </c>
      <c r="L357" t="s">
        <v>44</v>
      </c>
      <c r="M357" t="s">
        <v>777</v>
      </c>
      <c r="N357" t="s">
        <v>44</v>
      </c>
      <c r="O357" t="s">
        <v>44</v>
      </c>
      <c r="P357" t="s">
        <v>560</v>
      </c>
      <c r="Q357" t="s">
        <v>777</v>
      </c>
      <c r="R357" t="s">
        <v>590</v>
      </c>
      <c r="S357" t="s">
        <v>28</v>
      </c>
    </row>
    <row r="358" spans="1:19" x14ac:dyDescent="0.25">
      <c r="A358" t="s">
        <v>1322</v>
      </c>
      <c r="B358" t="s">
        <v>1322</v>
      </c>
      <c r="C358">
        <v>8.8980780819999996</v>
      </c>
      <c r="D358" s="38">
        <v>45955</v>
      </c>
      <c r="E358" s="38">
        <v>46221</v>
      </c>
      <c r="F358">
        <v>11.710919390999999</v>
      </c>
      <c r="G358">
        <v>305.97899989000001</v>
      </c>
      <c r="H358">
        <v>100.6</v>
      </c>
      <c r="I358" t="s">
        <v>186</v>
      </c>
      <c r="J358">
        <v>20240718</v>
      </c>
      <c r="K358" t="s">
        <v>44</v>
      </c>
      <c r="L358" t="s">
        <v>44</v>
      </c>
      <c r="M358" t="s">
        <v>777</v>
      </c>
      <c r="N358" t="s">
        <v>44</v>
      </c>
      <c r="O358" t="s">
        <v>44</v>
      </c>
      <c r="P358" t="s">
        <v>560</v>
      </c>
      <c r="Q358" t="s">
        <v>777</v>
      </c>
      <c r="R358" t="s">
        <v>590</v>
      </c>
      <c r="S358" t="s">
        <v>28</v>
      </c>
    </row>
    <row r="359" spans="1:19" x14ac:dyDescent="0.25">
      <c r="A359" t="s">
        <v>1324</v>
      </c>
      <c r="B359" t="s">
        <v>1324</v>
      </c>
      <c r="C359">
        <v>8.1162619249999999</v>
      </c>
      <c r="D359" s="38">
        <v>45955</v>
      </c>
      <c r="E359" s="38">
        <v>46162</v>
      </c>
      <c r="F359">
        <v>11.487736732</v>
      </c>
      <c r="G359">
        <v>343.86358799800001</v>
      </c>
      <c r="H359">
        <v>100.3717</v>
      </c>
      <c r="I359" t="s">
        <v>186</v>
      </c>
      <c r="J359">
        <v>20240520</v>
      </c>
      <c r="K359" t="s">
        <v>44</v>
      </c>
      <c r="L359" t="s">
        <v>44</v>
      </c>
      <c r="M359" t="s">
        <v>28</v>
      </c>
      <c r="N359" t="s">
        <v>44</v>
      </c>
      <c r="O359" t="s">
        <v>44</v>
      </c>
      <c r="P359" t="s">
        <v>560</v>
      </c>
      <c r="Q359" t="s">
        <v>28</v>
      </c>
      <c r="R359" t="s">
        <v>590</v>
      </c>
      <c r="S359" t="s">
        <v>28</v>
      </c>
    </row>
    <row r="360" spans="1:19" x14ac:dyDescent="0.25">
      <c r="A360" t="s">
        <v>754</v>
      </c>
      <c r="B360" t="s">
        <v>754</v>
      </c>
      <c r="C360">
        <v>8.5544359290000003</v>
      </c>
      <c r="D360" s="38">
        <v>45950</v>
      </c>
      <c r="E360" s="38">
        <v>46316</v>
      </c>
      <c r="F360">
        <v>17.706686855000001</v>
      </c>
      <c r="G360">
        <v>191.980853849</v>
      </c>
      <c r="H360">
        <v>100.5433</v>
      </c>
      <c r="I360" t="s">
        <v>187</v>
      </c>
      <c r="J360">
        <v>20241021</v>
      </c>
      <c r="K360" t="s">
        <v>44</v>
      </c>
      <c r="L360" t="s">
        <v>44</v>
      </c>
      <c r="M360" t="s">
        <v>24</v>
      </c>
      <c r="N360" t="s">
        <v>44</v>
      </c>
      <c r="O360" t="s">
        <v>44</v>
      </c>
      <c r="P360" t="s">
        <v>560</v>
      </c>
      <c r="Q360" t="s">
        <v>24</v>
      </c>
      <c r="R360" t="s">
        <v>590</v>
      </c>
      <c r="S360" t="s">
        <v>24</v>
      </c>
    </row>
    <row r="361" spans="1:19" x14ac:dyDescent="0.25">
      <c r="A361" t="s">
        <v>1326</v>
      </c>
      <c r="B361" t="s">
        <v>1326</v>
      </c>
      <c r="C361">
        <v>9.1002632279999993</v>
      </c>
      <c r="D361" s="38">
        <v>45950</v>
      </c>
      <c r="E361" s="38">
        <v>46316</v>
      </c>
      <c r="F361">
        <v>11.685224917999999</v>
      </c>
      <c r="G361">
        <v>311.192783271</v>
      </c>
      <c r="H361">
        <v>100.2517</v>
      </c>
      <c r="I361" t="s">
        <v>187</v>
      </c>
      <c r="J361">
        <v>20241021</v>
      </c>
      <c r="K361" t="s">
        <v>44</v>
      </c>
      <c r="L361" t="s">
        <v>44</v>
      </c>
      <c r="M361" t="s">
        <v>777</v>
      </c>
      <c r="N361" t="s">
        <v>44</v>
      </c>
      <c r="O361" t="s">
        <v>44</v>
      </c>
      <c r="P361" t="s">
        <v>560</v>
      </c>
      <c r="Q361" t="s">
        <v>777</v>
      </c>
      <c r="R361" t="s">
        <v>590</v>
      </c>
      <c r="S361" t="s">
        <v>28</v>
      </c>
    </row>
    <row r="362" spans="1:19" x14ac:dyDescent="0.25">
      <c r="A362" t="s">
        <v>1330</v>
      </c>
      <c r="B362" t="s">
        <v>1330</v>
      </c>
      <c r="C362">
        <v>6.3238329870000003</v>
      </c>
      <c r="D362" s="38">
        <v>45950</v>
      </c>
      <c r="E362" s="38">
        <v>46132</v>
      </c>
      <c r="F362">
        <v>9.6481732939999993</v>
      </c>
      <c r="G362">
        <v>332.25653014900001</v>
      </c>
      <c r="H362">
        <v>100.19199999999999</v>
      </c>
      <c r="I362" t="s">
        <v>186</v>
      </c>
      <c r="J362">
        <v>20211118</v>
      </c>
      <c r="K362" t="s">
        <v>777</v>
      </c>
      <c r="L362" t="s">
        <v>44</v>
      </c>
      <c r="M362" t="s">
        <v>44</v>
      </c>
      <c r="N362" t="s">
        <v>44</v>
      </c>
      <c r="O362" t="s">
        <v>44</v>
      </c>
      <c r="P362" t="s">
        <v>560</v>
      </c>
      <c r="Q362" t="s">
        <v>777</v>
      </c>
      <c r="R362" t="s">
        <v>598</v>
      </c>
      <c r="S362" t="s">
        <v>28</v>
      </c>
    </row>
    <row r="363" spans="1:19" x14ac:dyDescent="0.25">
      <c r="A363" t="s">
        <v>1328</v>
      </c>
      <c r="B363" t="s">
        <v>1328</v>
      </c>
      <c r="C363">
        <v>6.1146404959999998</v>
      </c>
      <c r="D363" s="38">
        <v>45951</v>
      </c>
      <c r="E363" s="38">
        <v>45128</v>
      </c>
      <c r="F363">
        <v>10.361933648000001</v>
      </c>
      <c r="G363">
        <v>339.89787684999999</v>
      </c>
      <c r="H363">
        <v>100.3044</v>
      </c>
      <c r="I363" t="s">
        <v>187</v>
      </c>
      <c r="J363">
        <v>20210813</v>
      </c>
      <c r="K363" t="s">
        <v>777</v>
      </c>
      <c r="L363" t="s">
        <v>44</v>
      </c>
      <c r="M363" t="s">
        <v>44</v>
      </c>
      <c r="N363" t="s">
        <v>44</v>
      </c>
      <c r="O363" t="s">
        <v>44</v>
      </c>
      <c r="P363" t="s">
        <v>560</v>
      </c>
      <c r="Q363" t="s">
        <v>777</v>
      </c>
      <c r="R363" t="s">
        <v>598</v>
      </c>
      <c r="S363" t="s">
        <v>28</v>
      </c>
    </row>
    <row r="364" spans="1:19" x14ac:dyDescent="0.25">
      <c r="A364" t="s">
        <v>1334</v>
      </c>
      <c r="B364" t="s">
        <v>1334</v>
      </c>
      <c r="C364">
        <v>9.0454779930000004</v>
      </c>
      <c r="D364" s="38">
        <v>45955</v>
      </c>
      <c r="E364" s="38">
        <v>46271</v>
      </c>
      <c r="F364">
        <v>12</v>
      </c>
      <c r="G364">
        <v>305.03926431500003</v>
      </c>
      <c r="H364">
        <v>100.33069999999999</v>
      </c>
      <c r="I364" t="s">
        <v>145</v>
      </c>
      <c r="J364">
        <v>20240906</v>
      </c>
      <c r="K364" t="s">
        <v>44</v>
      </c>
      <c r="L364" t="s">
        <v>44</v>
      </c>
      <c r="M364" t="s">
        <v>777</v>
      </c>
      <c r="N364" t="s">
        <v>44</v>
      </c>
      <c r="O364" t="s">
        <v>44</v>
      </c>
      <c r="P364" t="s">
        <v>560</v>
      </c>
      <c r="Q364" t="s">
        <v>777</v>
      </c>
      <c r="R364" t="s">
        <v>590</v>
      </c>
      <c r="S364" t="s">
        <v>28</v>
      </c>
    </row>
    <row r="365" spans="1:19" x14ac:dyDescent="0.25">
      <c r="A365" t="s">
        <v>1336</v>
      </c>
      <c r="B365" t="s">
        <v>1336</v>
      </c>
      <c r="C365">
        <v>6.5441890799999998</v>
      </c>
      <c r="D365" s="38">
        <v>45950</v>
      </c>
      <c r="E365" s="38">
        <v>45402</v>
      </c>
      <c r="F365">
        <v>11.26647734</v>
      </c>
      <c r="G365">
        <v>342.744178879</v>
      </c>
      <c r="H365">
        <v>100.37479999999999</v>
      </c>
      <c r="I365" t="s">
        <v>122</v>
      </c>
      <c r="J365">
        <v>20220524</v>
      </c>
      <c r="K365" t="s">
        <v>44</v>
      </c>
      <c r="L365" t="s">
        <v>44</v>
      </c>
      <c r="M365" t="s">
        <v>777</v>
      </c>
      <c r="N365" t="s">
        <v>44</v>
      </c>
      <c r="O365" t="s">
        <v>44</v>
      </c>
      <c r="P365" t="s">
        <v>1601</v>
      </c>
      <c r="Q365" t="s">
        <v>777</v>
      </c>
      <c r="R365" t="s">
        <v>590</v>
      </c>
      <c r="S365" t="s">
        <v>28</v>
      </c>
    </row>
    <row r="366" spans="1:19" x14ac:dyDescent="0.25">
      <c r="A366" t="s">
        <v>1344</v>
      </c>
      <c r="B366" t="s">
        <v>1344</v>
      </c>
      <c r="C366">
        <v>6.143793413</v>
      </c>
      <c r="D366" s="38">
        <v>45946</v>
      </c>
      <c r="E366" s="38">
        <v>45123</v>
      </c>
      <c r="F366">
        <v>10.575025995000001</v>
      </c>
      <c r="G366">
        <v>332.422419483</v>
      </c>
      <c r="H366">
        <v>100.178</v>
      </c>
      <c r="I366" t="s">
        <v>188</v>
      </c>
      <c r="J366">
        <v>20210727</v>
      </c>
      <c r="K366" t="s">
        <v>777</v>
      </c>
      <c r="L366" t="s">
        <v>44</v>
      </c>
      <c r="M366" t="s">
        <v>44</v>
      </c>
      <c r="N366" t="s">
        <v>44</v>
      </c>
      <c r="O366" t="s">
        <v>44</v>
      </c>
      <c r="P366" t="s">
        <v>1345</v>
      </c>
      <c r="Q366" t="s">
        <v>777</v>
      </c>
      <c r="R366" t="s">
        <v>598</v>
      </c>
      <c r="S366" t="s">
        <v>28</v>
      </c>
    </row>
    <row r="367" spans="1:19" x14ac:dyDescent="0.25">
      <c r="A367" t="s">
        <v>1347</v>
      </c>
      <c r="B367" t="s">
        <v>1347</v>
      </c>
      <c r="C367">
        <v>4.7464309619999998</v>
      </c>
      <c r="D367" s="38">
        <v>45945</v>
      </c>
      <c r="E367" s="38">
        <v>45762</v>
      </c>
      <c r="F367">
        <v>10.539914842</v>
      </c>
      <c r="G367">
        <v>392.895899364</v>
      </c>
      <c r="H367">
        <v>100.11879999999999</v>
      </c>
      <c r="I367" t="s">
        <v>148</v>
      </c>
      <c r="J367">
        <v>20200326</v>
      </c>
      <c r="K367" t="s">
        <v>44</v>
      </c>
      <c r="L367" t="s">
        <v>815</v>
      </c>
      <c r="M367" t="s">
        <v>44</v>
      </c>
      <c r="N367" t="s">
        <v>44</v>
      </c>
      <c r="O367" t="s">
        <v>44</v>
      </c>
      <c r="P367" t="s">
        <v>373</v>
      </c>
      <c r="Q367" t="s">
        <v>815</v>
      </c>
      <c r="R367" t="s">
        <v>572</v>
      </c>
      <c r="S367" t="s">
        <v>28</v>
      </c>
    </row>
    <row r="368" spans="1:19" x14ac:dyDescent="0.25">
      <c r="A368" t="s">
        <v>1349</v>
      </c>
      <c r="B368" t="s">
        <v>1349</v>
      </c>
      <c r="C368">
        <v>6.0135903199999996</v>
      </c>
      <c r="D368" s="38">
        <v>45950</v>
      </c>
      <c r="E368" s="38">
        <v>46132</v>
      </c>
      <c r="F368">
        <v>9.9593110780000007</v>
      </c>
      <c r="G368">
        <v>388.74652513699999</v>
      </c>
      <c r="H368">
        <v>99.380399999999995</v>
      </c>
      <c r="I368" t="s">
        <v>148</v>
      </c>
      <c r="J368">
        <v>20210326</v>
      </c>
      <c r="K368" t="s">
        <v>777</v>
      </c>
      <c r="L368" t="s">
        <v>44</v>
      </c>
      <c r="M368" t="s">
        <v>44</v>
      </c>
      <c r="N368" t="s">
        <v>44</v>
      </c>
      <c r="O368" t="s">
        <v>44</v>
      </c>
      <c r="P368" t="s">
        <v>373</v>
      </c>
      <c r="Q368" t="s">
        <v>777</v>
      </c>
      <c r="R368" t="s">
        <v>598</v>
      </c>
      <c r="S368" t="s">
        <v>28</v>
      </c>
    </row>
    <row r="369" spans="1:19" x14ac:dyDescent="0.25">
      <c r="A369" t="s">
        <v>1351</v>
      </c>
      <c r="B369" t="s">
        <v>1351</v>
      </c>
      <c r="C369">
        <v>6.551719952</v>
      </c>
      <c r="D369" s="38">
        <v>45945</v>
      </c>
      <c r="E369" s="38">
        <v>45306</v>
      </c>
      <c r="F369">
        <v>9.466967747</v>
      </c>
      <c r="G369">
        <v>341.06893251600002</v>
      </c>
      <c r="H369">
        <v>99.403700000000001</v>
      </c>
      <c r="I369" t="s">
        <v>154</v>
      </c>
      <c r="J369">
        <v>20220218</v>
      </c>
      <c r="K369" t="s">
        <v>777</v>
      </c>
      <c r="L369" t="s">
        <v>44</v>
      </c>
      <c r="M369" t="s">
        <v>44</v>
      </c>
      <c r="N369" t="s">
        <v>44</v>
      </c>
      <c r="O369" t="s">
        <v>44</v>
      </c>
      <c r="P369" t="s">
        <v>762</v>
      </c>
      <c r="Q369" t="s">
        <v>777</v>
      </c>
      <c r="R369" t="s">
        <v>598</v>
      </c>
      <c r="S369" t="s">
        <v>28</v>
      </c>
    </row>
    <row r="370" spans="1:19" x14ac:dyDescent="0.25">
      <c r="A370" t="s">
        <v>1354</v>
      </c>
      <c r="B370" t="s">
        <v>1354</v>
      </c>
      <c r="C370">
        <v>6.2655049209999998</v>
      </c>
      <c r="D370" s="38">
        <v>45950</v>
      </c>
      <c r="E370" s="38">
        <v>45092</v>
      </c>
      <c r="F370">
        <v>9.7260228699999995</v>
      </c>
      <c r="G370">
        <v>348.92805204899997</v>
      </c>
      <c r="H370">
        <v>99.595699999999994</v>
      </c>
      <c r="I370" t="s">
        <v>154</v>
      </c>
      <c r="J370">
        <v>20210615</v>
      </c>
      <c r="K370" t="s">
        <v>777</v>
      </c>
      <c r="L370" t="s">
        <v>44</v>
      </c>
      <c r="M370" t="s">
        <v>44</v>
      </c>
      <c r="N370" t="s">
        <v>44</v>
      </c>
      <c r="O370" t="s">
        <v>44</v>
      </c>
      <c r="P370" t="s">
        <v>762</v>
      </c>
      <c r="Q370" t="s">
        <v>777</v>
      </c>
      <c r="R370" t="s">
        <v>598</v>
      </c>
      <c r="S370" t="s">
        <v>28</v>
      </c>
    </row>
    <row r="371" spans="1:19" x14ac:dyDescent="0.25">
      <c r="A371" t="s">
        <v>1356</v>
      </c>
      <c r="B371" t="s">
        <v>1356</v>
      </c>
      <c r="C371">
        <v>6.4940700710000003</v>
      </c>
      <c r="D371" s="38">
        <v>45950</v>
      </c>
      <c r="E371" s="38">
        <v>46121</v>
      </c>
      <c r="F371">
        <v>9.2271408029999993</v>
      </c>
      <c r="G371">
        <v>389.28633417499998</v>
      </c>
      <c r="H371">
        <v>97.75</v>
      </c>
      <c r="I371" t="s">
        <v>154</v>
      </c>
      <c r="J371">
        <v>20211217</v>
      </c>
      <c r="K371" t="s">
        <v>44</v>
      </c>
      <c r="L371" t="s">
        <v>815</v>
      </c>
      <c r="M371" t="s">
        <v>44</v>
      </c>
      <c r="N371" t="s">
        <v>44</v>
      </c>
      <c r="O371" t="s">
        <v>44</v>
      </c>
      <c r="P371" t="s">
        <v>762</v>
      </c>
      <c r="Q371" t="s">
        <v>815</v>
      </c>
      <c r="R371" t="s">
        <v>572</v>
      </c>
      <c r="S371" t="s">
        <v>28</v>
      </c>
    </row>
    <row r="372" spans="1:19" x14ac:dyDescent="0.25">
      <c r="A372" t="s">
        <v>775</v>
      </c>
      <c r="B372" t="s">
        <v>775</v>
      </c>
      <c r="C372">
        <v>7.8538810520000002</v>
      </c>
      <c r="D372" s="38">
        <v>45945</v>
      </c>
      <c r="E372" s="38">
        <v>46218</v>
      </c>
      <c r="F372">
        <v>20.030662057000001</v>
      </c>
      <c r="G372">
        <v>214.90150435199999</v>
      </c>
      <c r="H372">
        <v>100.31740000000001</v>
      </c>
      <c r="I372" t="s">
        <v>189</v>
      </c>
      <c r="J372">
        <v>20240711</v>
      </c>
      <c r="K372" t="s">
        <v>24</v>
      </c>
      <c r="L372" t="s">
        <v>44</v>
      </c>
      <c r="M372" t="s">
        <v>44</v>
      </c>
      <c r="N372" t="s">
        <v>44</v>
      </c>
      <c r="O372" t="s">
        <v>44</v>
      </c>
      <c r="P372" t="s">
        <v>1602</v>
      </c>
      <c r="Q372" t="s">
        <v>24</v>
      </c>
      <c r="R372" t="s">
        <v>598</v>
      </c>
      <c r="S372" t="s">
        <v>24</v>
      </c>
    </row>
    <row r="373" spans="1:19" x14ac:dyDescent="0.25">
      <c r="A373" t="s">
        <v>770</v>
      </c>
      <c r="B373" t="s">
        <v>770</v>
      </c>
      <c r="C373">
        <v>6.8904637400000004</v>
      </c>
      <c r="D373" s="38">
        <v>45950</v>
      </c>
      <c r="E373" s="38">
        <v>45921</v>
      </c>
      <c r="F373">
        <v>19.956677190000001</v>
      </c>
      <c r="G373">
        <v>365.26668205200002</v>
      </c>
      <c r="H373">
        <v>100.5213</v>
      </c>
      <c r="I373" t="s">
        <v>190</v>
      </c>
      <c r="J373">
        <v>20230921</v>
      </c>
      <c r="K373" t="s">
        <v>24</v>
      </c>
      <c r="L373" t="s">
        <v>44</v>
      </c>
      <c r="M373" t="s">
        <v>44</v>
      </c>
      <c r="N373" t="s">
        <v>44</v>
      </c>
      <c r="O373" t="s">
        <v>44</v>
      </c>
      <c r="P373" t="s">
        <v>1603</v>
      </c>
      <c r="Q373" t="s">
        <v>24</v>
      </c>
      <c r="R373" t="s">
        <v>598</v>
      </c>
      <c r="S373" t="s">
        <v>24</v>
      </c>
    </row>
    <row r="374" spans="1:19" x14ac:dyDescent="0.25">
      <c r="A374" t="s">
        <v>773</v>
      </c>
      <c r="B374" t="s">
        <v>773</v>
      </c>
      <c r="C374">
        <v>7.7469823199999999</v>
      </c>
      <c r="D374" s="38">
        <v>45945</v>
      </c>
      <c r="E374" s="38">
        <v>46088</v>
      </c>
      <c r="F374">
        <v>20.031651535999998</v>
      </c>
      <c r="G374">
        <v>269.62096193600001</v>
      </c>
      <c r="H374">
        <v>100.63209999999999</v>
      </c>
      <c r="I374" t="s">
        <v>190</v>
      </c>
      <c r="J374">
        <v>20240307</v>
      </c>
      <c r="K374" t="s">
        <v>24</v>
      </c>
      <c r="L374" t="s">
        <v>44</v>
      </c>
      <c r="M374" t="s">
        <v>44</v>
      </c>
      <c r="N374" t="s">
        <v>44</v>
      </c>
      <c r="O374" t="s">
        <v>44</v>
      </c>
      <c r="P374" t="s">
        <v>1603</v>
      </c>
      <c r="Q374" t="s">
        <v>24</v>
      </c>
      <c r="R374" t="s">
        <v>598</v>
      </c>
      <c r="S374" t="s">
        <v>24</v>
      </c>
    </row>
    <row r="375" spans="1:19" x14ac:dyDescent="0.25">
      <c r="A375" t="s">
        <v>1341</v>
      </c>
      <c r="B375" t="s">
        <v>1341</v>
      </c>
      <c r="C375">
        <v>4.8663184429999999</v>
      </c>
      <c r="D375" s="38">
        <v>45950</v>
      </c>
      <c r="E375" s="38">
        <v>44946</v>
      </c>
      <c r="F375">
        <v>12.751405024</v>
      </c>
      <c r="G375">
        <v>242.691331676</v>
      </c>
      <c r="H375">
        <v>98.382599999999996</v>
      </c>
      <c r="I375" t="s">
        <v>79</v>
      </c>
      <c r="J375">
        <v>20210720</v>
      </c>
      <c r="K375" t="s">
        <v>44</v>
      </c>
      <c r="L375" t="s">
        <v>44</v>
      </c>
      <c r="M375" t="s">
        <v>795</v>
      </c>
      <c r="N375" t="s">
        <v>44</v>
      </c>
      <c r="O375" t="s">
        <v>44</v>
      </c>
      <c r="P375" t="s">
        <v>79</v>
      </c>
      <c r="Q375" t="s">
        <v>795</v>
      </c>
      <c r="R375" t="s">
        <v>590</v>
      </c>
      <c r="S375" t="s">
        <v>28</v>
      </c>
    </row>
    <row r="376" spans="1:19" x14ac:dyDescent="0.25">
      <c r="A376" t="s">
        <v>1159</v>
      </c>
      <c r="B376" t="s">
        <v>1159</v>
      </c>
      <c r="C376">
        <v>5.2211805839999998</v>
      </c>
      <c r="D376" s="38">
        <v>45945</v>
      </c>
      <c r="E376" s="38">
        <v>44941</v>
      </c>
      <c r="F376">
        <v>12.647325029999999</v>
      </c>
      <c r="G376">
        <v>247.64692732899999</v>
      </c>
      <c r="H376">
        <v>98.114800000000002</v>
      </c>
      <c r="I376" t="s">
        <v>191</v>
      </c>
      <c r="J376">
        <v>20210715</v>
      </c>
      <c r="K376" t="s">
        <v>44</v>
      </c>
      <c r="L376" t="s">
        <v>44</v>
      </c>
      <c r="M376" t="s">
        <v>795</v>
      </c>
      <c r="N376" t="s">
        <v>44</v>
      </c>
      <c r="O376" t="s">
        <v>44</v>
      </c>
      <c r="P376" t="s">
        <v>191</v>
      </c>
      <c r="Q376" t="s">
        <v>795</v>
      </c>
      <c r="R376" t="s">
        <v>590</v>
      </c>
      <c r="S376" t="s">
        <v>28</v>
      </c>
    </row>
    <row r="377" spans="1:19" x14ac:dyDescent="0.25">
      <c r="A377" t="s">
        <v>885</v>
      </c>
      <c r="B377" t="s">
        <v>885</v>
      </c>
      <c r="C377">
        <v>8.1084960370000001</v>
      </c>
      <c r="D377" s="38">
        <v>45950</v>
      </c>
      <c r="E377" s="38">
        <v>46497</v>
      </c>
      <c r="F377">
        <v>16.616900955999999</v>
      </c>
      <c r="G377">
        <v>438.48849799700002</v>
      </c>
      <c r="H377">
        <v>101.875</v>
      </c>
      <c r="I377" t="s">
        <v>146</v>
      </c>
      <c r="J377">
        <v>20250421</v>
      </c>
      <c r="K377" t="s">
        <v>777</v>
      </c>
      <c r="L377" t="s">
        <v>44</v>
      </c>
      <c r="M377" t="s">
        <v>44</v>
      </c>
      <c r="N377" t="s">
        <v>44</v>
      </c>
      <c r="O377" t="s">
        <v>44</v>
      </c>
      <c r="P377" t="s">
        <v>86</v>
      </c>
      <c r="Q377" t="s">
        <v>777</v>
      </c>
      <c r="R377" t="s">
        <v>598</v>
      </c>
      <c r="S377" t="s">
        <v>28</v>
      </c>
    </row>
    <row r="378" spans="1:19" x14ac:dyDescent="0.25">
      <c r="A378" t="s">
        <v>1377</v>
      </c>
      <c r="B378" t="s">
        <v>1377</v>
      </c>
      <c r="C378">
        <v>8.6892004969999999</v>
      </c>
      <c r="D378" s="38">
        <v>45950</v>
      </c>
      <c r="E378" s="38">
        <v>46497</v>
      </c>
      <c r="F378">
        <v>10.515698586999999</v>
      </c>
      <c r="G378">
        <v>841.55098666499998</v>
      </c>
      <c r="H378">
        <v>99.081800000000001</v>
      </c>
      <c r="I378" t="s">
        <v>146</v>
      </c>
      <c r="J378">
        <v>20250421</v>
      </c>
      <c r="K378" t="s">
        <v>1363</v>
      </c>
      <c r="L378" t="s">
        <v>44</v>
      </c>
      <c r="M378" t="s">
        <v>44</v>
      </c>
      <c r="N378" t="s">
        <v>44</v>
      </c>
      <c r="O378" t="s">
        <v>44</v>
      </c>
      <c r="P378" t="s">
        <v>86</v>
      </c>
      <c r="Q378" t="s">
        <v>1363</v>
      </c>
      <c r="R378" t="s">
        <v>598</v>
      </c>
      <c r="S378" t="s">
        <v>32</v>
      </c>
    </row>
    <row r="379" spans="1:19" x14ac:dyDescent="0.25">
      <c r="A379" t="s">
        <v>1430</v>
      </c>
      <c r="B379" t="s">
        <v>1430</v>
      </c>
      <c r="C379">
        <v>1.623314245</v>
      </c>
      <c r="D379" s="38">
        <v>45945</v>
      </c>
      <c r="E379" s="38">
        <v>44576</v>
      </c>
      <c r="F379">
        <v>26.072296024</v>
      </c>
      <c r="G379">
        <v>837.452161133</v>
      </c>
      <c r="H379">
        <v>95.236800000000002</v>
      </c>
      <c r="I379" t="s">
        <v>126</v>
      </c>
      <c r="J379">
        <v>20201208</v>
      </c>
      <c r="K379" t="s">
        <v>44</v>
      </c>
      <c r="L379" t="s">
        <v>44</v>
      </c>
      <c r="M379" t="s">
        <v>44</v>
      </c>
      <c r="N379" t="s">
        <v>32</v>
      </c>
      <c r="O379" t="s">
        <v>44</v>
      </c>
      <c r="P379" t="s">
        <v>321</v>
      </c>
      <c r="Q379" t="s">
        <v>32</v>
      </c>
      <c r="R379" t="s">
        <v>656</v>
      </c>
      <c r="S379" t="s">
        <v>32</v>
      </c>
    </row>
    <row r="380" spans="1:19" x14ac:dyDescent="0.25">
      <c r="A380" t="s">
        <v>1434</v>
      </c>
      <c r="B380" t="s">
        <v>1434</v>
      </c>
      <c r="C380">
        <v>1.248734096</v>
      </c>
      <c r="D380" s="38">
        <v>45945</v>
      </c>
      <c r="E380" s="38">
        <v>45122</v>
      </c>
      <c r="F380">
        <v>15.266060328</v>
      </c>
      <c r="G380">
        <v>776.41223325399994</v>
      </c>
      <c r="H380">
        <v>96.969499999999996</v>
      </c>
      <c r="I380" t="s">
        <v>127</v>
      </c>
      <c r="J380">
        <v>20210623</v>
      </c>
      <c r="K380" t="s">
        <v>44</v>
      </c>
      <c r="L380" t="s">
        <v>44</v>
      </c>
      <c r="M380" t="s">
        <v>44</v>
      </c>
      <c r="N380" t="s">
        <v>1363</v>
      </c>
      <c r="O380" t="s">
        <v>44</v>
      </c>
      <c r="P380" t="s">
        <v>321</v>
      </c>
      <c r="Q380" t="s">
        <v>1363</v>
      </c>
      <c r="R380" t="s">
        <v>656</v>
      </c>
      <c r="S380" t="s">
        <v>32</v>
      </c>
    </row>
    <row r="381" spans="1:19" x14ac:dyDescent="0.25">
      <c r="A381" t="s">
        <v>1432</v>
      </c>
      <c r="B381" t="s">
        <v>1432</v>
      </c>
      <c r="C381">
        <v>1.0687953699999999</v>
      </c>
      <c r="D381" s="38">
        <v>45945</v>
      </c>
      <c r="E381" s="38">
        <v>45031</v>
      </c>
      <c r="F381">
        <v>16.091490920999998</v>
      </c>
      <c r="G381">
        <v>742.22961858999997</v>
      </c>
      <c r="H381">
        <v>97.627399999999994</v>
      </c>
      <c r="I381" t="s">
        <v>126</v>
      </c>
      <c r="J381">
        <v>20210519</v>
      </c>
      <c r="K381" t="s">
        <v>44</v>
      </c>
      <c r="L381" t="s">
        <v>44</v>
      </c>
      <c r="M381" t="s">
        <v>44</v>
      </c>
      <c r="N381" t="s">
        <v>1363</v>
      </c>
      <c r="O381" t="s">
        <v>44</v>
      </c>
      <c r="P381" t="s">
        <v>321</v>
      </c>
      <c r="Q381" t="s">
        <v>1363</v>
      </c>
      <c r="R381" t="s">
        <v>656</v>
      </c>
      <c r="S381" t="s">
        <v>32</v>
      </c>
    </row>
    <row r="382" spans="1:19" x14ac:dyDescent="0.25">
      <c r="A382" t="s">
        <v>1379</v>
      </c>
      <c r="B382" t="s">
        <v>1379</v>
      </c>
      <c r="C382">
        <v>3.5174538740000001</v>
      </c>
      <c r="D382" s="38">
        <v>45945</v>
      </c>
      <c r="E382" s="38">
        <v>45306</v>
      </c>
      <c r="F382">
        <v>11.792795058999999</v>
      </c>
      <c r="G382">
        <v>601.80479621100005</v>
      </c>
      <c r="H382">
        <v>93.24</v>
      </c>
      <c r="I382" t="s">
        <v>146</v>
      </c>
      <c r="J382">
        <v>20211222</v>
      </c>
      <c r="K382" t="s">
        <v>1372</v>
      </c>
      <c r="L382" t="s">
        <v>44</v>
      </c>
      <c r="M382" t="s">
        <v>44</v>
      </c>
      <c r="N382" t="s">
        <v>44</v>
      </c>
      <c r="O382" t="s">
        <v>44</v>
      </c>
      <c r="P382" t="s">
        <v>86</v>
      </c>
      <c r="Q382" t="s">
        <v>1372</v>
      </c>
      <c r="R382" t="s">
        <v>598</v>
      </c>
      <c r="S382" t="s">
        <v>32</v>
      </c>
    </row>
    <row r="383" spans="1:19" x14ac:dyDescent="0.25">
      <c r="A383" t="s">
        <v>740</v>
      </c>
      <c r="B383" t="s">
        <v>740</v>
      </c>
      <c r="C383">
        <v>4.5365796319999996</v>
      </c>
      <c r="D383" s="38">
        <v>45884</v>
      </c>
      <c r="F383">
        <v>22.635985262348999</v>
      </c>
      <c r="G383">
        <v>935.61967753199997</v>
      </c>
      <c r="H383">
        <v>77.150895000000006</v>
      </c>
      <c r="I383" t="s">
        <v>192</v>
      </c>
      <c r="J383">
        <v>20200723</v>
      </c>
      <c r="K383" t="s">
        <v>657</v>
      </c>
      <c r="L383" t="s">
        <v>44</v>
      </c>
      <c r="M383" t="s">
        <v>44</v>
      </c>
      <c r="N383" t="s">
        <v>44</v>
      </c>
      <c r="O383" t="s">
        <v>44</v>
      </c>
      <c r="P383" t="s">
        <v>192</v>
      </c>
      <c r="Q383" t="s">
        <v>657</v>
      </c>
      <c r="R383" t="s">
        <v>598</v>
      </c>
      <c r="S383" t="s">
        <v>24</v>
      </c>
    </row>
    <row r="384" spans="1:19" x14ac:dyDescent="0.25">
      <c r="A384" t="s">
        <v>653</v>
      </c>
      <c r="B384" t="s">
        <v>653</v>
      </c>
      <c r="C384">
        <v>0.52216474099999999</v>
      </c>
      <c r="D384" s="38">
        <v>45894</v>
      </c>
      <c r="F384">
        <v>42.937698456151999</v>
      </c>
      <c r="G384">
        <v>252.86766321900001</v>
      </c>
      <c r="H384">
        <v>98.043329999999997</v>
      </c>
      <c r="I384" t="s">
        <v>193</v>
      </c>
      <c r="J384">
        <v>20210311</v>
      </c>
      <c r="K384" t="s">
        <v>44</v>
      </c>
      <c r="L384" t="s">
        <v>44</v>
      </c>
      <c r="M384" t="s">
        <v>44</v>
      </c>
      <c r="N384" t="s">
        <v>657</v>
      </c>
      <c r="O384" t="s">
        <v>44</v>
      </c>
      <c r="P384" t="s">
        <v>193</v>
      </c>
      <c r="Q384" t="s">
        <v>657</v>
      </c>
      <c r="R384" t="s">
        <v>656</v>
      </c>
      <c r="S384" t="s">
        <v>24</v>
      </c>
    </row>
    <row r="385" spans="1:19" x14ac:dyDescent="0.25">
      <c r="A385" t="s">
        <v>994</v>
      </c>
      <c r="B385" t="s">
        <v>994</v>
      </c>
      <c r="C385">
        <v>0.56944444400000005</v>
      </c>
      <c r="D385" s="38">
        <v>45894</v>
      </c>
      <c r="F385">
        <v>41.121756268481001</v>
      </c>
      <c r="G385">
        <v>321.39877873199998</v>
      </c>
      <c r="H385">
        <v>97.86748</v>
      </c>
      <c r="I385" t="s">
        <v>193</v>
      </c>
      <c r="J385">
        <v>20210311</v>
      </c>
      <c r="K385" t="s">
        <v>44</v>
      </c>
      <c r="L385" t="s">
        <v>44</v>
      </c>
      <c r="M385" t="s">
        <v>44</v>
      </c>
      <c r="N385" t="s">
        <v>28</v>
      </c>
      <c r="O385" t="s">
        <v>44</v>
      </c>
      <c r="P385" t="s">
        <v>193</v>
      </c>
      <c r="Q385" t="s">
        <v>28</v>
      </c>
      <c r="R385" t="s">
        <v>656</v>
      </c>
      <c r="S385" t="s">
        <v>28</v>
      </c>
    </row>
    <row r="386" spans="1:19" x14ac:dyDescent="0.25">
      <c r="A386" t="s">
        <v>681</v>
      </c>
      <c r="B386" t="s">
        <v>681</v>
      </c>
      <c r="C386">
        <v>3.5416666669999999</v>
      </c>
      <c r="F386">
        <v>50</v>
      </c>
      <c r="G386">
        <v>413.92096168400002</v>
      </c>
      <c r="H386">
        <v>90.52</v>
      </c>
      <c r="I386" t="s">
        <v>194</v>
      </c>
      <c r="J386">
        <v>20210630</v>
      </c>
      <c r="K386" t="s">
        <v>44</v>
      </c>
      <c r="L386" t="s">
        <v>44</v>
      </c>
      <c r="M386" t="s">
        <v>44</v>
      </c>
      <c r="N386" t="s">
        <v>657</v>
      </c>
      <c r="O386" t="s">
        <v>44</v>
      </c>
      <c r="P386" t="s">
        <v>194</v>
      </c>
      <c r="Q386" t="s">
        <v>657</v>
      </c>
      <c r="R386" t="s">
        <v>656</v>
      </c>
      <c r="S386" t="s">
        <v>24</v>
      </c>
    </row>
    <row r="387" spans="1:19" x14ac:dyDescent="0.25">
      <c r="A387" t="s">
        <v>1202</v>
      </c>
      <c r="B387" t="s">
        <v>1202</v>
      </c>
      <c r="C387">
        <v>0.30555555600000001</v>
      </c>
      <c r="D387" s="38">
        <v>45889</v>
      </c>
      <c r="F387">
        <v>17.120924605199001</v>
      </c>
      <c r="G387">
        <v>1387.325360927</v>
      </c>
      <c r="H387">
        <v>97.194005000000004</v>
      </c>
      <c r="I387" t="s">
        <v>131</v>
      </c>
      <c r="J387">
        <v>20201113</v>
      </c>
      <c r="K387" t="s">
        <v>28</v>
      </c>
      <c r="L387" t="s">
        <v>44</v>
      </c>
      <c r="M387" t="s">
        <v>44</v>
      </c>
      <c r="N387" t="s">
        <v>44</v>
      </c>
      <c r="O387" t="s">
        <v>44</v>
      </c>
      <c r="P387" t="s">
        <v>131</v>
      </c>
      <c r="Q387" t="s">
        <v>28</v>
      </c>
      <c r="R387" t="s">
        <v>598</v>
      </c>
      <c r="S387" t="s">
        <v>28</v>
      </c>
    </row>
    <row r="388" spans="1:19" x14ac:dyDescent="0.25">
      <c r="A388" t="s">
        <v>1204</v>
      </c>
      <c r="B388" t="s">
        <v>1204</v>
      </c>
      <c r="C388">
        <v>2.3111111110000002</v>
      </c>
      <c r="D388" s="38">
        <v>45889</v>
      </c>
      <c r="F388">
        <v>17.120924605199001</v>
      </c>
      <c r="G388">
        <v>857.32807350400003</v>
      </c>
      <c r="H388">
        <v>87.746655000000004</v>
      </c>
      <c r="I388" t="s">
        <v>131</v>
      </c>
      <c r="J388">
        <v>20201113</v>
      </c>
      <c r="K388" t="s">
        <v>28</v>
      </c>
      <c r="L388" t="s">
        <v>44</v>
      </c>
      <c r="M388" t="s">
        <v>44</v>
      </c>
      <c r="N388" t="s">
        <v>44</v>
      </c>
      <c r="O388" t="s">
        <v>44</v>
      </c>
      <c r="P388" t="s">
        <v>131</v>
      </c>
      <c r="Q388" t="s">
        <v>28</v>
      </c>
      <c r="R388" t="s">
        <v>598</v>
      </c>
      <c r="S388" t="s">
        <v>28</v>
      </c>
    </row>
    <row r="389" spans="1:19" x14ac:dyDescent="0.25">
      <c r="A389" t="s">
        <v>1207</v>
      </c>
      <c r="B389" t="s">
        <v>1207</v>
      </c>
      <c r="C389">
        <v>0.47222222200000002</v>
      </c>
      <c r="D389" s="38">
        <v>45889</v>
      </c>
      <c r="F389">
        <v>17.120924605199001</v>
      </c>
      <c r="G389">
        <v>708.35184485699995</v>
      </c>
      <c r="H389">
        <v>97.409279999999995</v>
      </c>
      <c r="I389" t="s">
        <v>131</v>
      </c>
      <c r="J389">
        <v>20210127</v>
      </c>
      <c r="K389" t="s">
        <v>28</v>
      </c>
      <c r="L389" t="s">
        <v>44</v>
      </c>
      <c r="M389" t="s">
        <v>44</v>
      </c>
      <c r="N389" t="s">
        <v>44</v>
      </c>
      <c r="O389" t="s">
        <v>44</v>
      </c>
      <c r="P389" t="s">
        <v>131</v>
      </c>
      <c r="Q389" t="s">
        <v>28</v>
      </c>
      <c r="R389" t="s">
        <v>598</v>
      </c>
      <c r="S389" t="s">
        <v>28</v>
      </c>
    </row>
    <row r="390" spans="1:19" x14ac:dyDescent="0.25">
      <c r="A390" t="s">
        <v>581</v>
      </c>
      <c r="B390" t="s">
        <v>581</v>
      </c>
      <c r="C390">
        <v>0.122987419</v>
      </c>
      <c r="D390" s="38">
        <v>45884</v>
      </c>
      <c r="F390">
        <v>23.715415019763999</v>
      </c>
      <c r="G390">
        <v>657.492270147</v>
      </c>
      <c r="H390">
        <v>99.640784999999994</v>
      </c>
      <c r="I390" t="s">
        <v>195</v>
      </c>
      <c r="J390">
        <v>20200924</v>
      </c>
      <c r="K390" t="s">
        <v>44</v>
      </c>
      <c r="L390" t="s">
        <v>44</v>
      </c>
      <c r="M390" t="s">
        <v>44</v>
      </c>
      <c r="N390" t="s">
        <v>44</v>
      </c>
      <c r="O390" t="s">
        <v>587</v>
      </c>
      <c r="P390" t="s">
        <v>195</v>
      </c>
      <c r="Q390" t="s">
        <v>587</v>
      </c>
      <c r="R390" t="s">
        <v>586</v>
      </c>
      <c r="S390" t="s">
        <v>21</v>
      </c>
    </row>
    <row r="391" spans="1:19" x14ac:dyDescent="0.25">
      <c r="A391" t="s">
        <v>757</v>
      </c>
      <c r="B391" t="s">
        <v>757</v>
      </c>
      <c r="C391">
        <v>0.125</v>
      </c>
      <c r="D391" s="38">
        <v>45884</v>
      </c>
      <c r="F391">
        <v>13.438735177866</v>
      </c>
      <c r="G391">
        <v>783.13730734000001</v>
      </c>
      <c r="H391">
        <v>99.611474999999999</v>
      </c>
      <c r="I391" t="s">
        <v>195</v>
      </c>
      <c r="J391">
        <v>20200924</v>
      </c>
      <c r="K391" t="s">
        <v>44</v>
      </c>
      <c r="L391" t="s">
        <v>44</v>
      </c>
      <c r="M391" t="s">
        <v>44</v>
      </c>
      <c r="N391" t="s">
        <v>44</v>
      </c>
      <c r="O391" t="s">
        <v>24</v>
      </c>
      <c r="P391" t="s">
        <v>195</v>
      </c>
      <c r="Q391" t="s">
        <v>24</v>
      </c>
      <c r="R391" t="s">
        <v>586</v>
      </c>
      <c r="S391" t="s">
        <v>24</v>
      </c>
    </row>
    <row r="392" spans="1:19" x14ac:dyDescent="0.25">
      <c r="A392" t="s">
        <v>1339</v>
      </c>
      <c r="B392" t="s">
        <v>1339</v>
      </c>
      <c r="C392">
        <v>0.125</v>
      </c>
      <c r="D392" s="38">
        <v>45884</v>
      </c>
      <c r="F392">
        <v>5.0065876152840003</v>
      </c>
      <c r="G392">
        <v>961.76115668</v>
      </c>
      <c r="H392">
        <v>99.586820000000003</v>
      </c>
      <c r="I392" t="s">
        <v>195</v>
      </c>
      <c r="J392">
        <v>20200924</v>
      </c>
      <c r="K392" t="s">
        <v>44</v>
      </c>
      <c r="L392" t="s">
        <v>44</v>
      </c>
      <c r="M392" t="s">
        <v>44</v>
      </c>
      <c r="N392" t="s">
        <v>44</v>
      </c>
      <c r="O392" t="s">
        <v>28</v>
      </c>
      <c r="P392" t="s">
        <v>195</v>
      </c>
      <c r="Q392" t="s">
        <v>28</v>
      </c>
      <c r="R392" t="s">
        <v>586</v>
      </c>
      <c r="S392" t="s">
        <v>28</v>
      </c>
    </row>
    <row r="393" spans="1:19" x14ac:dyDescent="0.25">
      <c r="A393" t="s">
        <v>101</v>
      </c>
      <c r="B393" t="s">
        <v>101</v>
      </c>
      <c r="C393">
        <v>10.114242512000001</v>
      </c>
      <c r="D393" s="38">
        <v>45950</v>
      </c>
      <c r="E393" s="38">
        <v>46497</v>
      </c>
      <c r="F393">
        <v>7.5380415159999998</v>
      </c>
      <c r="G393">
        <v>647.40376874000003</v>
      </c>
      <c r="H393">
        <v>100.8477</v>
      </c>
      <c r="I393" t="s">
        <v>66</v>
      </c>
      <c r="J393">
        <v>20250408</v>
      </c>
      <c r="K393" t="s">
        <v>44</v>
      </c>
      <c r="L393" t="s">
        <v>44</v>
      </c>
      <c r="M393" t="s">
        <v>1363</v>
      </c>
      <c r="N393" t="s">
        <v>44</v>
      </c>
      <c r="O393" t="s">
        <v>44</v>
      </c>
      <c r="P393" t="s">
        <v>1604</v>
      </c>
      <c r="Q393" t="s">
        <v>1363</v>
      </c>
      <c r="R393" t="s">
        <v>590</v>
      </c>
      <c r="S393" t="s">
        <v>32</v>
      </c>
    </row>
    <row r="394" spans="1:19" x14ac:dyDescent="0.25">
      <c r="A394" t="s">
        <v>1366</v>
      </c>
      <c r="B394" t="s">
        <v>1366</v>
      </c>
      <c r="C394">
        <v>10.124557447999999</v>
      </c>
      <c r="D394" s="38">
        <v>45954</v>
      </c>
      <c r="E394" s="38">
        <v>46501</v>
      </c>
      <c r="F394">
        <v>7.8288732010000004</v>
      </c>
      <c r="G394">
        <v>685.13402383200003</v>
      </c>
      <c r="H394">
        <v>102.919</v>
      </c>
      <c r="I394" t="s">
        <v>69</v>
      </c>
      <c r="J394">
        <v>20250424</v>
      </c>
      <c r="K394" t="s">
        <v>44</v>
      </c>
      <c r="L394" t="s">
        <v>44</v>
      </c>
      <c r="M394" t="s">
        <v>1363</v>
      </c>
      <c r="N394" t="s">
        <v>44</v>
      </c>
      <c r="O394" t="s">
        <v>44</v>
      </c>
      <c r="P394" t="s">
        <v>240</v>
      </c>
      <c r="Q394" t="s">
        <v>1363</v>
      </c>
      <c r="R394" t="s">
        <v>590</v>
      </c>
      <c r="S394" t="s">
        <v>32</v>
      </c>
    </row>
    <row r="395" spans="1:19" x14ac:dyDescent="0.25">
      <c r="A395" t="s">
        <v>1370</v>
      </c>
      <c r="B395" t="s">
        <v>1370</v>
      </c>
      <c r="C395">
        <v>6.6069367569999997</v>
      </c>
      <c r="D395" s="38">
        <v>45951</v>
      </c>
      <c r="E395" s="38">
        <v>45312</v>
      </c>
      <c r="F395">
        <v>8.8159755529999995</v>
      </c>
      <c r="G395">
        <v>551.50006638000002</v>
      </c>
      <c r="H395">
        <v>100.4692</v>
      </c>
      <c r="I395" t="s">
        <v>69</v>
      </c>
      <c r="J395">
        <v>20211216</v>
      </c>
      <c r="K395" t="s">
        <v>1372</v>
      </c>
      <c r="L395" t="s">
        <v>44</v>
      </c>
      <c r="M395" t="s">
        <v>44</v>
      </c>
      <c r="N395" t="s">
        <v>44</v>
      </c>
      <c r="O395" t="s">
        <v>44</v>
      </c>
      <c r="P395" t="s">
        <v>240</v>
      </c>
      <c r="Q395" t="s">
        <v>1372</v>
      </c>
      <c r="R395" t="s">
        <v>598</v>
      </c>
      <c r="S395" t="s">
        <v>32</v>
      </c>
    </row>
    <row r="396" spans="1:19" x14ac:dyDescent="0.25">
      <c r="A396" t="s">
        <v>1368</v>
      </c>
      <c r="B396" t="s">
        <v>1368</v>
      </c>
      <c r="C396">
        <v>6.4837141789999997</v>
      </c>
      <c r="D396" s="38">
        <v>45952</v>
      </c>
      <c r="E396" s="38">
        <v>45221</v>
      </c>
      <c r="F396">
        <v>7.9722991529999998</v>
      </c>
      <c r="G396">
        <v>635.28588314800004</v>
      </c>
      <c r="H396">
        <v>100.988</v>
      </c>
      <c r="I396" t="s">
        <v>69</v>
      </c>
      <c r="J396">
        <v>20211105</v>
      </c>
      <c r="K396" t="s">
        <v>1363</v>
      </c>
      <c r="L396" t="s">
        <v>44</v>
      </c>
      <c r="M396" t="s">
        <v>44</v>
      </c>
      <c r="N396" t="s">
        <v>44</v>
      </c>
      <c r="O396" t="s">
        <v>44</v>
      </c>
      <c r="P396" t="s">
        <v>240</v>
      </c>
      <c r="Q396" t="s">
        <v>1363</v>
      </c>
      <c r="R396" t="s">
        <v>598</v>
      </c>
      <c r="S396" t="s">
        <v>32</v>
      </c>
    </row>
    <row r="397" spans="1:19" x14ac:dyDescent="0.25">
      <c r="A397" t="s">
        <v>1373</v>
      </c>
      <c r="B397" t="s">
        <v>1373</v>
      </c>
      <c r="C397">
        <v>8.5317047200000005</v>
      </c>
      <c r="D397" s="38">
        <v>45955</v>
      </c>
      <c r="E397" s="38">
        <v>45955</v>
      </c>
      <c r="F397">
        <v>8.7983385649999999</v>
      </c>
      <c r="G397">
        <v>712.29047227599995</v>
      </c>
      <c r="H397">
        <v>101.25320000000001</v>
      </c>
      <c r="I397" t="s">
        <v>196</v>
      </c>
      <c r="J397">
        <v>20231110</v>
      </c>
      <c r="K397" t="s">
        <v>44</v>
      </c>
      <c r="L397" t="s">
        <v>44</v>
      </c>
      <c r="M397" t="s">
        <v>1372</v>
      </c>
      <c r="N397" t="s">
        <v>44</v>
      </c>
      <c r="O397" t="s">
        <v>44</v>
      </c>
      <c r="P397" t="s">
        <v>427</v>
      </c>
      <c r="Q397" t="s">
        <v>1372</v>
      </c>
      <c r="R397" t="s">
        <v>590</v>
      </c>
      <c r="S397" t="s">
        <v>32</v>
      </c>
    </row>
    <row r="398" spans="1:19" x14ac:dyDescent="0.25">
      <c r="A398" t="s">
        <v>1375</v>
      </c>
      <c r="B398" t="s">
        <v>1375</v>
      </c>
      <c r="C398">
        <v>6.2865005329999999</v>
      </c>
      <c r="D398" s="38">
        <v>45945</v>
      </c>
      <c r="E398" s="38">
        <v>45031</v>
      </c>
      <c r="F398">
        <v>6.7196054460000001</v>
      </c>
      <c r="G398">
        <v>700.44203772100002</v>
      </c>
      <c r="H398">
        <v>100.5181</v>
      </c>
      <c r="I398" t="s">
        <v>197</v>
      </c>
      <c r="J398">
        <v>20210422</v>
      </c>
      <c r="K398" t="s">
        <v>1363</v>
      </c>
      <c r="L398" t="s">
        <v>44</v>
      </c>
      <c r="M398" t="s">
        <v>44</v>
      </c>
      <c r="N398" t="s">
        <v>44</v>
      </c>
      <c r="O398" t="s">
        <v>44</v>
      </c>
      <c r="P398" t="s">
        <v>1605</v>
      </c>
      <c r="Q398" t="s">
        <v>1363</v>
      </c>
      <c r="R398" t="s">
        <v>598</v>
      </c>
      <c r="S398" t="s">
        <v>32</v>
      </c>
    </row>
    <row r="399" spans="1:19" x14ac:dyDescent="0.25">
      <c r="A399" t="s">
        <v>779</v>
      </c>
      <c r="B399" t="s">
        <v>779</v>
      </c>
      <c r="C399">
        <v>8.6122414270000007</v>
      </c>
      <c r="D399" s="38">
        <v>45951</v>
      </c>
      <c r="E399" s="38">
        <v>46082</v>
      </c>
      <c r="F399">
        <v>12.012252051999999</v>
      </c>
      <c r="G399">
        <v>361.884648637</v>
      </c>
      <c r="H399">
        <v>100.83110000000001</v>
      </c>
      <c r="I399" t="s">
        <v>66</v>
      </c>
      <c r="J399">
        <v>20240229</v>
      </c>
      <c r="K399" t="s">
        <v>44</v>
      </c>
      <c r="L399" t="s">
        <v>44</v>
      </c>
      <c r="M399" t="s">
        <v>777</v>
      </c>
      <c r="N399" t="s">
        <v>44</v>
      </c>
      <c r="O399" t="s">
        <v>44</v>
      </c>
      <c r="P399" t="s">
        <v>227</v>
      </c>
      <c r="Q399" t="s">
        <v>777</v>
      </c>
      <c r="R399" t="s">
        <v>590</v>
      </c>
      <c r="S399" t="s">
        <v>28</v>
      </c>
    </row>
    <row r="400" spans="1:19" x14ac:dyDescent="0.25">
      <c r="A400" t="s">
        <v>1382</v>
      </c>
      <c r="B400" t="s">
        <v>1382</v>
      </c>
      <c r="C400">
        <v>6.5700724900000003</v>
      </c>
      <c r="D400" s="38">
        <v>45945</v>
      </c>
      <c r="E400" s="38">
        <v>45214</v>
      </c>
      <c r="F400">
        <v>8.3511177960000005</v>
      </c>
      <c r="G400">
        <v>683.79364960999999</v>
      </c>
      <c r="H400">
        <v>100.8082</v>
      </c>
      <c r="I400" t="s">
        <v>156</v>
      </c>
      <c r="J400">
        <v>20211116</v>
      </c>
      <c r="K400" t="s">
        <v>1363</v>
      </c>
      <c r="L400" t="s">
        <v>44</v>
      </c>
      <c r="M400" t="s">
        <v>44</v>
      </c>
      <c r="N400" t="s">
        <v>44</v>
      </c>
      <c r="O400" t="s">
        <v>44</v>
      </c>
      <c r="P400" t="s">
        <v>1548</v>
      </c>
      <c r="Q400" t="s">
        <v>1363</v>
      </c>
      <c r="R400" t="s">
        <v>598</v>
      </c>
      <c r="S400" t="s">
        <v>32</v>
      </c>
    </row>
    <row r="401" spans="1:19" x14ac:dyDescent="0.25">
      <c r="A401" t="s">
        <v>1384</v>
      </c>
      <c r="B401" t="s">
        <v>1384</v>
      </c>
      <c r="C401">
        <v>6.6221627459999999</v>
      </c>
      <c r="D401" s="38">
        <v>45945</v>
      </c>
      <c r="E401" s="38">
        <v>45883</v>
      </c>
      <c r="F401">
        <v>8.7578784840000008</v>
      </c>
      <c r="G401">
        <v>462.09481009799998</v>
      </c>
      <c r="H401">
        <v>99.879900000000006</v>
      </c>
      <c r="I401" t="s">
        <v>156</v>
      </c>
      <c r="J401">
        <v>20250214</v>
      </c>
      <c r="K401" t="s">
        <v>44</v>
      </c>
      <c r="L401" t="s">
        <v>1386</v>
      </c>
      <c r="M401" t="s">
        <v>44</v>
      </c>
      <c r="N401" t="s">
        <v>44</v>
      </c>
      <c r="O401" t="s">
        <v>44</v>
      </c>
      <c r="P401" t="s">
        <v>1548</v>
      </c>
      <c r="Q401" t="s">
        <v>1386</v>
      </c>
      <c r="R401" t="s">
        <v>572</v>
      </c>
      <c r="S401" t="s">
        <v>32</v>
      </c>
    </row>
    <row r="402" spans="1:19" x14ac:dyDescent="0.25">
      <c r="A402" t="s">
        <v>1389</v>
      </c>
      <c r="B402" t="s">
        <v>1389</v>
      </c>
      <c r="C402">
        <v>6.5513109030000001</v>
      </c>
      <c r="D402" s="38">
        <v>45947</v>
      </c>
      <c r="E402" s="38">
        <v>45124</v>
      </c>
      <c r="F402">
        <v>5.8769804649999999</v>
      </c>
      <c r="G402">
        <v>759.36583175299995</v>
      </c>
      <c r="H402">
        <v>98.934200000000004</v>
      </c>
      <c r="I402" t="s">
        <v>157</v>
      </c>
      <c r="J402">
        <v>20210719</v>
      </c>
      <c r="K402" t="s">
        <v>44</v>
      </c>
      <c r="L402" t="s">
        <v>1386</v>
      </c>
      <c r="M402" t="s">
        <v>44</v>
      </c>
      <c r="N402" t="s">
        <v>44</v>
      </c>
      <c r="O402" t="s">
        <v>44</v>
      </c>
      <c r="P402" t="s">
        <v>78</v>
      </c>
      <c r="Q402" t="s">
        <v>1386</v>
      </c>
      <c r="R402" t="s">
        <v>572</v>
      </c>
      <c r="S402" t="s">
        <v>32</v>
      </c>
    </row>
    <row r="403" spans="1:19" x14ac:dyDescent="0.25">
      <c r="A403" t="s">
        <v>1391</v>
      </c>
      <c r="B403" t="s">
        <v>1391</v>
      </c>
      <c r="C403">
        <v>3.3795795910000002</v>
      </c>
      <c r="D403" s="38">
        <v>45947</v>
      </c>
      <c r="E403" s="38">
        <v>43938</v>
      </c>
      <c r="F403">
        <v>11.515131693000001</v>
      </c>
      <c r="G403">
        <v>566.888789632</v>
      </c>
      <c r="H403">
        <v>99.248199999999997</v>
      </c>
      <c r="I403" t="s">
        <v>78</v>
      </c>
      <c r="J403">
        <v>20180329</v>
      </c>
      <c r="K403" t="s">
        <v>44</v>
      </c>
      <c r="L403" t="s">
        <v>1386</v>
      </c>
      <c r="M403" t="s">
        <v>44</v>
      </c>
      <c r="N403" t="s">
        <v>44</v>
      </c>
      <c r="O403" t="s">
        <v>44</v>
      </c>
      <c r="P403" t="s">
        <v>256</v>
      </c>
      <c r="Q403" t="s">
        <v>1386</v>
      </c>
      <c r="R403" t="s">
        <v>572</v>
      </c>
      <c r="S403" t="s">
        <v>32</v>
      </c>
    </row>
    <row r="404" spans="1:19" x14ac:dyDescent="0.25">
      <c r="A404" t="s">
        <v>1471</v>
      </c>
      <c r="B404" t="s">
        <v>1471</v>
      </c>
      <c r="C404">
        <v>3.7449948989999999</v>
      </c>
      <c r="D404" s="38">
        <v>45950</v>
      </c>
      <c r="E404" s="38">
        <v>44032</v>
      </c>
      <c r="F404">
        <v>8.3278186850000004</v>
      </c>
      <c r="G404">
        <v>594.17199313399999</v>
      </c>
      <c r="H404">
        <v>99.427199999999999</v>
      </c>
      <c r="I404" t="s">
        <v>78</v>
      </c>
      <c r="J404">
        <v>20180712</v>
      </c>
      <c r="K404" t="s">
        <v>44</v>
      </c>
      <c r="L404" t="s">
        <v>1473</v>
      </c>
      <c r="M404" t="s">
        <v>44</v>
      </c>
      <c r="N404" t="s">
        <v>44</v>
      </c>
      <c r="O404" t="s">
        <v>44</v>
      </c>
      <c r="P404" t="s">
        <v>78</v>
      </c>
      <c r="Q404" t="s">
        <v>1473</v>
      </c>
      <c r="R404" t="s">
        <v>572</v>
      </c>
      <c r="S404" t="s">
        <v>36</v>
      </c>
    </row>
    <row r="405" spans="1:19" x14ac:dyDescent="0.25">
      <c r="A405" t="s">
        <v>1393</v>
      </c>
      <c r="B405" t="s">
        <v>1393</v>
      </c>
      <c r="C405">
        <v>9.8476469130000002</v>
      </c>
      <c r="D405" s="38">
        <v>45945</v>
      </c>
      <c r="E405" s="38">
        <v>46492</v>
      </c>
      <c r="F405">
        <v>9.0347733429999995</v>
      </c>
      <c r="G405">
        <v>699.97590458699995</v>
      </c>
      <c r="H405">
        <v>103.44459999999999</v>
      </c>
      <c r="I405" t="s">
        <v>78</v>
      </c>
      <c r="J405">
        <v>20250430</v>
      </c>
      <c r="K405" t="s">
        <v>44</v>
      </c>
      <c r="L405" t="s">
        <v>44</v>
      </c>
      <c r="M405" t="s">
        <v>1363</v>
      </c>
      <c r="N405" t="s">
        <v>44</v>
      </c>
      <c r="O405" t="s">
        <v>44</v>
      </c>
      <c r="P405" t="s">
        <v>256</v>
      </c>
      <c r="Q405" t="s">
        <v>1363</v>
      </c>
      <c r="R405" t="s">
        <v>590</v>
      </c>
      <c r="S405" t="s">
        <v>32</v>
      </c>
    </row>
    <row r="406" spans="1:19" x14ac:dyDescent="0.25">
      <c r="A406" t="s">
        <v>1401</v>
      </c>
      <c r="B406" t="s">
        <v>1401</v>
      </c>
      <c r="C406">
        <v>6.3107235199999998</v>
      </c>
      <c r="D406" s="38">
        <v>45947</v>
      </c>
      <c r="E406" s="38">
        <v>45033</v>
      </c>
      <c r="F406">
        <v>8.4204110619999994</v>
      </c>
      <c r="G406">
        <v>654.07917627999996</v>
      </c>
      <c r="H406">
        <v>101.43819999999999</v>
      </c>
      <c r="I406" t="s">
        <v>159</v>
      </c>
      <c r="J406">
        <v>20210430</v>
      </c>
      <c r="K406" t="s">
        <v>1363</v>
      </c>
      <c r="L406" t="s">
        <v>44</v>
      </c>
      <c r="M406" t="s">
        <v>44</v>
      </c>
      <c r="N406" t="s">
        <v>44</v>
      </c>
      <c r="O406" t="s">
        <v>44</v>
      </c>
      <c r="P406" t="s">
        <v>971</v>
      </c>
      <c r="Q406" t="s">
        <v>1363</v>
      </c>
      <c r="R406" t="s">
        <v>598</v>
      </c>
      <c r="S406" t="s">
        <v>32</v>
      </c>
    </row>
    <row r="407" spans="1:19" x14ac:dyDescent="0.25">
      <c r="A407" t="s">
        <v>1403</v>
      </c>
      <c r="B407" t="s">
        <v>1403</v>
      </c>
      <c r="C407">
        <v>6.8973612549999999</v>
      </c>
      <c r="D407" s="38">
        <v>45949</v>
      </c>
      <c r="E407" s="38">
        <v>46065</v>
      </c>
      <c r="F407">
        <v>7.8379262880000002</v>
      </c>
      <c r="G407">
        <v>475.22424344900003</v>
      </c>
      <c r="H407">
        <v>99.975200000000001</v>
      </c>
      <c r="I407" t="s">
        <v>159</v>
      </c>
      <c r="J407">
        <v>20250212</v>
      </c>
      <c r="K407" t="s">
        <v>44</v>
      </c>
      <c r="L407" t="s">
        <v>1386</v>
      </c>
      <c r="M407" t="s">
        <v>44</v>
      </c>
      <c r="N407" t="s">
        <v>44</v>
      </c>
      <c r="O407" t="s">
        <v>44</v>
      </c>
      <c r="P407" t="s">
        <v>971</v>
      </c>
      <c r="Q407" t="s">
        <v>1386</v>
      </c>
      <c r="R407" t="s">
        <v>572</v>
      </c>
      <c r="S407" t="s">
        <v>32</v>
      </c>
    </row>
    <row r="408" spans="1:19" x14ac:dyDescent="0.25">
      <c r="A408" t="s">
        <v>1399</v>
      </c>
      <c r="B408" t="s">
        <v>1399</v>
      </c>
      <c r="C408">
        <v>6.57372114</v>
      </c>
      <c r="D408" s="38">
        <v>45945</v>
      </c>
      <c r="E408" s="38">
        <v>45198</v>
      </c>
      <c r="F408">
        <v>7.3354462419999997</v>
      </c>
      <c r="G408">
        <v>662.73309319400005</v>
      </c>
      <c r="H408">
        <v>100.62779999999999</v>
      </c>
      <c r="I408" t="s">
        <v>79</v>
      </c>
      <c r="J408">
        <v>20210929</v>
      </c>
      <c r="K408" t="s">
        <v>1363</v>
      </c>
      <c r="L408" t="s">
        <v>44</v>
      </c>
      <c r="M408" t="s">
        <v>44</v>
      </c>
      <c r="N408" t="s">
        <v>44</v>
      </c>
      <c r="O408" t="s">
        <v>44</v>
      </c>
      <c r="P408" t="s">
        <v>260</v>
      </c>
      <c r="Q408" t="s">
        <v>1363</v>
      </c>
      <c r="R408" t="s">
        <v>598</v>
      </c>
      <c r="S408" t="s">
        <v>32</v>
      </c>
    </row>
    <row r="409" spans="1:19" x14ac:dyDescent="0.25">
      <c r="A409" t="s">
        <v>1397</v>
      </c>
      <c r="B409" t="s">
        <v>1397</v>
      </c>
      <c r="C409">
        <v>9.5821656169999994</v>
      </c>
      <c r="D409" s="38">
        <v>45945</v>
      </c>
      <c r="E409" s="38">
        <v>46472</v>
      </c>
      <c r="F409">
        <v>8.0015309030000008</v>
      </c>
      <c r="G409">
        <v>534.331697749</v>
      </c>
      <c r="H409">
        <v>100.99850000000001</v>
      </c>
      <c r="I409" t="s">
        <v>79</v>
      </c>
      <c r="J409">
        <v>20250326</v>
      </c>
      <c r="K409" t="s">
        <v>44</v>
      </c>
      <c r="L409" t="s">
        <v>44</v>
      </c>
      <c r="M409" t="s">
        <v>1363</v>
      </c>
      <c r="N409" t="s">
        <v>44</v>
      </c>
      <c r="O409" t="s">
        <v>44</v>
      </c>
      <c r="P409" t="s">
        <v>260</v>
      </c>
      <c r="Q409" t="s">
        <v>1363</v>
      </c>
      <c r="R409" t="s">
        <v>590</v>
      </c>
      <c r="S409" t="s">
        <v>32</v>
      </c>
    </row>
    <row r="410" spans="1:19" x14ac:dyDescent="0.25">
      <c r="A410" t="s">
        <v>1395</v>
      </c>
      <c r="B410" t="s">
        <v>1395</v>
      </c>
      <c r="C410">
        <v>6.3979172569999996</v>
      </c>
      <c r="D410" s="38">
        <v>45950</v>
      </c>
      <c r="E410" s="38">
        <v>45127</v>
      </c>
      <c r="F410">
        <v>7.5711369089999998</v>
      </c>
      <c r="H410">
        <v>100.005</v>
      </c>
      <c r="I410" t="s">
        <v>79</v>
      </c>
      <c r="J410">
        <v>20210708</v>
      </c>
      <c r="K410" t="s">
        <v>44</v>
      </c>
      <c r="L410" t="s">
        <v>1386</v>
      </c>
      <c r="M410" t="s">
        <v>44</v>
      </c>
      <c r="N410" t="s">
        <v>44</v>
      </c>
      <c r="O410" t="s">
        <v>44</v>
      </c>
      <c r="P410" t="s">
        <v>260</v>
      </c>
      <c r="Q410" t="s">
        <v>1386</v>
      </c>
      <c r="R410" t="s">
        <v>572</v>
      </c>
      <c r="S410" t="s">
        <v>32</v>
      </c>
    </row>
    <row r="411" spans="1:19" x14ac:dyDescent="0.25">
      <c r="A411" t="s">
        <v>781</v>
      </c>
      <c r="B411" t="s">
        <v>781</v>
      </c>
      <c r="C411">
        <v>9.2368901099999992</v>
      </c>
      <c r="D411" s="38">
        <v>45952</v>
      </c>
      <c r="E411" s="38">
        <v>46346</v>
      </c>
      <c r="F411">
        <v>12.012568766999999</v>
      </c>
      <c r="G411">
        <v>282.51284540400002</v>
      </c>
      <c r="H411">
        <v>100.5158</v>
      </c>
      <c r="I411" t="s">
        <v>66</v>
      </c>
      <c r="J411">
        <v>20241120</v>
      </c>
      <c r="K411" t="s">
        <v>44</v>
      </c>
      <c r="L411" t="s">
        <v>44</v>
      </c>
      <c r="M411" t="s">
        <v>777</v>
      </c>
      <c r="N411" t="s">
        <v>44</v>
      </c>
      <c r="O411" t="s">
        <v>44</v>
      </c>
      <c r="P411" t="s">
        <v>227</v>
      </c>
      <c r="Q411" t="s">
        <v>777</v>
      </c>
      <c r="R411" t="s">
        <v>590</v>
      </c>
      <c r="S411" t="s">
        <v>28</v>
      </c>
    </row>
    <row r="412" spans="1:19" x14ac:dyDescent="0.25">
      <c r="A412" t="s">
        <v>813</v>
      </c>
      <c r="B412" t="s">
        <v>813</v>
      </c>
      <c r="C412">
        <v>5.7484801140000004</v>
      </c>
      <c r="D412" s="38">
        <v>45958</v>
      </c>
      <c r="E412" s="38">
        <v>45987</v>
      </c>
      <c r="F412">
        <v>12.779267519999999</v>
      </c>
      <c r="G412">
        <v>297.06337226400001</v>
      </c>
      <c r="H412">
        <v>100.13290000000001</v>
      </c>
      <c r="I412" t="s">
        <v>70</v>
      </c>
      <c r="J412">
        <v>20241126</v>
      </c>
      <c r="K412" t="s">
        <v>44</v>
      </c>
      <c r="L412" t="s">
        <v>815</v>
      </c>
      <c r="M412" t="s">
        <v>44</v>
      </c>
      <c r="N412" t="s">
        <v>44</v>
      </c>
      <c r="O412" t="s">
        <v>44</v>
      </c>
      <c r="P412" t="s">
        <v>427</v>
      </c>
      <c r="Q412" t="s">
        <v>815</v>
      </c>
      <c r="R412" t="s">
        <v>572</v>
      </c>
      <c r="S412" t="s">
        <v>28</v>
      </c>
    </row>
    <row r="413" spans="1:19" x14ac:dyDescent="0.25">
      <c r="A413" t="s">
        <v>593</v>
      </c>
      <c r="B413" t="s">
        <v>593</v>
      </c>
      <c r="C413">
        <v>8.2745265989999996</v>
      </c>
      <c r="D413" s="38">
        <v>45952</v>
      </c>
      <c r="E413" s="38">
        <v>46185</v>
      </c>
      <c r="F413">
        <v>18.026611926000001</v>
      </c>
      <c r="G413">
        <v>199.21466742600001</v>
      </c>
      <c r="H413">
        <v>100.3793</v>
      </c>
      <c r="I413" t="s">
        <v>198</v>
      </c>
      <c r="J413">
        <v>20240612</v>
      </c>
      <c r="K413" t="s">
        <v>24</v>
      </c>
      <c r="L413" t="s">
        <v>44</v>
      </c>
      <c r="M413" t="s">
        <v>44</v>
      </c>
      <c r="N413" t="s">
        <v>44</v>
      </c>
      <c r="O413" t="s">
        <v>44</v>
      </c>
      <c r="P413" t="s">
        <v>1606</v>
      </c>
      <c r="Q413" t="s">
        <v>24</v>
      </c>
      <c r="R413" t="s">
        <v>598</v>
      </c>
      <c r="S413" t="s">
        <v>24</v>
      </c>
    </row>
    <row r="414" spans="1:19" x14ac:dyDescent="0.25">
      <c r="A414" t="s">
        <v>783</v>
      </c>
      <c r="B414" t="s">
        <v>783</v>
      </c>
      <c r="C414">
        <v>8.8400926979999994</v>
      </c>
      <c r="D414" s="38">
        <v>45952</v>
      </c>
      <c r="E414" s="38">
        <v>46185</v>
      </c>
      <c r="F414">
        <v>12.02888422</v>
      </c>
      <c r="G414">
        <v>295.53740008699998</v>
      </c>
      <c r="H414">
        <v>100.2927</v>
      </c>
      <c r="I414" t="s">
        <v>198</v>
      </c>
      <c r="J414">
        <v>20240612</v>
      </c>
      <c r="K414" t="s">
        <v>777</v>
      </c>
      <c r="L414" t="s">
        <v>44</v>
      </c>
      <c r="M414" t="s">
        <v>44</v>
      </c>
      <c r="N414" t="s">
        <v>44</v>
      </c>
      <c r="O414" t="s">
        <v>44</v>
      </c>
      <c r="P414" t="s">
        <v>1606</v>
      </c>
      <c r="Q414" t="s">
        <v>777</v>
      </c>
      <c r="R414" t="s">
        <v>598</v>
      </c>
      <c r="S414" t="s">
        <v>28</v>
      </c>
    </row>
    <row r="415" spans="1:19" x14ac:dyDescent="0.25">
      <c r="A415" t="s">
        <v>601</v>
      </c>
      <c r="B415" t="s">
        <v>601</v>
      </c>
      <c r="C415">
        <v>8.0334814090000002</v>
      </c>
      <c r="D415" s="38">
        <v>45949</v>
      </c>
      <c r="E415" s="38">
        <v>46131</v>
      </c>
      <c r="F415">
        <v>17.915724614999998</v>
      </c>
      <c r="G415">
        <v>229.63817751600001</v>
      </c>
      <c r="H415">
        <v>100.6591</v>
      </c>
      <c r="I415" t="s">
        <v>198</v>
      </c>
      <c r="J415">
        <v>20240419</v>
      </c>
      <c r="K415" t="s">
        <v>24</v>
      </c>
      <c r="L415" t="s">
        <v>44</v>
      </c>
      <c r="M415" t="s">
        <v>44</v>
      </c>
      <c r="N415" t="s">
        <v>44</v>
      </c>
      <c r="O415" t="s">
        <v>44</v>
      </c>
      <c r="P415" t="s">
        <v>1606</v>
      </c>
      <c r="Q415" t="s">
        <v>24</v>
      </c>
      <c r="R415" t="s">
        <v>598</v>
      </c>
      <c r="S415" t="s">
        <v>24</v>
      </c>
    </row>
    <row r="416" spans="1:19" x14ac:dyDescent="0.25">
      <c r="A416" t="s">
        <v>785</v>
      </c>
      <c r="B416" t="s">
        <v>785</v>
      </c>
      <c r="C416">
        <v>8.6491277780000004</v>
      </c>
      <c r="D416" s="38">
        <v>45949</v>
      </c>
      <c r="E416" s="38">
        <v>46131</v>
      </c>
      <c r="F416">
        <v>11.909558123</v>
      </c>
      <c r="G416">
        <v>326.44972183900001</v>
      </c>
      <c r="H416">
        <v>100.8783</v>
      </c>
      <c r="I416" t="s">
        <v>198</v>
      </c>
      <c r="J416">
        <v>20240419</v>
      </c>
      <c r="K416" t="s">
        <v>777</v>
      </c>
      <c r="L416" t="s">
        <v>44</v>
      </c>
      <c r="M416" t="s">
        <v>44</v>
      </c>
      <c r="N416" t="s">
        <v>44</v>
      </c>
      <c r="O416" t="s">
        <v>44</v>
      </c>
      <c r="P416" t="s">
        <v>1606</v>
      </c>
      <c r="Q416" t="s">
        <v>777</v>
      </c>
      <c r="R416" t="s">
        <v>598</v>
      </c>
      <c r="S416" t="s">
        <v>28</v>
      </c>
    </row>
    <row r="417" spans="1:19" x14ac:dyDescent="0.25">
      <c r="A417" t="s">
        <v>793</v>
      </c>
      <c r="B417" t="s">
        <v>793</v>
      </c>
      <c r="C417">
        <v>6.3388070499999998</v>
      </c>
      <c r="D417" s="38">
        <v>45945</v>
      </c>
      <c r="E417" s="38">
        <v>45214</v>
      </c>
      <c r="F417">
        <v>11.001291799000001</v>
      </c>
      <c r="G417">
        <v>373.36840535499999</v>
      </c>
      <c r="H417">
        <v>100.3862</v>
      </c>
      <c r="I417" t="s">
        <v>68</v>
      </c>
      <c r="J417">
        <v>20210930</v>
      </c>
      <c r="K417" t="s">
        <v>44</v>
      </c>
      <c r="L417" t="s">
        <v>44</v>
      </c>
      <c r="M417" t="s">
        <v>795</v>
      </c>
      <c r="N417" t="s">
        <v>44</v>
      </c>
      <c r="O417" t="s">
        <v>44</v>
      </c>
      <c r="P417" t="s">
        <v>413</v>
      </c>
      <c r="Q417" t="s">
        <v>795</v>
      </c>
      <c r="R417" t="s">
        <v>590</v>
      </c>
      <c r="S417" t="s">
        <v>28</v>
      </c>
    </row>
    <row r="418" spans="1:19" x14ac:dyDescent="0.25">
      <c r="A418" t="s">
        <v>604</v>
      </c>
      <c r="B418" t="s">
        <v>604</v>
      </c>
      <c r="C418">
        <v>8.1799956120000008</v>
      </c>
      <c r="D418" s="38">
        <v>45945</v>
      </c>
      <c r="E418" s="38">
        <v>46227</v>
      </c>
      <c r="F418">
        <v>19.104526775</v>
      </c>
      <c r="G418">
        <v>225.52068916600001</v>
      </c>
      <c r="H418">
        <v>100.61190000000001</v>
      </c>
      <c r="I418" t="s">
        <v>68</v>
      </c>
      <c r="J418">
        <v>20240724</v>
      </c>
      <c r="K418" t="s">
        <v>44</v>
      </c>
      <c r="L418" t="s">
        <v>44</v>
      </c>
      <c r="M418" t="s">
        <v>24</v>
      </c>
      <c r="N418" t="s">
        <v>44</v>
      </c>
      <c r="O418" t="s">
        <v>44</v>
      </c>
      <c r="P418" t="s">
        <v>413</v>
      </c>
      <c r="Q418" t="s">
        <v>24</v>
      </c>
      <c r="R418" t="s">
        <v>590</v>
      </c>
      <c r="S418" t="s">
        <v>24</v>
      </c>
    </row>
    <row r="419" spans="1:19" x14ac:dyDescent="0.25">
      <c r="A419" t="s">
        <v>787</v>
      </c>
      <c r="B419" t="s">
        <v>787</v>
      </c>
      <c r="C419">
        <v>8.8331148559999999</v>
      </c>
      <c r="D419" s="38">
        <v>45945</v>
      </c>
      <c r="E419" s="38">
        <v>46227</v>
      </c>
      <c r="F419">
        <v>12.342366475</v>
      </c>
      <c r="G419">
        <v>352.91022696300001</v>
      </c>
      <c r="H419">
        <v>100.78570000000001</v>
      </c>
      <c r="I419" t="s">
        <v>68</v>
      </c>
      <c r="J419">
        <v>20240724</v>
      </c>
      <c r="K419" t="s">
        <v>44</v>
      </c>
      <c r="L419" t="s">
        <v>44</v>
      </c>
      <c r="M419" t="s">
        <v>777</v>
      </c>
      <c r="N419" t="s">
        <v>44</v>
      </c>
      <c r="O419" t="s">
        <v>44</v>
      </c>
      <c r="P419" t="s">
        <v>413</v>
      </c>
      <c r="Q419" t="s">
        <v>777</v>
      </c>
      <c r="R419" t="s">
        <v>590</v>
      </c>
      <c r="S419" t="s">
        <v>28</v>
      </c>
    </row>
    <row r="420" spans="1:19" x14ac:dyDescent="0.25">
      <c r="A420" t="s">
        <v>789</v>
      </c>
      <c r="B420" t="s">
        <v>789</v>
      </c>
      <c r="C420">
        <v>8.7565212839999997</v>
      </c>
      <c r="D420" s="38">
        <v>45952</v>
      </c>
      <c r="E420" s="38">
        <v>46197</v>
      </c>
      <c r="F420">
        <v>12.440063252</v>
      </c>
      <c r="G420">
        <v>361.62832750899997</v>
      </c>
      <c r="H420">
        <v>100.8629</v>
      </c>
      <c r="I420" t="s">
        <v>68</v>
      </c>
      <c r="J420">
        <v>20240624</v>
      </c>
      <c r="K420" t="s">
        <v>44</v>
      </c>
      <c r="L420" t="s">
        <v>44</v>
      </c>
      <c r="M420" t="s">
        <v>777</v>
      </c>
      <c r="N420" t="s">
        <v>44</v>
      </c>
      <c r="O420" t="s">
        <v>44</v>
      </c>
      <c r="P420" t="s">
        <v>413</v>
      </c>
      <c r="Q420" t="s">
        <v>777</v>
      </c>
      <c r="R420" t="s">
        <v>590</v>
      </c>
      <c r="S420" t="s">
        <v>28</v>
      </c>
    </row>
    <row r="421" spans="1:19" x14ac:dyDescent="0.25">
      <c r="A421" t="s">
        <v>791</v>
      </c>
      <c r="B421" t="s">
        <v>791</v>
      </c>
      <c r="C421">
        <v>6.0237551800000002</v>
      </c>
      <c r="D421" s="38">
        <v>45945</v>
      </c>
      <c r="E421" s="38">
        <v>45015</v>
      </c>
      <c r="F421">
        <v>11.148696661000001</v>
      </c>
      <c r="G421">
        <v>362.96682313100001</v>
      </c>
      <c r="H421">
        <v>100.39100000000001</v>
      </c>
      <c r="I421" t="s">
        <v>199</v>
      </c>
      <c r="J421">
        <v>20210330</v>
      </c>
      <c r="K421" t="s">
        <v>777</v>
      </c>
      <c r="L421" t="s">
        <v>44</v>
      </c>
      <c r="M421" t="s">
        <v>44</v>
      </c>
      <c r="N421" t="s">
        <v>44</v>
      </c>
      <c r="O421" t="s">
        <v>44</v>
      </c>
      <c r="P421" t="s">
        <v>413</v>
      </c>
      <c r="Q421" t="s">
        <v>777</v>
      </c>
      <c r="R421" t="s">
        <v>598</v>
      </c>
      <c r="S421" t="s">
        <v>28</v>
      </c>
    </row>
    <row r="422" spans="1:19" x14ac:dyDescent="0.25">
      <c r="A422" t="s">
        <v>612</v>
      </c>
      <c r="B422" t="s">
        <v>612</v>
      </c>
      <c r="C422">
        <v>6.6005668120000003</v>
      </c>
      <c r="D422" s="38">
        <v>45950</v>
      </c>
      <c r="E422" s="38">
        <v>46018</v>
      </c>
      <c r="F422">
        <v>17.742725965999998</v>
      </c>
      <c r="G422">
        <v>178.505259239</v>
      </c>
      <c r="H422">
        <v>100.3578</v>
      </c>
      <c r="I422" t="s">
        <v>69</v>
      </c>
      <c r="J422">
        <v>20241227</v>
      </c>
      <c r="K422" t="s">
        <v>44</v>
      </c>
      <c r="L422" t="s">
        <v>44</v>
      </c>
      <c r="M422" t="s">
        <v>615</v>
      </c>
      <c r="N422" t="s">
        <v>44</v>
      </c>
      <c r="O422" t="s">
        <v>44</v>
      </c>
      <c r="P422" t="s">
        <v>240</v>
      </c>
      <c r="Q422" t="s">
        <v>615</v>
      </c>
      <c r="R422" t="s">
        <v>590</v>
      </c>
      <c r="S422" t="s">
        <v>24</v>
      </c>
    </row>
    <row r="423" spans="1:19" x14ac:dyDescent="0.25">
      <c r="A423" t="s">
        <v>801</v>
      </c>
      <c r="B423" t="s">
        <v>801</v>
      </c>
      <c r="C423">
        <v>7.0697700780000003</v>
      </c>
      <c r="D423" s="38">
        <v>45950</v>
      </c>
      <c r="E423" s="38">
        <v>46018</v>
      </c>
      <c r="F423">
        <v>11.723901036999999</v>
      </c>
      <c r="G423">
        <v>272.62172294800001</v>
      </c>
      <c r="H423">
        <v>100.12909999999999</v>
      </c>
      <c r="I423" t="s">
        <v>69</v>
      </c>
      <c r="J423">
        <v>20241227</v>
      </c>
      <c r="K423" t="s">
        <v>44</v>
      </c>
      <c r="L423" t="s">
        <v>44</v>
      </c>
      <c r="M423" t="s">
        <v>795</v>
      </c>
      <c r="N423" t="s">
        <v>44</v>
      </c>
      <c r="O423" t="s">
        <v>44</v>
      </c>
      <c r="P423" t="s">
        <v>240</v>
      </c>
      <c r="Q423" t="s">
        <v>795</v>
      </c>
      <c r="R423" t="s">
        <v>590</v>
      </c>
      <c r="S423" t="s">
        <v>28</v>
      </c>
    </row>
    <row r="424" spans="1:19" x14ac:dyDescent="0.25">
      <c r="A424" t="s">
        <v>803</v>
      </c>
      <c r="B424" t="s">
        <v>803</v>
      </c>
      <c r="C424">
        <v>4.6776646770000001</v>
      </c>
      <c r="D424" s="38">
        <v>45950</v>
      </c>
      <c r="E424" s="38">
        <v>45651</v>
      </c>
      <c r="F424">
        <v>12.038467710999999</v>
      </c>
      <c r="G424">
        <v>270.26455466599998</v>
      </c>
      <c r="H424">
        <v>100.1861</v>
      </c>
      <c r="I424" t="s">
        <v>200</v>
      </c>
      <c r="J424">
        <v>20240625</v>
      </c>
      <c r="K424" t="s">
        <v>777</v>
      </c>
      <c r="L424" t="s">
        <v>44</v>
      </c>
      <c r="M424" t="s">
        <v>44</v>
      </c>
      <c r="N424" t="s">
        <v>44</v>
      </c>
      <c r="O424" t="s">
        <v>44</v>
      </c>
      <c r="P424" t="s">
        <v>240</v>
      </c>
      <c r="Q424" t="s">
        <v>777</v>
      </c>
      <c r="R424" t="s">
        <v>598</v>
      </c>
      <c r="S424" t="s">
        <v>28</v>
      </c>
    </row>
    <row r="425" spans="1:19" x14ac:dyDescent="0.25">
      <c r="A425" t="s">
        <v>805</v>
      </c>
      <c r="B425" t="s">
        <v>805</v>
      </c>
      <c r="C425">
        <v>9.1320602490000002</v>
      </c>
      <c r="D425" s="38">
        <v>45950</v>
      </c>
      <c r="E425" s="38">
        <v>46316</v>
      </c>
      <c r="F425">
        <v>11.735818284</v>
      </c>
      <c r="G425">
        <v>295.82525389300002</v>
      </c>
      <c r="H425">
        <v>100.2803</v>
      </c>
      <c r="I425" t="s">
        <v>69</v>
      </c>
      <c r="J425">
        <v>20241021</v>
      </c>
      <c r="K425" t="s">
        <v>44</v>
      </c>
      <c r="L425" t="s">
        <v>44</v>
      </c>
      <c r="M425" t="s">
        <v>777</v>
      </c>
      <c r="N425" t="s">
        <v>44</v>
      </c>
      <c r="O425" t="s">
        <v>44</v>
      </c>
      <c r="P425" t="s">
        <v>240</v>
      </c>
      <c r="Q425" t="s">
        <v>777</v>
      </c>
      <c r="R425" t="s">
        <v>590</v>
      </c>
      <c r="S425" t="s">
        <v>28</v>
      </c>
    </row>
    <row r="426" spans="1:19" x14ac:dyDescent="0.25">
      <c r="A426" t="s">
        <v>811</v>
      </c>
      <c r="B426" t="s">
        <v>811</v>
      </c>
      <c r="C426">
        <v>9.6992957729999993</v>
      </c>
      <c r="D426" s="38">
        <v>45950</v>
      </c>
      <c r="E426" s="38">
        <v>46536</v>
      </c>
      <c r="F426">
        <v>11.764292093</v>
      </c>
      <c r="G426">
        <v>345.64255368200003</v>
      </c>
      <c r="H426">
        <v>100.2848</v>
      </c>
      <c r="I426" t="s">
        <v>69</v>
      </c>
      <c r="J426">
        <v>20250529</v>
      </c>
      <c r="K426" t="s">
        <v>44</v>
      </c>
      <c r="L426" t="s">
        <v>44</v>
      </c>
      <c r="M426" t="s">
        <v>777</v>
      </c>
      <c r="N426" t="s">
        <v>44</v>
      </c>
      <c r="O426" t="s">
        <v>44</v>
      </c>
      <c r="P426" t="s">
        <v>240</v>
      </c>
      <c r="Q426" t="s">
        <v>777</v>
      </c>
      <c r="R426" t="s">
        <v>590</v>
      </c>
      <c r="S426" t="s">
        <v>28</v>
      </c>
    </row>
    <row r="427" spans="1:19" x14ac:dyDescent="0.25">
      <c r="A427" t="s">
        <v>616</v>
      </c>
      <c r="B427" t="s">
        <v>616</v>
      </c>
      <c r="C427">
        <v>8.7332148689999993</v>
      </c>
      <c r="D427" s="38">
        <v>45950</v>
      </c>
      <c r="E427" s="38">
        <v>46407</v>
      </c>
      <c r="F427">
        <v>18.016242340000002</v>
      </c>
      <c r="G427">
        <v>173.176592089</v>
      </c>
      <c r="H427">
        <v>100.1223</v>
      </c>
      <c r="I427" t="s">
        <v>69</v>
      </c>
      <c r="J427">
        <v>20250129</v>
      </c>
      <c r="K427" t="s">
        <v>44</v>
      </c>
      <c r="L427" t="s">
        <v>44</v>
      </c>
      <c r="M427" t="s">
        <v>615</v>
      </c>
      <c r="N427" t="s">
        <v>44</v>
      </c>
      <c r="O427" t="s">
        <v>44</v>
      </c>
      <c r="P427" t="s">
        <v>240</v>
      </c>
      <c r="Q427" t="s">
        <v>615</v>
      </c>
      <c r="R427" t="s">
        <v>590</v>
      </c>
      <c r="S427" t="s">
        <v>24</v>
      </c>
    </row>
    <row r="428" spans="1:19" x14ac:dyDescent="0.25">
      <c r="A428" t="s">
        <v>809</v>
      </c>
      <c r="B428" t="s">
        <v>809</v>
      </c>
      <c r="C428">
        <v>9.254495082</v>
      </c>
      <c r="D428" s="38">
        <v>45950</v>
      </c>
      <c r="E428" s="38">
        <v>46407</v>
      </c>
      <c r="F428">
        <v>12.017430804</v>
      </c>
      <c r="G428">
        <v>256.21663535499999</v>
      </c>
      <c r="H428">
        <v>100.2611</v>
      </c>
      <c r="I428" t="s">
        <v>69</v>
      </c>
      <c r="J428">
        <v>20250129</v>
      </c>
      <c r="K428" t="s">
        <v>44</v>
      </c>
      <c r="L428" t="s">
        <v>44</v>
      </c>
      <c r="M428" t="s">
        <v>28</v>
      </c>
      <c r="N428" t="s">
        <v>44</v>
      </c>
      <c r="O428" t="s">
        <v>44</v>
      </c>
      <c r="P428" t="s">
        <v>240</v>
      </c>
      <c r="Q428" t="s">
        <v>28</v>
      </c>
      <c r="R428" t="s">
        <v>590</v>
      </c>
      <c r="S428" t="s">
        <v>28</v>
      </c>
    </row>
    <row r="429" spans="1:19" x14ac:dyDescent="0.25">
      <c r="A429" t="s">
        <v>807</v>
      </c>
      <c r="B429" t="s">
        <v>807</v>
      </c>
      <c r="C429">
        <v>9.0925476589999992</v>
      </c>
      <c r="D429" s="38">
        <v>45956</v>
      </c>
      <c r="E429" s="38">
        <v>46321</v>
      </c>
      <c r="F429">
        <v>11.810121729</v>
      </c>
      <c r="G429">
        <v>280.18418309800001</v>
      </c>
      <c r="H429">
        <v>100.32680000000001</v>
      </c>
      <c r="I429" t="s">
        <v>69</v>
      </c>
      <c r="J429">
        <v>20241028</v>
      </c>
      <c r="K429" t="s">
        <v>44</v>
      </c>
      <c r="L429" t="s">
        <v>44</v>
      </c>
      <c r="M429" t="s">
        <v>777</v>
      </c>
      <c r="N429" t="s">
        <v>44</v>
      </c>
      <c r="O429" t="s">
        <v>44</v>
      </c>
      <c r="P429" t="s">
        <v>240</v>
      </c>
      <c r="Q429" t="s">
        <v>777</v>
      </c>
      <c r="R429" t="s">
        <v>590</v>
      </c>
      <c r="S429" t="s">
        <v>28</v>
      </c>
    </row>
    <row r="430" spans="1:19" x14ac:dyDescent="0.25">
      <c r="A430" t="s">
        <v>621</v>
      </c>
      <c r="B430" t="s">
        <v>621</v>
      </c>
      <c r="C430">
        <v>8.7414526759999998</v>
      </c>
      <c r="D430" s="38">
        <v>45945</v>
      </c>
      <c r="E430" s="38">
        <v>46402</v>
      </c>
      <c r="F430">
        <v>18.025175648000001</v>
      </c>
      <c r="G430">
        <v>180.638801527</v>
      </c>
      <c r="H430">
        <v>100.3</v>
      </c>
      <c r="I430" t="s">
        <v>70</v>
      </c>
      <c r="J430">
        <v>20250115</v>
      </c>
      <c r="K430" t="s">
        <v>44</v>
      </c>
      <c r="L430" t="s">
        <v>44</v>
      </c>
      <c r="M430" t="s">
        <v>24</v>
      </c>
      <c r="N430" t="s">
        <v>44</v>
      </c>
      <c r="O430" t="s">
        <v>44</v>
      </c>
      <c r="P430" t="s">
        <v>427</v>
      </c>
      <c r="Q430" t="s">
        <v>24</v>
      </c>
      <c r="R430" t="s">
        <v>590</v>
      </c>
      <c r="S430" t="s">
        <v>24</v>
      </c>
    </row>
    <row r="431" spans="1:19" x14ac:dyDescent="0.25">
      <c r="A431" t="s">
        <v>838</v>
      </c>
      <c r="B431" t="s">
        <v>838</v>
      </c>
      <c r="C431">
        <v>9.2397407549999997</v>
      </c>
      <c r="D431" s="38">
        <v>45945</v>
      </c>
      <c r="E431" s="38">
        <v>46402</v>
      </c>
      <c r="F431">
        <v>12.027017768</v>
      </c>
      <c r="G431">
        <v>266.53895710699999</v>
      </c>
      <c r="H431">
        <v>100.94289999999999</v>
      </c>
      <c r="I431" t="s">
        <v>70</v>
      </c>
      <c r="J431">
        <v>20250115</v>
      </c>
      <c r="K431" t="s">
        <v>44</v>
      </c>
      <c r="L431" t="s">
        <v>44</v>
      </c>
      <c r="M431" t="s">
        <v>777</v>
      </c>
      <c r="N431" t="s">
        <v>44</v>
      </c>
      <c r="O431" t="s">
        <v>44</v>
      </c>
      <c r="P431" t="s">
        <v>427</v>
      </c>
      <c r="Q431" t="s">
        <v>777</v>
      </c>
      <c r="R431" t="s">
        <v>590</v>
      </c>
      <c r="S431" t="s">
        <v>28</v>
      </c>
    </row>
    <row r="432" spans="1:19" x14ac:dyDescent="0.25">
      <c r="A432" t="s">
        <v>832</v>
      </c>
      <c r="B432" t="s">
        <v>832</v>
      </c>
      <c r="C432">
        <v>7.9824591739999997</v>
      </c>
      <c r="D432" s="38">
        <v>45955</v>
      </c>
      <c r="E432" s="38">
        <v>45955</v>
      </c>
      <c r="F432">
        <v>12.286926706999999</v>
      </c>
      <c r="G432">
        <v>440.29024374300002</v>
      </c>
      <c r="H432">
        <v>100.5634</v>
      </c>
      <c r="I432" t="s">
        <v>196</v>
      </c>
      <c r="J432">
        <v>20231110</v>
      </c>
      <c r="K432" t="s">
        <v>44</v>
      </c>
      <c r="L432" t="s">
        <v>44</v>
      </c>
      <c r="M432" t="s">
        <v>28</v>
      </c>
      <c r="N432" t="s">
        <v>44</v>
      </c>
      <c r="O432" t="s">
        <v>44</v>
      </c>
      <c r="P432" t="s">
        <v>427</v>
      </c>
      <c r="Q432" t="s">
        <v>28</v>
      </c>
      <c r="R432" t="s">
        <v>590</v>
      </c>
      <c r="S432" t="s">
        <v>28</v>
      </c>
    </row>
    <row r="433" spans="1:19" x14ac:dyDescent="0.25">
      <c r="A433" t="s">
        <v>836</v>
      </c>
      <c r="B433" t="s">
        <v>836</v>
      </c>
      <c r="C433">
        <v>8.6684641829999993</v>
      </c>
      <c r="D433" s="38">
        <v>45945</v>
      </c>
      <c r="E433" s="38">
        <v>46096</v>
      </c>
      <c r="F433">
        <v>11.931603516999999</v>
      </c>
      <c r="G433">
        <v>351.19647409100003</v>
      </c>
      <c r="H433">
        <v>100.56310000000001</v>
      </c>
      <c r="I433" t="s">
        <v>70</v>
      </c>
      <c r="J433">
        <v>20240315</v>
      </c>
      <c r="K433" t="s">
        <v>44</v>
      </c>
      <c r="L433" t="s">
        <v>44</v>
      </c>
      <c r="M433" t="s">
        <v>777</v>
      </c>
      <c r="N433" t="s">
        <v>44</v>
      </c>
      <c r="O433" t="s">
        <v>44</v>
      </c>
      <c r="P433" t="s">
        <v>427</v>
      </c>
      <c r="Q433" t="s">
        <v>777</v>
      </c>
      <c r="R433" t="s">
        <v>590</v>
      </c>
      <c r="S433" t="s">
        <v>28</v>
      </c>
    </row>
    <row r="434" spans="1:19" x14ac:dyDescent="0.25">
      <c r="A434" t="s">
        <v>1407</v>
      </c>
      <c r="B434" t="s">
        <v>1407</v>
      </c>
      <c r="C434">
        <v>6.2107459030000003</v>
      </c>
      <c r="D434" s="38">
        <v>45952</v>
      </c>
      <c r="E434" s="38">
        <v>45975</v>
      </c>
      <c r="F434">
        <v>8.2700005319999992</v>
      </c>
      <c r="G434">
        <v>461.48249048999998</v>
      </c>
      <c r="H434">
        <v>98.941699999999997</v>
      </c>
      <c r="I434" t="s">
        <v>201</v>
      </c>
      <c r="J434">
        <v>20250214</v>
      </c>
      <c r="K434" t="s">
        <v>44</v>
      </c>
      <c r="L434" t="s">
        <v>1386</v>
      </c>
      <c r="M434" t="s">
        <v>44</v>
      </c>
      <c r="N434" t="s">
        <v>44</v>
      </c>
      <c r="O434" t="s">
        <v>44</v>
      </c>
      <c r="P434" t="s">
        <v>1408</v>
      </c>
      <c r="Q434" t="s">
        <v>1386</v>
      </c>
      <c r="R434" t="s">
        <v>572</v>
      </c>
      <c r="S434" t="s">
        <v>32</v>
      </c>
    </row>
    <row r="435" spans="1:19" x14ac:dyDescent="0.25">
      <c r="A435" t="s">
        <v>1405</v>
      </c>
      <c r="B435" t="s">
        <v>1405</v>
      </c>
      <c r="C435">
        <v>6.9013661749999997</v>
      </c>
      <c r="D435" s="38">
        <v>45950</v>
      </c>
      <c r="E435" s="38">
        <v>45402</v>
      </c>
      <c r="F435">
        <v>6.8025773000000003</v>
      </c>
      <c r="H435">
        <v>100.6848</v>
      </c>
      <c r="I435" t="s">
        <v>85</v>
      </c>
      <c r="J435">
        <v>20220321</v>
      </c>
      <c r="K435" t="s">
        <v>1363</v>
      </c>
      <c r="L435" t="s">
        <v>44</v>
      </c>
      <c r="M435" t="s">
        <v>44</v>
      </c>
      <c r="N435" t="s">
        <v>44</v>
      </c>
      <c r="O435" t="s">
        <v>44</v>
      </c>
      <c r="P435" t="s">
        <v>1607</v>
      </c>
      <c r="Q435" t="s">
        <v>1363</v>
      </c>
      <c r="R435" t="s">
        <v>598</v>
      </c>
      <c r="S435" t="s">
        <v>32</v>
      </c>
    </row>
    <row r="436" spans="1:19" x14ac:dyDescent="0.25">
      <c r="A436" t="s">
        <v>1410</v>
      </c>
      <c r="B436" t="s">
        <v>1410</v>
      </c>
      <c r="C436">
        <v>6.1085949670000002</v>
      </c>
      <c r="D436" s="38">
        <v>45950</v>
      </c>
      <c r="E436" s="38">
        <v>46060</v>
      </c>
      <c r="F436">
        <v>7.2192302110000002</v>
      </c>
      <c r="G436">
        <v>479.29328309599998</v>
      </c>
      <c r="H436">
        <v>98.584900000000005</v>
      </c>
      <c r="I436" t="s">
        <v>202</v>
      </c>
      <c r="J436">
        <v>20250207</v>
      </c>
      <c r="K436" t="s">
        <v>1363</v>
      </c>
      <c r="L436" t="s">
        <v>44</v>
      </c>
      <c r="M436" t="s">
        <v>44</v>
      </c>
      <c r="N436" t="s">
        <v>44</v>
      </c>
      <c r="O436" t="s">
        <v>44</v>
      </c>
      <c r="P436" t="s">
        <v>283</v>
      </c>
      <c r="Q436" t="s">
        <v>1363</v>
      </c>
      <c r="R436" t="s">
        <v>598</v>
      </c>
      <c r="S436" t="s">
        <v>32</v>
      </c>
    </row>
    <row r="437" spans="1:19" x14ac:dyDescent="0.25">
      <c r="A437" t="s">
        <v>1412</v>
      </c>
      <c r="B437" t="s">
        <v>1412</v>
      </c>
      <c r="C437">
        <v>8.5456958170000004</v>
      </c>
      <c r="D437" s="38">
        <v>45950</v>
      </c>
      <c r="E437" s="38">
        <v>45950</v>
      </c>
      <c r="F437">
        <v>8.2379013249999993</v>
      </c>
      <c r="G437">
        <v>636.83926997200001</v>
      </c>
      <c r="H437">
        <v>100.7403</v>
      </c>
      <c r="I437" t="s">
        <v>94</v>
      </c>
      <c r="J437">
        <v>20230914</v>
      </c>
      <c r="K437" t="s">
        <v>44</v>
      </c>
      <c r="L437" t="s">
        <v>44</v>
      </c>
      <c r="M437" t="s">
        <v>1363</v>
      </c>
      <c r="N437" t="s">
        <v>44</v>
      </c>
      <c r="O437" t="s">
        <v>44</v>
      </c>
      <c r="P437" t="s">
        <v>283</v>
      </c>
      <c r="Q437" t="s">
        <v>1363</v>
      </c>
      <c r="R437" t="s">
        <v>590</v>
      </c>
      <c r="S437" t="s">
        <v>32</v>
      </c>
    </row>
    <row r="438" spans="1:19" x14ac:dyDescent="0.25">
      <c r="A438" t="s">
        <v>1414</v>
      </c>
      <c r="B438" t="s">
        <v>1414</v>
      </c>
      <c r="C438">
        <v>6.8361607070000003</v>
      </c>
      <c r="D438" s="38">
        <v>45953</v>
      </c>
      <c r="E438" s="38">
        <v>45283</v>
      </c>
      <c r="F438">
        <v>6.7663357309999999</v>
      </c>
      <c r="H438">
        <v>100.005</v>
      </c>
      <c r="I438" t="s">
        <v>105</v>
      </c>
      <c r="J438">
        <v>20211223</v>
      </c>
      <c r="K438" t="s">
        <v>44</v>
      </c>
      <c r="L438" t="s">
        <v>1386</v>
      </c>
      <c r="M438" t="s">
        <v>44</v>
      </c>
      <c r="N438" t="s">
        <v>44</v>
      </c>
      <c r="O438" t="s">
        <v>44</v>
      </c>
      <c r="P438" t="s">
        <v>292</v>
      </c>
      <c r="Q438" t="s">
        <v>1386</v>
      </c>
      <c r="R438" t="s">
        <v>572</v>
      </c>
      <c r="S438" t="s">
        <v>32</v>
      </c>
    </row>
    <row r="439" spans="1:19" x14ac:dyDescent="0.25">
      <c r="A439" t="s">
        <v>1420</v>
      </c>
      <c r="B439" t="s">
        <v>1420</v>
      </c>
      <c r="C439">
        <v>6.4809548530000001</v>
      </c>
      <c r="D439" s="38">
        <v>45950</v>
      </c>
      <c r="E439" s="38">
        <v>45080</v>
      </c>
      <c r="F439">
        <v>6.471196516</v>
      </c>
      <c r="G439">
        <v>710.97768060099997</v>
      </c>
      <c r="H439">
        <v>98.867199999999997</v>
      </c>
      <c r="I439" t="s">
        <v>121</v>
      </c>
      <c r="J439">
        <v>20210603</v>
      </c>
      <c r="K439" t="s">
        <v>1363</v>
      </c>
      <c r="L439" t="s">
        <v>44</v>
      </c>
      <c r="M439" t="s">
        <v>44</v>
      </c>
      <c r="N439" t="s">
        <v>44</v>
      </c>
      <c r="O439" t="s">
        <v>44</v>
      </c>
      <c r="P439" t="s">
        <v>506</v>
      </c>
      <c r="Q439" t="s">
        <v>1363</v>
      </c>
      <c r="R439" t="s">
        <v>598</v>
      </c>
      <c r="S439" t="s">
        <v>32</v>
      </c>
    </row>
    <row r="440" spans="1:19" x14ac:dyDescent="0.25">
      <c r="A440" t="s">
        <v>1424</v>
      </c>
      <c r="B440" t="s">
        <v>1424</v>
      </c>
      <c r="C440">
        <v>6.6193589729999998</v>
      </c>
      <c r="D440" s="38">
        <v>45945</v>
      </c>
      <c r="E440" s="38">
        <v>45214</v>
      </c>
      <c r="F440">
        <v>6.0889083169999996</v>
      </c>
      <c r="G440">
        <v>797.56040654100002</v>
      </c>
      <c r="H440">
        <v>97.968500000000006</v>
      </c>
      <c r="I440" t="s">
        <v>121</v>
      </c>
      <c r="J440">
        <v>20211102</v>
      </c>
      <c r="K440" t="s">
        <v>44</v>
      </c>
      <c r="L440" t="s">
        <v>1386</v>
      </c>
      <c r="M440" t="s">
        <v>44</v>
      </c>
      <c r="N440" t="s">
        <v>44</v>
      </c>
      <c r="O440" t="s">
        <v>44</v>
      </c>
      <c r="P440" t="s">
        <v>506</v>
      </c>
      <c r="Q440" t="s">
        <v>1386</v>
      </c>
      <c r="R440" t="s">
        <v>572</v>
      </c>
      <c r="S440" t="s">
        <v>32</v>
      </c>
    </row>
    <row r="441" spans="1:19" x14ac:dyDescent="0.25">
      <c r="A441" t="s">
        <v>1418</v>
      </c>
      <c r="B441" t="s">
        <v>1418</v>
      </c>
      <c r="C441">
        <v>7.0719032500000001</v>
      </c>
      <c r="D441" s="38">
        <v>45945</v>
      </c>
      <c r="E441" s="38">
        <v>45376</v>
      </c>
      <c r="F441">
        <v>6.0040804679999997</v>
      </c>
      <c r="G441">
        <v>749.59787362500003</v>
      </c>
      <c r="H441">
        <v>96.074299999999994</v>
      </c>
      <c r="I441" t="s">
        <v>121</v>
      </c>
      <c r="J441">
        <v>20220325</v>
      </c>
      <c r="K441" t="s">
        <v>44</v>
      </c>
      <c r="L441" t="s">
        <v>1386</v>
      </c>
      <c r="M441" t="s">
        <v>44</v>
      </c>
      <c r="N441" t="s">
        <v>44</v>
      </c>
      <c r="O441" t="s">
        <v>44</v>
      </c>
      <c r="P441" t="s">
        <v>506</v>
      </c>
      <c r="Q441" t="s">
        <v>1386</v>
      </c>
      <c r="R441" t="s">
        <v>572</v>
      </c>
      <c r="S441" t="s">
        <v>32</v>
      </c>
    </row>
    <row r="442" spans="1:19" x14ac:dyDescent="0.25">
      <c r="A442" t="s">
        <v>1422</v>
      </c>
      <c r="B442" t="s">
        <v>1422</v>
      </c>
      <c r="C442">
        <v>9.7758091189999998</v>
      </c>
      <c r="D442" s="38">
        <v>45950</v>
      </c>
      <c r="E442" s="38">
        <v>46407</v>
      </c>
      <c r="F442">
        <v>7.7478047029999999</v>
      </c>
      <c r="G442">
        <v>571.22006424100005</v>
      </c>
      <c r="H442">
        <v>94.75</v>
      </c>
      <c r="I442" t="s">
        <v>121</v>
      </c>
      <c r="J442">
        <v>20250214</v>
      </c>
      <c r="K442" t="s">
        <v>1363</v>
      </c>
      <c r="L442" t="s">
        <v>44</v>
      </c>
      <c r="M442" t="s">
        <v>44</v>
      </c>
      <c r="N442" t="s">
        <v>44</v>
      </c>
      <c r="O442" t="s">
        <v>44</v>
      </c>
      <c r="P442" t="s">
        <v>506</v>
      </c>
      <c r="Q442" t="s">
        <v>1363</v>
      </c>
      <c r="R442" t="s">
        <v>598</v>
      </c>
      <c r="S442" t="s">
        <v>32</v>
      </c>
    </row>
    <row r="443" spans="1:19" x14ac:dyDescent="0.25">
      <c r="A443" t="s">
        <v>1474</v>
      </c>
      <c r="B443" t="s">
        <v>1474</v>
      </c>
      <c r="C443">
        <v>4.218523362</v>
      </c>
      <c r="D443" s="38">
        <v>45945</v>
      </c>
      <c r="E443" s="38">
        <v>45031</v>
      </c>
      <c r="F443">
        <v>10.123630137999999</v>
      </c>
      <c r="G443">
        <v>949.88684991100001</v>
      </c>
      <c r="H443">
        <v>102.1258</v>
      </c>
      <c r="I443" t="s">
        <v>154</v>
      </c>
      <c r="J443">
        <v>20210526</v>
      </c>
      <c r="K443" t="s">
        <v>44</v>
      </c>
      <c r="L443" t="s">
        <v>1473</v>
      </c>
      <c r="M443" t="s">
        <v>44</v>
      </c>
      <c r="N443" t="s">
        <v>44</v>
      </c>
      <c r="O443" t="s">
        <v>44</v>
      </c>
      <c r="P443" t="s">
        <v>1579</v>
      </c>
      <c r="Q443" t="s">
        <v>1473</v>
      </c>
      <c r="R443" t="s">
        <v>572</v>
      </c>
      <c r="S443" t="s">
        <v>36</v>
      </c>
    </row>
    <row r="444" spans="1:19" x14ac:dyDescent="0.25">
      <c r="A444" t="s">
        <v>816</v>
      </c>
      <c r="B444" t="s">
        <v>816</v>
      </c>
      <c r="C444">
        <v>5.1649049729999996</v>
      </c>
      <c r="D444" s="38">
        <v>45947</v>
      </c>
      <c r="E444" s="38">
        <v>45764</v>
      </c>
      <c r="F444">
        <v>10.381565534</v>
      </c>
      <c r="G444">
        <v>332.84788634300003</v>
      </c>
      <c r="H444">
        <v>100.1378</v>
      </c>
      <c r="I444" t="s">
        <v>70</v>
      </c>
      <c r="J444">
        <v>20200320</v>
      </c>
      <c r="K444" t="s">
        <v>777</v>
      </c>
      <c r="L444" t="s">
        <v>44</v>
      </c>
      <c r="M444" t="s">
        <v>44</v>
      </c>
      <c r="N444" t="s">
        <v>44</v>
      </c>
      <c r="O444" t="s">
        <v>44</v>
      </c>
      <c r="P444" t="s">
        <v>427</v>
      </c>
      <c r="Q444" t="s">
        <v>777</v>
      </c>
      <c r="R444" t="s">
        <v>598</v>
      </c>
      <c r="S444" t="s">
        <v>28</v>
      </c>
    </row>
    <row r="445" spans="1:19" x14ac:dyDescent="0.25">
      <c r="A445" t="s">
        <v>820</v>
      </c>
      <c r="B445" t="s">
        <v>820</v>
      </c>
      <c r="C445">
        <v>5.7848788879999997</v>
      </c>
      <c r="D445" s="38">
        <v>45945</v>
      </c>
      <c r="E445" s="38">
        <v>45031</v>
      </c>
      <c r="F445">
        <v>12.015698607999999</v>
      </c>
      <c r="H445">
        <v>100.005</v>
      </c>
      <c r="I445" t="s">
        <v>70</v>
      </c>
      <c r="J445">
        <v>20210429</v>
      </c>
      <c r="K445" t="s">
        <v>777</v>
      </c>
      <c r="L445" t="s">
        <v>44</v>
      </c>
      <c r="M445" t="s">
        <v>44</v>
      </c>
      <c r="N445" t="s">
        <v>44</v>
      </c>
      <c r="O445" t="s">
        <v>44</v>
      </c>
      <c r="P445" t="s">
        <v>427</v>
      </c>
      <c r="Q445" t="s">
        <v>777</v>
      </c>
      <c r="R445" t="s">
        <v>598</v>
      </c>
      <c r="S445" t="s">
        <v>28</v>
      </c>
    </row>
    <row r="446" spans="1:19" x14ac:dyDescent="0.25">
      <c r="A446" t="s">
        <v>818</v>
      </c>
      <c r="B446" t="s">
        <v>818</v>
      </c>
      <c r="C446">
        <v>9.246522637</v>
      </c>
      <c r="D446" s="38">
        <v>45945</v>
      </c>
      <c r="E446" s="38">
        <v>46402</v>
      </c>
      <c r="F446">
        <v>12.664802861</v>
      </c>
      <c r="G446">
        <v>286.215967842</v>
      </c>
      <c r="H446">
        <v>100.95740000000001</v>
      </c>
      <c r="I446" t="s">
        <v>70</v>
      </c>
      <c r="J446">
        <v>20241212</v>
      </c>
      <c r="K446" t="s">
        <v>44</v>
      </c>
      <c r="L446" t="s">
        <v>44</v>
      </c>
      <c r="M446" t="s">
        <v>777</v>
      </c>
      <c r="N446" t="s">
        <v>44</v>
      </c>
      <c r="O446" t="s">
        <v>44</v>
      </c>
      <c r="P446" t="s">
        <v>427</v>
      </c>
      <c r="Q446" t="s">
        <v>777</v>
      </c>
      <c r="R446" t="s">
        <v>590</v>
      </c>
      <c r="S446" t="s">
        <v>28</v>
      </c>
    </row>
    <row r="447" spans="1:19" x14ac:dyDescent="0.25">
      <c r="A447" t="s">
        <v>826</v>
      </c>
      <c r="B447" t="s">
        <v>826</v>
      </c>
      <c r="C447">
        <v>5.8614029460000001</v>
      </c>
      <c r="D447" s="38">
        <v>45955</v>
      </c>
      <c r="E447" s="38">
        <v>45041</v>
      </c>
      <c r="F447">
        <v>11.048598092000001</v>
      </c>
      <c r="G447">
        <v>332.193811251</v>
      </c>
      <c r="H447">
        <v>100.42149999999999</v>
      </c>
      <c r="I447" t="s">
        <v>70</v>
      </c>
      <c r="J447">
        <v>20210415</v>
      </c>
      <c r="K447" t="s">
        <v>777</v>
      </c>
      <c r="L447" t="s">
        <v>44</v>
      </c>
      <c r="M447" t="s">
        <v>44</v>
      </c>
      <c r="N447" t="s">
        <v>44</v>
      </c>
      <c r="O447" t="s">
        <v>44</v>
      </c>
      <c r="P447" t="s">
        <v>427</v>
      </c>
      <c r="Q447" t="s">
        <v>777</v>
      </c>
      <c r="R447" t="s">
        <v>598</v>
      </c>
      <c r="S447" t="s">
        <v>28</v>
      </c>
    </row>
    <row r="448" spans="1:19" x14ac:dyDescent="0.25">
      <c r="A448" t="s">
        <v>824</v>
      </c>
      <c r="B448" t="s">
        <v>824</v>
      </c>
      <c r="C448">
        <v>9.2682575049999993</v>
      </c>
      <c r="D448" s="38">
        <v>45955</v>
      </c>
      <c r="E448" s="38">
        <v>46412</v>
      </c>
      <c r="F448">
        <v>12.419289269</v>
      </c>
      <c r="G448">
        <v>279.52014735099999</v>
      </c>
      <c r="H448">
        <v>100.3777</v>
      </c>
      <c r="I448" t="s">
        <v>70</v>
      </c>
      <c r="J448">
        <v>20250127</v>
      </c>
      <c r="K448" t="s">
        <v>44</v>
      </c>
      <c r="L448" t="s">
        <v>44</v>
      </c>
      <c r="M448" t="s">
        <v>777</v>
      </c>
      <c r="N448" t="s">
        <v>44</v>
      </c>
      <c r="O448" t="s">
        <v>44</v>
      </c>
      <c r="P448" t="s">
        <v>427</v>
      </c>
      <c r="Q448" t="s">
        <v>777</v>
      </c>
      <c r="R448" t="s">
        <v>590</v>
      </c>
      <c r="S448" t="s">
        <v>28</v>
      </c>
    </row>
    <row r="449" spans="1:19" x14ac:dyDescent="0.25">
      <c r="A449" t="s">
        <v>828</v>
      </c>
      <c r="B449" t="s">
        <v>828</v>
      </c>
      <c r="C449">
        <v>8.6960655219999996</v>
      </c>
      <c r="D449" s="38">
        <v>45950</v>
      </c>
      <c r="E449" s="38">
        <v>46132</v>
      </c>
      <c r="F449">
        <v>11.675918960000001</v>
      </c>
      <c r="G449">
        <v>376.67665521700002</v>
      </c>
      <c r="H449">
        <v>100.8493</v>
      </c>
      <c r="I449" t="s">
        <v>70</v>
      </c>
      <c r="J449">
        <v>20240415</v>
      </c>
      <c r="K449" t="s">
        <v>777</v>
      </c>
      <c r="L449" t="s">
        <v>44</v>
      </c>
      <c r="M449" t="s">
        <v>44</v>
      </c>
      <c r="N449" t="s">
        <v>44</v>
      </c>
      <c r="O449" t="s">
        <v>44</v>
      </c>
      <c r="P449" t="s">
        <v>427</v>
      </c>
      <c r="Q449" t="s">
        <v>777</v>
      </c>
      <c r="R449" t="s">
        <v>598</v>
      </c>
      <c r="S449" t="s">
        <v>28</v>
      </c>
    </row>
    <row r="450" spans="1:19" x14ac:dyDescent="0.25">
      <c r="A450" t="s">
        <v>822</v>
      </c>
      <c r="B450" t="s">
        <v>822</v>
      </c>
      <c r="C450">
        <v>8.6515573440000004</v>
      </c>
      <c r="D450" s="38">
        <v>45945</v>
      </c>
      <c r="E450" s="38">
        <v>46310</v>
      </c>
      <c r="F450">
        <v>12.538363794</v>
      </c>
      <c r="G450">
        <v>302.22790723100002</v>
      </c>
      <c r="H450">
        <v>100.83710000000001</v>
      </c>
      <c r="I450" t="s">
        <v>70</v>
      </c>
      <c r="J450">
        <v>20241114</v>
      </c>
      <c r="K450" t="s">
        <v>44</v>
      </c>
      <c r="L450" t="s">
        <v>44</v>
      </c>
      <c r="M450" t="s">
        <v>777</v>
      </c>
      <c r="N450" t="s">
        <v>44</v>
      </c>
      <c r="O450" t="s">
        <v>44</v>
      </c>
      <c r="P450" t="s">
        <v>427</v>
      </c>
      <c r="Q450" t="s">
        <v>777</v>
      </c>
      <c r="R450" t="s">
        <v>590</v>
      </c>
      <c r="S450" t="s">
        <v>28</v>
      </c>
    </row>
    <row r="451" spans="1:19" x14ac:dyDescent="0.25">
      <c r="A451" t="s">
        <v>830</v>
      </c>
      <c r="B451" t="s">
        <v>830</v>
      </c>
      <c r="C451">
        <v>7.6701939509999999</v>
      </c>
      <c r="D451" s="38">
        <v>45955</v>
      </c>
      <c r="E451" s="38">
        <v>45892</v>
      </c>
      <c r="F451">
        <v>12.350789731000001</v>
      </c>
      <c r="G451">
        <v>485.99715747699997</v>
      </c>
      <c r="H451">
        <v>100.77930000000001</v>
      </c>
      <c r="I451" t="s">
        <v>70</v>
      </c>
      <c r="J451">
        <v>20230823</v>
      </c>
      <c r="K451" t="s">
        <v>44</v>
      </c>
      <c r="L451" t="s">
        <v>44</v>
      </c>
      <c r="M451" t="s">
        <v>777</v>
      </c>
      <c r="N451" t="s">
        <v>44</v>
      </c>
      <c r="O451" t="s">
        <v>44</v>
      </c>
      <c r="P451" t="s">
        <v>427</v>
      </c>
      <c r="Q451" t="s">
        <v>777</v>
      </c>
      <c r="R451" t="s">
        <v>590</v>
      </c>
      <c r="S451" t="s">
        <v>28</v>
      </c>
    </row>
    <row r="452" spans="1:19" x14ac:dyDescent="0.25">
      <c r="A452" t="s">
        <v>618</v>
      </c>
      <c r="B452" t="s">
        <v>618</v>
      </c>
      <c r="C452">
        <v>7.3271128210000001</v>
      </c>
      <c r="D452" s="38">
        <v>45945</v>
      </c>
      <c r="E452" s="38">
        <v>45945</v>
      </c>
      <c r="F452">
        <v>18.667793511999999</v>
      </c>
      <c r="G452">
        <v>300.137485529</v>
      </c>
      <c r="H452">
        <v>100.5684</v>
      </c>
      <c r="I452" t="s">
        <v>70</v>
      </c>
      <c r="J452">
        <v>20231117</v>
      </c>
      <c r="K452" t="s">
        <v>44</v>
      </c>
      <c r="L452" t="s">
        <v>44</v>
      </c>
      <c r="M452" t="s">
        <v>24</v>
      </c>
      <c r="N452" t="s">
        <v>44</v>
      </c>
      <c r="O452" t="s">
        <v>44</v>
      </c>
      <c r="P452" t="s">
        <v>427</v>
      </c>
      <c r="Q452" t="s">
        <v>24</v>
      </c>
      <c r="R452" t="s">
        <v>590</v>
      </c>
      <c r="S452" t="s">
        <v>24</v>
      </c>
    </row>
    <row r="453" spans="1:19" x14ac:dyDescent="0.25">
      <c r="A453" t="s">
        <v>834</v>
      </c>
      <c r="B453" t="s">
        <v>834</v>
      </c>
      <c r="C453">
        <v>7.9490822019999996</v>
      </c>
      <c r="D453" s="38">
        <v>45945</v>
      </c>
      <c r="E453" s="38">
        <v>45945</v>
      </c>
      <c r="F453">
        <v>12.276510721999999</v>
      </c>
      <c r="G453">
        <v>453.36464827100002</v>
      </c>
      <c r="H453">
        <v>100.8484</v>
      </c>
      <c r="I453" t="s">
        <v>70</v>
      </c>
      <c r="J453">
        <v>20231117</v>
      </c>
      <c r="K453" t="s">
        <v>44</v>
      </c>
      <c r="L453" t="s">
        <v>44</v>
      </c>
      <c r="M453" t="s">
        <v>777</v>
      </c>
      <c r="N453" t="s">
        <v>44</v>
      </c>
      <c r="O453" t="s">
        <v>44</v>
      </c>
      <c r="P453" t="s">
        <v>427</v>
      </c>
      <c r="Q453" t="s">
        <v>777</v>
      </c>
      <c r="R453" t="s">
        <v>590</v>
      </c>
      <c r="S453" t="s">
        <v>28</v>
      </c>
    </row>
    <row r="454" spans="1:19" x14ac:dyDescent="0.25">
      <c r="A454" t="s">
        <v>867</v>
      </c>
      <c r="B454" t="s">
        <v>867</v>
      </c>
      <c r="C454">
        <v>7.751804023</v>
      </c>
      <c r="D454" s="38">
        <v>45950</v>
      </c>
      <c r="E454" s="38">
        <v>45950</v>
      </c>
      <c r="F454">
        <v>11.482027244999999</v>
      </c>
      <c r="G454">
        <v>459.111432052</v>
      </c>
      <c r="H454">
        <v>100.90260000000001</v>
      </c>
      <c r="I454" t="s">
        <v>203</v>
      </c>
      <c r="J454">
        <v>20231020</v>
      </c>
      <c r="K454" t="s">
        <v>44</v>
      </c>
      <c r="L454" t="s">
        <v>44</v>
      </c>
      <c r="M454" t="s">
        <v>28</v>
      </c>
      <c r="N454" t="s">
        <v>44</v>
      </c>
      <c r="O454" t="s">
        <v>44</v>
      </c>
      <c r="P454" t="s">
        <v>252</v>
      </c>
      <c r="Q454" t="s">
        <v>28</v>
      </c>
      <c r="R454" t="s">
        <v>590</v>
      </c>
      <c r="S454" t="s">
        <v>28</v>
      </c>
    </row>
    <row r="455" spans="1:19" x14ac:dyDescent="0.25">
      <c r="A455" t="s">
        <v>874</v>
      </c>
      <c r="B455" t="s">
        <v>874</v>
      </c>
      <c r="C455">
        <v>6.7290495960000003</v>
      </c>
      <c r="D455" s="38">
        <v>45947</v>
      </c>
      <c r="E455" s="38">
        <v>46220</v>
      </c>
      <c r="F455">
        <v>9.7439892960000005</v>
      </c>
      <c r="G455">
        <v>358.20870172799999</v>
      </c>
      <c r="H455">
        <v>100.62260000000001</v>
      </c>
      <c r="I455" t="s">
        <v>74</v>
      </c>
      <c r="J455">
        <v>20220531</v>
      </c>
      <c r="K455" t="s">
        <v>44</v>
      </c>
      <c r="L455" t="s">
        <v>44</v>
      </c>
      <c r="M455" t="s">
        <v>777</v>
      </c>
      <c r="N455" t="s">
        <v>44</v>
      </c>
      <c r="O455" t="s">
        <v>44</v>
      </c>
      <c r="P455" t="s">
        <v>252</v>
      </c>
      <c r="Q455" t="s">
        <v>777</v>
      </c>
      <c r="R455" t="s">
        <v>590</v>
      </c>
      <c r="S455" t="s">
        <v>28</v>
      </c>
    </row>
    <row r="456" spans="1:19" x14ac:dyDescent="0.25">
      <c r="A456" t="s">
        <v>870</v>
      </c>
      <c r="B456" t="s">
        <v>870</v>
      </c>
      <c r="C456">
        <v>6.1968193359999999</v>
      </c>
      <c r="D456" s="38">
        <v>45951</v>
      </c>
      <c r="E456" s="38">
        <v>46004</v>
      </c>
      <c r="F456">
        <v>10.319951941999999</v>
      </c>
      <c r="G456">
        <v>295.95036360300003</v>
      </c>
      <c r="H456">
        <v>99.942999999999998</v>
      </c>
      <c r="I456" t="s">
        <v>203</v>
      </c>
      <c r="J456">
        <v>20241213</v>
      </c>
      <c r="K456" t="s">
        <v>44</v>
      </c>
      <c r="L456" t="s">
        <v>815</v>
      </c>
      <c r="M456" t="s">
        <v>44</v>
      </c>
      <c r="N456" t="s">
        <v>44</v>
      </c>
      <c r="O456" t="s">
        <v>44</v>
      </c>
      <c r="P456" t="s">
        <v>252</v>
      </c>
      <c r="Q456" t="s">
        <v>815</v>
      </c>
      <c r="R456" t="s">
        <v>572</v>
      </c>
      <c r="S456" t="s">
        <v>28</v>
      </c>
    </row>
    <row r="457" spans="1:19" x14ac:dyDescent="0.25">
      <c r="A457" t="s">
        <v>872</v>
      </c>
      <c r="B457" t="s">
        <v>872</v>
      </c>
      <c r="C457">
        <v>6.5558587199999998</v>
      </c>
      <c r="D457" s="38">
        <v>45948</v>
      </c>
      <c r="E457" s="38">
        <v>45400</v>
      </c>
      <c r="F457">
        <v>8.9713750070000007</v>
      </c>
      <c r="G457">
        <v>348.93520751300002</v>
      </c>
      <c r="H457">
        <v>98.464600000000004</v>
      </c>
      <c r="I457" t="s">
        <v>204</v>
      </c>
      <c r="J457">
        <v>20220317</v>
      </c>
      <c r="K457" t="s">
        <v>777</v>
      </c>
      <c r="L457" t="s">
        <v>44</v>
      </c>
      <c r="M457" t="s">
        <v>44</v>
      </c>
      <c r="N457" t="s">
        <v>44</v>
      </c>
      <c r="O457" t="s">
        <v>44</v>
      </c>
      <c r="P457" t="s">
        <v>252</v>
      </c>
      <c r="Q457" t="s">
        <v>777</v>
      </c>
      <c r="R457" t="s">
        <v>598</v>
      </c>
      <c r="S457" t="s">
        <v>28</v>
      </c>
    </row>
    <row r="458" spans="1:19" x14ac:dyDescent="0.25">
      <c r="A458" t="s">
        <v>877</v>
      </c>
      <c r="B458" t="s">
        <v>877</v>
      </c>
      <c r="C458">
        <v>8.0449414650000008</v>
      </c>
      <c r="D458" s="38">
        <v>45951</v>
      </c>
      <c r="E458" s="38">
        <v>45951</v>
      </c>
      <c r="F458">
        <v>11.828150875</v>
      </c>
      <c r="G458">
        <v>490.905803322</v>
      </c>
      <c r="H458">
        <v>100.51730000000001</v>
      </c>
      <c r="I458" t="s">
        <v>74</v>
      </c>
      <c r="J458">
        <v>20230926</v>
      </c>
      <c r="K458" t="s">
        <v>44</v>
      </c>
      <c r="L458" t="s">
        <v>44</v>
      </c>
      <c r="M458" t="s">
        <v>777</v>
      </c>
      <c r="N458" t="s">
        <v>44</v>
      </c>
      <c r="O458" t="s">
        <v>44</v>
      </c>
      <c r="P458" t="s">
        <v>252</v>
      </c>
      <c r="Q458" t="s">
        <v>777</v>
      </c>
      <c r="R458" t="s">
        <v>590</v>
      </c>
      <c r="S458" t="s">
        <v>28</v>
      </c>
    </row>
    <row r="459" spans="1:19" x14ac:dyDescent="0.25">
      <c r="A459" t="s">
        <v>855</v>
      </c>
      <c r="B459" t="s">
        <v>855</v>
      </c>
      <c r="C459">
        <v>6.5891017080000003</v>
      </c>
      <c r="D459" s="38">
        <v>45950</v>
      </c>
      <c r="E459" s="38">
        <v>45402</v>
      </c>
      <c r="F459">
        <v>10.549980198</v>
      </c>
      <c r="G459">
        <v>341.600877588</v>
      </c>
      <c r="H459">
        <v>100.4365</v>
      </c>
      <c r="I459" t="s">
        <v>75</v>
      </c>
      <c r="J459">
        <v>20220407</v>
      </c>
      <c r="K459" t="s">
        <v>777</v>
      </c>
      <c r="L459" t="s">
        <v>44</v>
      </c>
      <c r="M459" t="s">
        <v>44</v>
      </c>
      <c r="N459" t="s">
        <v>44</v>
      </c>
      <c r="O459" t="s">
        <v>44</v>
      </c>
      <c r="P459" t="s">
        <v>76</v>
      </c>
      <c r="Q459" t="s">
        <v>777</v>
      </c>
      <c r="R459" t="s">
        <v>598</v>
      </c>
      <c r="S459" t="s">
        <v>28</v>
      </c>
    </row>
    <row r="460" spans="1:19" x14ac:dyDescent="0.25">
      <c r="A460" t="s">
        <v>859</v>
      </c>
      <c r="B460" t="s">
        <v>859</v>
      </c>
      <c r="C460">
        <v>6.1038457599999996</v>
      </c>
      <c r="D460" s="38">
        <v>45955</v>
      </c>
      <c r="E460" s="38">
        <v>45234</v>
      </c>
      <c r="F460">
        <v>13.502359915</v>
      </c>
      <c r="G460">
        <v>368.74097886200002</v>
      </c>
      <c r="H460">
        <v>99.663700000000006</v>
      </c>
      <c r="I460" t="s">
        <v>205</v>
      </c>
      <c r="J460">
        <v>20211104</v>
      </c>
      <c r="K460" t="s">
        <v>44</v>
      </c>
      <c r="L460" t="s">
        <v>815</v>
      </c>
      <c r="M460" t="s">
        <v>44</v>
      </c>
      <c r="N460" t="s">
        <v>44</v>
      </c>
      <c r="O460" t="s">
        <v>44</v>
      </c>
      <c r="P460" t="s">
        <v>860</v>
      </c>
      <c r="Q460" t="s">
        <v>815</v>
      </c>
      <c r="R460" t="s">
        <v>572</v>
      </c>
      <c r="S460" t="s">
        <v>28</v>
      </c>
    </row>
    <row r="461" spans="1:19" x14ac:dyDescent="0.25">
      <c r="A461" t="s">
        <v>1428</v>
      </c>
      <c r="B461" t="s">
        <v>1428</v>
      </c>
      <c r="C461">
        <v>6.6210127060000001</v>
      </c>
      <c r="D461" s="38">
        <v>45952</v>
      </c>
      <c r="E461" s="38">
        <v>45917</v>
      </c>
      <c r="F461">
        <v>7.0190297690000003</v>
      </c>
      <c r="G461">
        <v>672.29982230099995</v>
      </c>
      <c r="H461">
        <v>98.966899999999995</v>
      </c>
      <c r="I461" t="s">
        <v>123</v>
      </c>
      <c r="J461">
        <v>20211028</v>
      </c>
      <c r="K461" t="s">
        <v>1363</v>
      </c>
      <c r="L461" t="s">
        <v>44</v>
      </c>
      <c r="M461" t="s">
        <v>44</v>
      </c>
      <c r="N461" t="s">
        <v>44</v>
      </c>
      <c r="O461" t="s">
        <v>44</v>
      </c>
      <c r="P461" t="s">
        <v>312</v>
      </c>
      <c r="Q461" t="s">
        <v>1363</v>
      </c>
      <c r="R461" t="s">
        <v>598</v>
      </c>
      <c r="S461" t="s">
        <v>32</v>
      </c>
    </row>
    <row r="462" spans="1:19" x14ac:dyDescent="0.25">
      <c r="A462" t="s">
        <v>1426</v>
      </c>
      <c r="B462" t="s">
        <v>1426</v>
      </c>
      <c r="C462">
        <v>9.8278796939999999</v>
      </c>
      <c r="D462" s="38">
        <v>45945</v>
      </c>
      <c r="E462" s="38">
        <v>46402</v>
      </c>
      <c r="F462">
        <v>8.124426003</v>
      </c>
      <c r="G462">
        <v>445.09131046300001</v>
      </c>
      <c r="H462">
        <v>100.3227</v>
      </c>
      <c r="I462" t="s">
        <v>125</v>
      </c>
      <c r="J462">
        <v>20250227</v>
      </c>
      <c r="K462" t="s">
        <v>44</v>
      </c>
      <c r="L462" t="s">
        <v>44</v>
      </c>
      <c r="M462" t="s">
        <v>32</v>
      </c>
      <c r="N462" t="s">
        <v>44</v>
      </c>
      <c r="O462" t="s">
        <v>44</v>
      </c>
      <c r="P462" t="s">
        <v>317</v>
      </c>
      <c r="Q462" t="s">
        <v>32</v>
      </c>
      <c r="R462" t="s">
        <v>590</v>
      </c>
      <c r="S462" t="s">
        <v>32</v>
      </c>
    </row>
    <row r="463" spans="1:19" x14ac:dyDescent="0.25">
      <c r="A463" t="s">
        <v>1468</v>
      </c>
      <c r="B463" t="s">
        <v>1468</v>
      </c>
      <c r="C463">
        <v>6.6539392880000001</v>
      </c>
      <c r="D463" s="38">
        <v>45947</v>
      </c>
      <c r="E463" s="38">
        <v>45216</v>
      </c>
      <c r="F463">
        <v>5.0222599319999999</v>
      </c>
      <c r="G463">
        <v>815.03287198199996</v>
      </c>
      <c r="H463">
        <v>96.0535</v>
      </c>
      <c r="I463" t="s">
        <v>144</v>
      </c>
      <c r="J463">
        <v>20211123</v>
      </c>
      <c r="K463" t="s">
        <v>44</v>
      </c>
      <c r="L463" t="s">
        <v>1386</v>
      </c>
      <c r="M463" t="s">
        <v>44</v>
      </c>
      <c r="N463" t="s">
        <v>44</v>
      </c>
      <c r="O463" t="s">
        <v>44</v>
      </c>
      <c r="P463" t="s">
        <v>768</v>
      </c>
      <c r="Q463" t="s">
        <v>1386</v>
      </c>
      <c r="R463" t="s">
        <v>572</v>
      </c>
      <c r="S463" t="s">
        <v>32</v>
      </c>
    </row>
    <row r="464" spans="1:19" x14ac:dyDescent="0.25">
      <c r="A464" t="s">
        <v>1437</v>
      </c>
      <c r="B464" t="s">
        <v>1437</v>
      </c>
      <c r="C464">
        <v>10.012150377999999</v>
      </c>
      <c r="D464" s="38">
        <v>45950</v>
      </c>
      <c r="E464" s="38">
        <v>46497</v>
      </c>
      <c r="F464">
        <v>8.4791859269999996</v>
      </c>
      <c r="G464">
        <v>710.59567516100003</v>
      </c>
      <c r="H464">
        <v>104.81059999999999</v>
      </c>
      <c r="I464" t="s">
        <v>132</v>
      </c>
      <c r="J464">
        <v>20250425</v>
      </c>
      <c r="K464" t="s">
        <v>44</v>
      </c>
      <c r="L464" t="s">
        <v>44</v>
      </c>
      <c r="M464" t="s">
        <v>1363</v>
      </c>
      <c r="N464" t="s">
        <v>44</v>
      </c>
      <c r="O464" t="s">
        <v>44</v>
      </c>
      <c r="P464" t="s">
        <v>1608</v>
      </c>
      <c r="Q464" t="s">
        <v>1363</v>
      </c>
      <c r="R464" t="s">
        <v>590</v>
      </c>
      <c r="S464" t="s">
        <v>32</v>
      </c>
    </row>
    <row r="465" spans="1:19" x14ac:dyDescent="0.25">
      <c r="A465" t="s">
        <v>1439</v>
      </c>
      <c r="B465" t="s">
        <v>1439</v>
      </c>
      <c r="C465">
        <v>8.5149907979999995</v>
      </c>
      <c r="D465" s="38">
        <v>45950</v>
      </c>
      <c r="E465" s="38">
        <v>45950</v>
      </c>
      <c r="F465">
        <v>8.5743775919999994</v>
      </c>
      <c r="G465">
        <v>702.34774762899997</v>
      </c>
      <c r="H465">
        <v>101.194</v>
      </c>
      <c r="I465" t="s">
        <v>132</v>
      </c>
      <c r="J465">
        <v>20231109</v>
      </c>
      <c r="K465" t="s">
        <v>44</v>
      </c>
      <c r="L465" t="s">
        <v>44</v>
      </c>
      <c r="M465" t="s">
        <v>1363</v>
      </c>
      <c r="N465" t="s">
        <v>44</v>
      </c>
      <c r="O465" t="s">
        <v>44</v>
      </c>
      <c r="P465" t="s">
        <v>1591</v>
      </c>
      <c r="Q465" t="s">
        <v>1363</v>
      </c>
      <c r="R465" t="s">
        <v>590</v>
      </c>
      <c r="S465" t="s">
        <v>32</v>
      </c>
    </row>
    <row r="466" spans="1:19" x14ac:dyDescent="0.25">
      <c r="A466" t="s">
        <v>1364</v>
      </c>
      <c r="B466" t="s">
        <v>1364</v>
      </c>
      <c r="C466">
        <v>9.3036256569999995</v>
      </c>
      <c r="D466" s="38">
        <v>45955</v>
      </c>
      <c r="E466" s="38">
        <v>46187</v>
      </c>
      <c r="F466">
        <v>8.1004611919999991</v>
      </c>
      <c r="G466">
        <v>615.33179301400003</v>
      </c>
      <c r="H466">
        <v>100.88249999999999</v>
      </c>
      <c r="I466" t="s">
        <v>180</v>
      </c>
      <c r="J466">
        <v>20240614</v>
      </c>
      <c r="K466" t="s">
        <v>1363</v>
      </c>
      <c r="L466" t="s">
        <v>44</v>
      </c>
      <c r="M466" t="s">
        <v>44</v>
      </c>
      <c r="N466" t="s">
        <v>44</v>
      </c>
      <c r="O466" t="s">
        <v>44</v>
      </c>
      <c r="P466" t="s">
        <v>1592</v>
      </c>
      <c r="Q466" t="s">
        <v>1363</v>
      </c>
      <c r="R466" t="s">
        <v>598</v>
      </c>
      <c r="S466" t="s">
        <v>32</v>
      </c>
    </row>
    <row r="467" spans="1:19" x14ac:dyDescent="0.25">
      <c r="A467" t="s">
        <v>1441</v>
      </c>
      <c r="B467" t="s">
        <v>1441</v>
      </c>
      <c r="C467">
        <v>8.7018886179999999</v>
      </c>
      <c r="D467" s="38">
        <v>45884</v>
      </c>
      <c r="E467" s="38">
        <v>45976</v>
      </c>
      <c r="F467">
        <v>8.4228172620000006</v>
      </c>
      <c r="G467">
        <v>706.51012463999996</v>
      </c>
      <c r="H467">
        <v>101.041</v>
      </c>
      <c r="I467" t="s">
        <v>206</v>
      </c>
      <c r="J467">
        <v>20231221</v>
      </c>
      <c r="K467" t="s">
        <v>1363</v>
      </c>
      <c r="L467" t="s">
        <v>44</v>
      </c>
      <c r="M467" t="s">
        <v>44</v>
      </c>
      <c r="N467" t="s">
        <v>44</v>
      </c>
      <c r="O467" t="s">
        <v>44</v>
      </c>
      <c r="P467" t="s">
        <v>353</v>
      </c>
      <c r="Q467" t="s">
        <v>1363</v>
      </c>
      <c r="R467" t="s">
        <v>598</v>
      </c>
      <c r="S467" t="s">
        <v>32</v>
      </c>
    </row>
    <row r="468" spans="1:19" x14ac:dyDescent="0.25">
      <c r="A468" t="s">
        <v>1451</v>
      </c>
      <c r="B468" t="s">
        <v>1451</v>
      </c>
      <c r="C468">
        <v>6.2760731610000002</v>
      </c>
      <c r="D468" s="38">
        <v>45945</v>
      </c>
      <c r="E468" s="38">
        <v>45016</v>
      </c>
      <c r="F468">
        <v>6.6160985859999997</v>
      </c>
      <c r="G468">
        <v>649.14171620499997</v>
      </c>
      <c r="H468">
        <v>99.841999999999999</v>
      </c>
      <c r="I468" t="s">
        <v>136</v>
      </c>
      <c r="J468">
        <v>20210331</v>
      </c>
      <c r="K468" t="s">
        <v>1363</v>
      </c>
      <c r="L468" t="s">
        <v>44</v>
      </c>
      <c r="M468" t="s">
        <v>44</v>
      </c>
      <c r="N468" t="s">
        <v>44</v>
      </c>
      <c r="O468" t="s">
        <v>44</v>
      </c>
      <c r="P468" t="s">
        <v>1452</v>
      </c>
      <c r="Q468" t="s">
        <v>1363</v>
      </c>
      <c r="R468" t="s">
        <v>598</v>
      </c>
      <c r="S468" t="s">
        <v>32</v>
      </c>
    </row>
    <row r="469" spans="1:19" x14ac:dyDescent="0.25">
      <c r="A469" t="s">
        <v>843</v>
      </c>
      <c r="B469" t="s">
        <v>843</v>
      </c>
      <c r="C469">
        <v>5.8917479899999998</v>
      </c>
      <c r="D469" s="38">
        <v>45945</v>
      </c>
      <c r="E469" s="38">
        <v>45031</v>
      </c>
      <c r="F469">
        <v>10.483372728999999</v>
      </c>
      <c r="G469">
        <v>385.47442456099998</v>
      </c>
      <c r="H469">
        <v>100.2608</v>
      </c>
      <c r="I469" t="s">
        <v>197</v>
      </c>
      <c r="J469">
        <v>20210422</v>
      </c>
      <c r="K469" t="s">
        <v>777</v>
      </c>
      <c r="L469" t="s">
        <v>44</v>
      </c>
      <c r="M469" t="s">
        <v>44</v>
      </c>
      <c r="N469" t="s">
        <v>44</v>
      </c>
      <c r="O469" t="s">
        <v>44</v>
      </c>
      <c r="P469" t="s">
        <v>1605</v>
      </c>
      <c r="Q469" t="s">
        <v>777</v>
      </c>
      <c r="R469" t="s">
        <v>598</v>
      </c>
      <c r="S469" t="s">
        <v>28</v>
      </c>
    </row>
    <row r="470" spans="1:19" x14ac:dyDescent="0.25">
      <c r="A470" t="s">
        <v>845</v>
      </c>
      <c r="B470" t="s">
        <v>845</v>
      </c>
      <c r="C470">
        <v>5.9726698110000003</v>
      </c>
      <c r="D470" s="38">
        <v>45945</v>
      </c>
      <c r="E470" s="38">
        <v>45122</v>
      </c>
      <c r="F470">
        <v>11.390424251000001</v>
      </c>
      <c r="G470">
        <v>327.47682120000002</v>
      </c>
      <c r="H470">
        <v>100.66200000000001</v>
      </c>
      <c r="I470" t="s">
        <v>197</v>
      </c>
      <c r="J470">
        <v>20210818</v>
      </c>
      <c r="K470" t="s">
        <v>44</v>
      </c>
      <c r="L470" t="s">
        <v>815</v>
      </c>
      <c r="M470" t="s">
        <v>44</v>
      </c>
      <c r="N470" t="s">
        <v>44</v>
      </c>
      <c r="O470" t="s">
        <v>44</v>
      </c>
      <c r="P470" t="s">
        <v>1605</v>
      </c>
      <c r="Q470" t="s">
        <v>815</v>
      </c>
      <c r="R470" t="s">
        <v>572</v>
      </c>
      <c r="S470" t="s">
        <v>28</v>
      </c>
    </row>
    <row r="471" spans="1:19" x14ac:dyDescent="0.25">
      <c r="A471" t="s">
        <v>628</v>
      </c>
      <c r="B471" t="s">
        <v>628</v>
      </c>
      <c r="C471">
        <v>7.0784279249999997</v>
      </c>
      <c r="D471" s="38">
        <v>45950</v>
      </c>
      <c r="E471" s="38">
        <v>45858</v>
      </c>
      <c r="F471">
        <v>18.470714267999998</v>
      </c>
      <c r="G471">
        <v>298.23239691499998</v>
      </c>
      <c r="H471">
        <v>100.377</v>
      </c>
      <c r="I471" t="s">
        <v>197</v>
      </c>
      <c r="J471">
        <v>20230713</v>
      </c>
      <c r="K471" t="s">
        <v>44</v>
      </c>
      <c r="L471" t="s">
        <v>44</v>
      </c>
      <c r="M471" t="s">
        <v>24</v>
      </c>
      <c r="N471" t="s">
        <v>44</v>
      </c>
      <c r="O471" t="s">
        <v>44</v>
      </c>
      <c r="P471" t="s">
        <v>1605</v>
      </c>
      <c r="Q471" t="s">
        <v>24</v>
      </c>
      <c r="R471" t="s">
        <v>590</v>
      </c>
      <c r="S471" t="s">
        <v>24</v>
      </c>
    </row>
    <row r="472" spans="1:19" x14ac:dyDescent="0.25">
      <c r="A472" t="s">
        <v>849</v>
      </c>
      <c r="B472" t="s">
        <v>849</v>
      </c>
      <c r="C472">
        <v>7.6626210439999998</v>
      </c>
      <c r="D472" s="38">
        <v>45950</v>
      </c>
      <c r="E472" s="38">
        <v>45858</v>
      </c>
      <c r="F472">
        <v>12.468558263</v>
      </c>
      <c r="G472">
        <v>515.22103468800003</v>
      </c>
      <c r="H472">
        <v>100.5331</v>
      </c>
      <c r="I472" t="s">
        <v>197</v>
      </c>
      <c r="J472">
        <v>20230713</v>
      </c>
      <c r="K472" t="s">
        <v>44</v>
      </c>
      <c r="L472" t="s">
        <v>44</v>
      </c>
      <c r="M472" t="s">
        <v>777</v>
      </c>
      <c r="N472" t="s">
        <v>44</v>
      </c>
      <c r="O472" t="s">
        <v>44</v>
      </c>
      <c r="P472" t="s">
        <v>1605</v>
      </c>
      <c r="Q472" t="s">
        <v>777</v>
      </c>
      <c r="R472" t="s">
        <v>590</v>
      </c>
      <c r="S472" t="s">
        <v>28</v>
      </c>
    </row>
    <row r="473" spans="1:19" x14ac:dyDescent="0.25">
      <c r="A473" t="s">
        <v>847</v>
      </c>
      <c r="B473" t="s">
        <v>847</v>
      </c>
      <c r="C473">
        <v>9.1109611570000002</v>
      </c>
      <c r="D473" s="38">
        <v>45950</v>
      </c>
      <c r="E473" s="38">
        <v>46315</v>
      </c>
      <c r="F473">
        <v>11.899227127</v>
      </c>
      <c r="G473">
        <v>317.682202195</v>
      </c>
      <c r="H473">
        <v>100.4909</v>
      </c>
      <c r="I473" t="s">
        <v>197</v>
      </c>
      <c r="J473">
        <v>20241021</v>
      </c>
      <c r="K473" t="s">
        <v>44</v>
      </c>
      <c r="L473" t="s">
        <v>44</v>
      </c>
      <c r="M473" t="s">
        <v>777</v>
      </c>
      <c r="N473" t="s">
        <v>44</v>
      </c>
      <c r="O473" t="s">
        <v>44</v>
      </c>
      <c r="P473" t="s">
        <v>1605</v>
      </c>
      <c r="Q473" t="s">
        <v>777</v>
      </c>
      <c r="R473" t="s">
        <v>590</v>
      </c>
      <c r="S473" t="s">
        <v>28</v>
      </c>
    </row>
    <row r="474" spans="1:19" x14ac:dyDescent="0.25">
      <c r="A474" t="s">
        <v>851</v>
      </c>
      <c r="B474" t="s">
        <v>851</v>
      </c>
      <c r="C474">
        <v>8.3829586420000002</v>
      </c>
      <c r="D474" s="38">
        <v>45950</v>
      </c>
      <c r="E474" s="38">
        <v>46042</v>
      </c>
      <c r="F474">
        <v>12.018616809999999</v>
      </c>
      <c r="G474">
        <v>433.081205657</v>
      </c>
      <c r="H474">
        <v>101.02670000000001</v>
      </c>
      <c r="I474" t="s">
        <v>197</v>
      </c>
      <c r="J474">
        <v>20240117</v>
      </c>
      <c r="K474" t="s">
        <v>777</v>
      </c>
      <c r="L474" t="s">
        <v>44</v>
      </c>
      <c r="M474" t="s">
        <v>44</v>
      </c>
      <c r="N474" t="s">
        <v>44</v>
      </c>
      <c r="O474" t="s">
        <v>44</v>
      </c>
      <c r="P474" t="s">
        <v>1605</v>
      </c>
      <c r="Q474" t="s">
        <v>777</v>
      </c>
      <c r="R474" t="s">
        <v>598</v>
      </c>
      <c r="S474" t="s">
        <v>28</v>
      </c>
    </row>
    <row r="475" spans="1:19" x14ac:dyDescent="0.25">
      <c r="A475" t="s">
        <v>632</v>
      </c>
      <c r="B475" t="s">
        <v>632</v>
      </c>
      <c r="C475">
        <v>8.3332714289999998</v>
      </c>
      <c r="D475" s="38">
        <v>45945</v>
      </c>
      <c r="E475" s="38">
        <v>46214</v>
      </c>
      <c r="F475">
        <v>17.905876299999999</v>
      </c>
      <c r="G475">
        <v>194.31970694099999</v>
      </c>
      <c r="H475">
        <v>100.3749</v>
      </c>
      <c r="I475" t="s">
        <v>197</v>
      </c>
      <c r="J475">
        <v>20240711</v>
      </c>
      <c r="K475" t="s">
        <v>44</v>
      </c>
      <c r="L475" t="s">
        <v>44</v>
      </c>
      <c r="M475" t="s">
        <v>24</v>
      </c>
      <c r="N475" t="s">
        <v>44</v>
      </c>
      <c r="O475" t="s">
        <v>44</v>
      </c>
      <c r="P475" t="s">
        <v>1605</v>
      </c>
      <c r="Q475" t="s">
        <v>24</v>
      </c>
      <c r="R475" t="s">
        <v>590</v>
      </c>
      <c r="S475" t="s">
        <v>24</v>
      </c>
    </row>
    <row r="476" spans="1:19" x14ac:dyDescent="0.25">
      <c r="A476" t="s">
        <v>853</v>
      </c>
      <c r="B476" t="s">
        <v>853</v>
      </c>
      <c r="C476">
        <v>8.8988028799999999</v>
      </c>
      <c r="D476" s="38">
        <v>45945</v>
      </c>
      <c r="E476" s="38">
        <v>46214</v>
      </c>
      <c r="F476">
        <v>11.898989200000001</v>
      </c>
      <c r="G476">
        <v>309.16787931800002</v>
      </c>
      <c r="H476">
        <v>100.3844</v>
      </c>
      <c r="I476" t="s">
        <v>197</v>
      </c>
      <c r="J476">
        <v>20240711</v>
      </c>
      <c r="K476" t="s">
        <v>44</v>
      </c>
      <c r="L476" t="s">
        <v>44</v>
      </c>
      <c r="M476" t="s">
        <v>777</v>
      </c>
      <c r="N476" t="s">
        <v>44</v>
      </c>
      <c r="O476" t="s">
        <v>44</v>
      </c>
      <c r="P476" t="s">
        <v>1605</v>
      </c>
      <c r="Q476" t="s">
        <v>777</v>
      </c>
      <c r="R476" t="s">
        <v>590</v>
      </c>
      <c r="S476" t="s">
        <v>28</v>
      </c>
    </row>
    <row r="477" spans="1:19" x14ac:dyDescent="0.25">
      <c r="A477" t="s">
        <v>865</v>
      </c>
      <c r="B477" t="s">
        <v>865</v>
      </c>
      <c r="C477">
        <v>6.4729215379999996</v>
      </c>
      <c r="D477" s="38">
        <v>45950</v>
      </c>
      <c r="E477" s="38">
        <v>45311</v>
      </c>
      <c r="F477">
        <v>10.371734890999999</v>
      </c>
      <c r="G477">
        <v>439.31658472599997</v>
      </c>
      <c r="H477">
        <v>96.460300000000004</v>
      </c>
      <c r="I477" t="s">
        <v>207</v>
      </c>
      <c r="J477">
        <v>20211130</v>
      </c>
      <c r="K477" t="s">
        <v>44</v>
      </c>
      <c r="L477" t="s">
        <v>815</v>
      </c>
      <c r="M477" t="s">
        <v>44</v>
      </c>
      <c r="N477" t="s">
        <v>44</v>
      </c>
      <c r="O477" t="s">
        <v>44</v>
      </c>
      <c r="P477" t="s">
        <v>1609</v>
      </c>
      <c r="Q477" t="s">
        <v>815</v>
      </c>
      <c r="R477" t="s">
        <v>572</v>
      </c>
      <c r="S477" t="s">
        <v>28</v>
      </c>
    </row>
    <row r="478" spans="1:19" x14ac:dyDescent="0.25">
      <c r="A478" t="s">
        <v>862</v>
      </c>
      <c r="B478" t="s">
        <v>862</v>
      </c>
      <c r="C478">
        <v>5.6713935390000003</v>
      </c>
      <c r="D478" s="38">
        <v>45954</v>
      </c>
      <c r="E478" s="38">
        <v>45040</v>
      </c>
      <c r="F478">
        <v>9.9509341589999991</v>
      </c>
      <c r="G478">
        <v>430.27955936900003</v>
      </c>
      <c r="H478">
        <v>98.172899999999998</v>
      </c>
      <c r="I478" t="s">
        <v>207</v>
      </c>
      <c r="J478">
        <v>20210426</v>
      </c>
      <c r="K478" t="s">
        <v>44</v>
      </c>
      <c r="L478" t="s">
        <v>815</v>
      </c>
      <c r="M478" t="s">
        <v>44</v>
      </c>
      <c r="N478" t="s">
        <v>44</v>
      </c>
      <c r="O478" t="s">
        <v>44</v>
      </c>
      <c r="P478" t="s">
        <v>1609</v>
      </c>
      <c r="Q478" t="s">
        <v>815</v>
      </c>
      <c r="R478" t="s">
        <v>572</v>
      </c>
      <c r="S478" t="s">
        <v>28</v>
      </c>
    </row>
    <row r="479" spans="1:19" x14ac:dyDescent="0.25">
      <c r="A479" t="s">
        <v>904</v>
      </c>
      <c r="B479" t="s">
        <v>904</v>
      </c>
      <c r="C479">
        <v>7.0815850380000001</v>
      </c>
      <c r="D479" s="38">
        <v>45955</v>
      </c>
      <c r="E479" s="38">
        <v>46047</v>
      </c>
      <c r="F479">
        <v>12.287612697</v>
      </c>
      <c r="G479">
        <v>411.24271999400003</v>
      </c>
      <c r="H479">
        <v>100.7431</v>
      </c>
      <c r="I479" t="s">
        <v>155</v>
      </c>
      <c r="J479">
        <v>20240123</v>
      </c>
      <c r="K479" t="s">
        <v>777</v>
      </c>
      <c r="L479" t="s">
        <v>44</v>
      </c>
      <c r="M479" t="s">
        <v>44</v>
      </c>
      <c r="N479" t="s">
        <v>44</v>
      </c>
      <c r="O479" t="s">
        <v>44</v>
      </c>
      <c r="P479" t="s">
        <v>1548</v>
      </c>
      <c r="Q479" t="s">
        <v>777</v>
      </c>
      <c r="R479" t="s">
        <v>598</v>
      </c>
      <c r="S479" t="s">
        <v>28</v>
      </c>
    </row>
    <row r="480" spans="1:19" x14ac:dyDescent="0.25">
      <c r="A480" t="s">
        <v>896</v>
      </c>
      <c r="B480" t="s">
        <v>896</v>
      </c>
      <c r="C480">
        <v>8.2237173099999996</v>
      </c>
      <c r="D480" s="38">
        <v>45950</v>
      </c>
      <c r="E480" s="38">
        <v>46289</v>
      </c>
      <c r="F480">
        <v>12.32505007</v>
      </c>
      <c r="G480">
        <v>316.56079368000002</v>
      </c>
      <c r="H480">
        <v>100.52589999999999</v>
      </c>
      <c r="I480" t="s">
        <v>156</v>
      </c>
      <c r="J480">
        <v>20240924</v>
      </c>
      <c r="K480" t="s">
        <v>777</v>
      </c>
      <c r="L480" t="s">
        <v>44</v>
      </c>
      <c r="M480" t="s">
        <v>44</v>
      </c>
      <c r="N480" t="s">
        <v>44</v>
      </c>
      <c r="O480" t="s">
        <v>44</v>
      </c>
      <c r="P480" t="s">
        <v>1548</v>
      </c>
      <c r="Q480" t="s">
        <v>777</v>
      </c>
      <c r="R480" t="s">
        <v>598</v>
      </c>
      <c r="S480" t="s">
        <v>28</v>
      </c>
    </row>
    <row r="481" spans="1:19" x14ac:dyDescent="0.25">
      <c r="A481" t="s">
        <v>898</v>
      </c>
      <c r="B481" t="s">
        <v>898</v>
      </c>
      <c r="C481">
        <v>8.9742748680000002</v>
      </c>
      <c r="D481" s="38">
        <v>45945</v>
      </c>
      <c r="E481" s="38">
        <v>46310</v>
      </c>
      <c r="F481">
        <v>12.381905386</v>
      </c>
      <c r="G481">
        <v>306.26486671999999</v>
      </c>
      <c r="H481">
        <v>100.5843</v>
      </c>
      <c r="I481" t="s">
        <v>155</v>
      </c>
      <c r="J481">
        <v>20241015</v>
      </c>
      <c r="K481" t="s">
        <v>44</v>
      </c>
      <c r="L481" t="s">
        <v>44</v>
      </c>
      <c r="M481" t="s">
        <v>28</v>
      </c>
      <c r="N481" t="s">
        <v>44</v>
      </c>
      <c r="O481" t="s">
        <v>44</v>
      </c>
      <c r="P481" t="s">
        <v>1548</v>
      </c>
      <c r="Q481" t="s">
        <v>28</v>
      </c>
      <c r="R481" t="s">
        <v>590</v>
      </c>
      <c r="S481" t="s">
        <v>28</v>
      </c>
    </row>
    <row r="482" spans="1:19" x14ac:dyDescent="0.25">
      <c r="A482" t="s">
        <v>892</v>
      </c>
      <c r="B482" t="s">
        <v>892</v>
      </c>
      <c r="C482">
        <v>9.4256779539999993</v>
      </c>
      <c r="D482" s="38">
        <v>45950</v>
      </c>
      <c r="E482" s="38">
        <v>46467</v>
      </c>
      <c r="F482">
        <v>12.240683215000001</v>
      </c>
      <c r="G482">
        <v>261.55272108899999</v>
      </c>
      <c r="H482">
        <v>100.59910000000001</v>
      </c>
      <c r="I482" t="s">
        <v>156</v>
      </c>
      <c r="J482">
        <v>20250321</v>
      </c>
      <c r="K482" t="s">
        <v>777</v>
      </c>
      <c r="L482" t="s">
        <v>44</v>
      </c>
      <c r="M482" t="s">
        <v>44</v>
      </c>
      <c r="N482" t="s">
        <v>44</v>
      </c>
      <c r="O482" t="s">
        <v>44</v>
      </c>
      <c r="P482" t="s">
        <v>1548</v>
      </c>
      <c r="Q482" t="s">
        <v>777</v>
      </c>
      <c r="R482" t="s">
        <v>598</v>
      </c>
      <c r="S482" t="s">
        <v>28</v>
      </c>
    </row>
    <row r="483" spans="1:19" x14ac:dyDescent="0.25">
      <c r="A483" t="s">
        <v>643</v>
      </c>
      <c r="B483" t="s">
        <v>643</v>
      </c>
      <c r="C483">
        <v>8.008476902</v>
      </c>
      <c r="D483" s="38">
        <v>45955</v>
      </c>
      <c r="E483" s="38">
        <v>46179</v>
      </c>
      <c r="F483">
        <v>18.159148835</v>
      </c>
      <c r="G483">
        <v>219.75974915899999</v>
      </c>
      <c r="H483">
        <v>100.6519</v>
      </c>
      <c r="I483" t="s">
        <v>155</v>
      </c>
      <c r="J483">
        <v>20240606</v>
      </c>
      <c r="K483" t="s">
        <v>24</v>
      </c>
      <c r="L483" t="s">
        <v>44</v>
      </c>
      <c r="M483" t="s">
        <v>44</v>
      </c>
      <c r="N483" t="s">
        <v>44</v>
      </c>
      <c r="O483" t="s">
        <v>44</v>
      </c>
      <c r="P483" t="s">
        <v>1548</v>
      </c>
      <c r="Q483" t="s">
        <v>24</v>
      </c>
      <c r="R483" t="s">
        <v>598</v>
      </c>
      <c r="S483" t="s">
        <v>24</v>
      </c>
    </row>
    <row r="484" spans="1:19" x14ac:dyDescent="0.25">
      <c r="A484" t="s">
        <v>906</v>
      </c>
      <c r="B484" t="s">
        <v>906</v>
      </c>
      <c r="C484">
        <v>8.5944441279999992</v>
      </c>
      <c r="D484" s="38">
        <v>45955</v>
      </c>
      <c r="E484" s="38">
        <v>46179</v>
      </c>
      <c r="F484">
        <v>12.170793872000001</v>
      </c>
      <c r="G484">
        <v>323.31099872700003</v>
      </c>
      <c r="H484">
        <v>100.4272</v>
      </c>
      <c r="I484" t="s">
        <v>155</v>
      </c>
      <c r="J484">
        <v>20240606</v>
      </c>
      <c r="K484" t="s">
        <v>777</v>
      </c>
      <c r="L484" t="s">
        <v>44</v>
      </c>
      <c r="M484" t="s">
        <v>44</v>
      </c>
      <c r="N484" t="s">
        <v>44</v>
      </c>
      <c r="O484" t="s">
        <v>44</v>
      </c>
      <c r="P484" t="s">
        <v>1548</v>
      </c>
      <c r="Q484" t="s">
        <v>777</v>
      </c>
      <c r="R484" t="s">
        <v>598</v>
      </c>
      <c r="S484" t="s">
        <v>28</v>
      </c>
    </row>
    <row r="485" spans="1:19" x14ac:dyDescent="0.25">
      <c r="A485" t="s">
        <v>902</v>
      </c>
      <c r="B485" t="s">
        <v>902</v>
      </c>
      <c r="C485">
        <v>9.2198360860000008</v>
      </c>
      <c r="D485" s="38">
        <v>45955</v>
      </c>
      <c r="E485" s="38">
        <v>46412</v>
      </c>
      <c r="F485">
        <v>12.143598327999999</v>
      </c>
      <c r="G485">
        <v>249.55739058699999</v>
      </c>
      <c r="H485">
        <v>100.37869999999999</v>
      </c>
      <c r="I485" t="s">
        <v>155</v>
      </c>
      <c r="J485">
        <v>20250205</v>
      </c>
      <c r="K485" t="s">
        <v>777</v>
      </c>
      <c r="L485" t="s">
        <v>44</v>
      </c>
      <c r="M485" t="s">
        <v>44</v>
      </c>
      <c r="N485" t="s">
        <v>44</v>
      </c>
      <c r="O485" t="s">
        <v>44</v>
      </c>
      <c r="P485" t="s">
        <v>1548</v>
      </c>
      <c r="Q485" t="s">
        <v>777</v>
      </c>
      <c r="R485" t="s">
        <v>598</v>
      </c>
      <c r="S485" t="s">
        <v>28</v>
      </c>
    </row>
    <row r="486" spans="1:19" x14ac:dyDescent="0.25">
      <c r="A486" t="s">
        <v>1610</v>
      </c>
      <c r="B486" t="s">
        <v>1610</v>
      </c>
      <c r="D486" s="38">
        <v>45951</v>
      </c>
      <c r="E486" s="38">
        <v>46589</v>
      </c>
      <c r="I486" t="s">
        <v>66</v>
      </c>
      <c r="J486">
        <v>20220627</v>
      </c>
      <c r="K486" t="s">
        <v>44</v>
      </c>
      <c r="L486" t="s">
        <v>44</v>
      </c>
      <c r="M486" t="s">
        <v>777</v>
      </c>
      <c r="N486" t="s">
        <v>44</v>
      </c>
      <c r="O486" t="s">
        <v>44</v>
      </c>
      <c r="P486" t="s">
        <v>410</v>
      </c>
      <c r="Q486" t="s">
        <v>777</v>
      </c>
      <c r="R486" t="s">
        <v>590</v>
      </c>
      <c r="S486" t="s">
        <v>28</v>
      </c>
    </row>
    <row r="487" spans="1:19" x14ac:dyDescent="0.25">
      <c r="A487" t="s">
        <v>1611</v>
      </c>
      <c r="B487" t="s">
        <v>1611</v>
      </c>
      <c r="C487">
        <v>9.4166014429999993</v>
      </c>
      <c r="D487" s="38">
        <v>45950</v>
      </c>
      <c r="E487" s="38">
        <v>46488</v>
      </c>
      <c r="F487">
        <v>12.264975538</v>
      </c>
      <c r="G487">
        <v>247.36838841700001</v>
      </c>
      <c r="H487">
        <v>100.181</v>
      </c>
      <c r="I487" t="s">
        <v>66</v>
      </c>
      <c r="J487">
        <v>20250411</v>
      </c>
      <c r="K487" t="s">
        <v>44</v>
      </c>
      <c r="L487" t="s">
        <v>44</v>
      </c>
      <c r="M487" t="s">
        <v>777</v>
      </c>
      <c r="N487" t="s">
        <v>44</v>
      </c>
      <c r="O487" t="s">
        <v>44</v>
      </c>
      <c r="P487" t="s">
        <v>227</v>
      </c>
      <c r="Q487" t="s">
        <v>777</v>
      </c>
      <c r="R487" t="s">
        <v>590</v>
      </c>
      <c r="S487" t="s">
        <v>28</v>
      </c>
    </row>
    <row r="488" spans="1:19" x14ac:dyDescent="0.25">
      <c r="A488" t="s">
        <v>1612</v>
      </c>
      <c r="B488" t="s">
        <v>1612</v>
      </c>
      <c r="C488">
        <v>3.682672202</v>
      </c>
      <c r="D488" s="38">
        <v>45947</v>
      </c>
      <c r="E488" s="38">
        <v>45033</v>
      </c>
      <c r="F488">
        <v>17.381918609</v>
      </c>
      <c r="H488">
        <v>100.28619999999999</v>
      </c>
      <c r="I488" t="s">
        <v>173</v>
      </c>
      <c r="J488">
        <v>20200227</v>
      </c>
      <c r="K488" t="s">
        <v>24</v>
      </c>
      <c r="L488" t="s">
        <v>44</v>
      </c>
      <c r="M488" t="s">
        <v>44</v>
      </c>
      <c r="N488" t="s">
        <v>44</v>
      </c>
      <c r="O488" t="s">
        <v>44</v>
      </c>
      <c r="P488" t="s">
        <v>608</v>
      </c>
      <c r="Q488" t="s">
        <v>24</v>
      </c>
      <c r="R488" t="s">
        <v>598</v>
      </c>
      <c r="S488" t="s">
        <v>24</v>
      </c>
    </row>
    <row r="489" spans="1:19" x14ac:dyDescent="0.25">
      <c r="A489" t="s">
        <v>1613</v>
      </c>
      <c r="B489" t="s">
        <v>1613</v>
      </c>
      <c r="C489">
        <v>8.764060787</v>
      </c>
      <c r="D489" s="38">
        <v>45955</v>
      </c>
      <c r="E489" s="38">
        <v>46412</v>
      </c>
      <c r="F489">
        <v>18.297687215</v>
      </c>
      <c r="G489">
        <v>168.056914517</v>
      </c>
      <c r="H489">
        <v>100.1317</v>
      </c>
      <c r="I489" t="s">
        <v>70</v>
      </c>
      <c r="J489">
        <v>20250206</v>
      </c>
      <c r="K489" t="s">
        <v>44</v>
      </c>
      <c r="L489" t="s">
        <v>44</v>
      </c>
      <c r="M489" t="s">
        <v>24</v>
      </c>
      <c r="N489" t="s">
        <v>44</v>
      </c>
      <c r="O489" t="s">
        <v>44</v>
      </c>
      <c r="P489" t="s">
        <v>427</v>
      </c>
      <c r="Q489" t="s">
        <v>24</v>
      </c>
      <c r="R489" t="s">
        <v>590</v>
      </c>
      <c r="S489" t="s">
        <v>24</v>
      </c>
    </row>
    <row r="490" spans="1:19" x14ac:dyDescent="0.25">
      <c r="A490" t="s">
        <v>1614</v>
      </c>
      <c r="B490" t="s">
        <v>1614</v>
      </c>
      <c r="C490">
        <v>9.2831910499999992</v>
      </c>
      <c r="D490" s="38">
        <v>45955</v>
      </c>
      <c r="E490" s="38">
        <v>46412</v>
      </c>
      <c r="F490">
        <v>12.319469206999999</v>
      </c>
      <c r="G490">
        <v>260.60747225</v>
      </c>
      <c r="H490">
        <v>99.949299999999994</v>
      </c>
      <c r="I490" t="s">
        <v>70</v>
      </c>
      <c r="J490">
        <v>20250206</v>
      </c>
      <c r="K490" t="s">
        <v>44</v>
      </c>
      <c r="L490" t="s">
        <v>44</v>
      </c>
      <c r="M490" t="s">
        <v>777</v>
      </c>
      <c r="N490" t="s">
        <v>44</v>
      </c>
      <c r="O490" t="s">
        <v>44</v>
      </c>
      <c r="P490" t="s">
        <v>427</v>
      </c>
      <c r="Q490" t="s">
        <v>777</v>
      </c>
      <c r="R490" t="s">
        <v>590</v>
      </c>
      <c r="S490" t="s">
        <v>28</v>
      </c>
    </row>
    <row r="491" spans="1:19" x14ac:dyDescent="0.25">
      <c r="A491" t="s">
        <v>1615</v>
      </c>
      <c r="B491" t="s">
        <v>1615</v>
      </c>
      <c r="C491">
        <v>8.6883225379999995</v>
      </c>
      <c r="D491" s="38">
        <v>45954</v>
      </c>
      <c r="E491" s="38">
        <v>46411</v>
      </c>
      <c r="F491">
        <v>18.029357945000001</v>
      </c>
      <c r="G491">
        <v>179.33428810999999</v>
      </c>
      <c r="H491">
        <v>100.39</v>
      </c>
      <c r="I491" t="s">
        <v>70</v>
      </c>
      <c r="J491">
        <v>20250131</v>
      </c>
      <c r="K491" t="s">
        <v>44</v>
      </c>
      <c r="L491" t="s">
        <v>44</v>
      </c>
      <c r="M491" t="s">
        <v>24</v>
      </c>
      <c r="N491" t="s">
        <v>44</v>
      </c>
      <c r="O491" t="s">
        <v>44</v>
      </c>
      <c r="P491" t="s">
        <v>427</v>
      </c>
      <c r="Q491" t="s">
        <v>24</v>
      </c>
      <c r="R491" t="s">
        <v>590</v>
      </c>
      <c r="S491" t="s">
        <v>24</v>
      </c>
    </row>
    <row r="492" spans="1:19" x14ac:dyDescent="0.25">
      <c r="A492" t="s">
        <v>1616</v>
      </c>
      <c r="B492" t="s">
        <v>1616</v>
      </c>
      <c r="C492">
        <v>9.2225401340000008</v>
      </c>
      <c r="D492" s="38">
        <v>45954</v>
      </c>
      <c r="E492" s="38">
        <v>46411</v>
      </c>
      <c r="F492">
        <v>12.031506088</v>
      </c>
      <c r="G492">
        <v>255.79665686600001</v>
      </c>
      <c r="H492">
        <v>100.6444</v>
      </c>
      <c r="I492" t="s">
        <v>70</v>
      </c>
      <c r="J492">
        <v>20250131</v>
      </c>
      <c r="K492" t="s">
        <v>44</v>
      </c>
      <c r="L492" t="s">
        <v>44</v>
      </c>
      <c r="M492" t="s">
        <v>777</v>
      </c>
      <c r="N492" t="s">
        <v>44</v>
      </c>
      <c r="O492" t="s">
        <v>44</v>
      </c>
      <c r="P492" t="s">
        <v>427</v>
      </c>
      <c r="Q492" t="s">
        <v>777</v>
      </c>
      <c r="R492" t="s">
        <v>590</v>
      </c>
      <c r="S492" t="s">
        <v>28</v>
      </c>
    </row>
    <row r="493" spans="1:19" x14ac:dyDescent="0.25">
      <c r="A493" t="s">
        <v>1617</v>
      </c>
      <c r="B493" t="s">
        <v>1617</v>
      </c>
      <c r="C493">
        <v>9.4884474700000005</v>
      </c>
      <c r="D493" s="38">
        <v>45950</v>
      </c>
      <c r="E493" s="38">
        <v>46459</v>
      </c>
      <c r="F493">
        <v>11.801929190999999</v>
      </c>
      <c r="G493">
        <v>296.88243915200002</v>
      </c>
      <c r="H493">
        <v>98.436300000000003</v>
      </c>
      <c r="I493" t="s">
        <v>75</v>
      </c>
      <c r="J493">
        <v>20250313</v>
      </c>
      <c r="K493" t="s">
        <v>777</v>
      </c>
      <c r="L493" t="s">
        <v>44</v>
      </c>
      <c r="M493" t="s">
        <v>44</v>
      </c>
      <c r="N493" t="s">
        <v>44</v>
      </c>
      <c r="O493" t="s">
        <v>44</v>
      </c>
      <c r="P493" t="s">
        <v>76</v>
      </c>
      <c r="Q493" t="s">
        <v>777</v>
      </c>
      <c r="R493" t="s">
        <v>598</v>
      </c>
      <c r="S493" t="s">
        <v>28</v>
      </c>
    </row>
    <row r="494" spans="1:19" x14ac:dyDescent="0.25">
      <c r="A494" t="s">
        <v>1618</v>
      </c>
      <c r="B494" t="s">
        <v>1618</v>
      </c>
      <c r="C494">
        <v>9.4260733030000008</v>
      </c>
      <c r="D494" s="38">
        <v>45950</v>
      </c>
      <c r="E494" s="38">
        <v>46474</v>
      </c>
      <c r="F494">
        <v>12.141440124000001</v>
      </c>
      <c r="G494">
        <v>250.865982145</v>
      </c>
      <c r="H494">
        <v>100.636</v>
      </c>
      <c r="I494" t="s">
        <v>197</v>
      </c>
      <c r="J494">
        <v>20250328</v>
      </c>
      <c r="K494" t="s">
        <v>777</v>
      </c>
      <c r="L494" t="s">
        <v>44</v>
      </c>
      <c r="M494" t="s">
        <v>44</v>
      </c>
      <c r="N494" t="s">
        <v>44</v>
      </c>
      <c r="O494" t="s">
        <v>44</v>
      </c>
      <c r="P494" t="s">
        <v>1605</v>
      </c>
      <c r="Q494" t="s">
        <v>777</v>
      </c>
      <c r="R494" t="s">
        <v>598</v>
      </c>
      <c r="S494" t="s">
        <v>28</v>
      </c>
    </row>
    <row r="495" spans="1:19" x14ac:dyDescent="0.25">
      <c r="A495" t="s">
        <v>1619</v>
      </c>
      <c r="B495" t="s">
        <v>1619</v>
      </c>
      <c r="C495">
        <v>8.8324970579999995</v>
      </c>
      <c r="D495" s="38">
        <v>45945</v>
      </c>
      <c r="E495" s="38">
        <v>46459</v>
      </c>
      <c r="F495">
        <v>18.771923314999999</v>
      </c>
      <c r="G495">
        <v>163.68526963299999</v>
      </c>
      <c r="H495">
        <v>100.4365</v>
      </c>
      <c r="I495" t="s">
        <v>156</v>
      </c>
      <c r="J495">
        <v>20250313</v>
      </c>
      <c r="K495" t="s">
        <v>44</v>
      </c>
      <c r="L495" t="s">
        <v>44</v>
      </c>
      <c r="M495" t="s">
        <v>615</v>
      </c>
      <c r="N495" t="s">
        <v>44</v>
      </c>
      <c r="O495" t="s">
        <v>44</v>
      </c>
      <c r="P495" t="s">
        <v>1548</v>
      </c>
      <c r="Q495" t="s">
        <v>615</v>
      </c>
      <c r="R495" t="s">
        <v>590</v>
      </c>
      <c r="S495" t="s">
        <v>24</v>
      </c>
    </row>
    <row r="496" spans="1:19" x14ac:dyDescent="0.25">
      <c r="A496" t="s">
        <v>1620</v>
      </c>
      <c r="B496" t="s">
        <v>1620</v>
      </c>
      <c r="C496">
        <v>9.3559513990000003</v>
      </c>
      <c r="D496" s="38">
        <v>45945</v>
      </c>
      <c r="E496" s="38">
        <v>46459</v>
      </c>
      <c r="F496">
        <v>12.828405509</v>
      </c>
      <c r="G496">
        <v>252.18056983700001</v>
      </c>
      <c r="H496">
        <v>100.182</v>
      </c>
      <c r="I496" t="s">
        <v>156</v>
      </c>
      <c r="J496">
        <v>20250313</v>
      </c>
      <c r="K496" t="s">
        <v>44</v>
      </c>
      <c r="L496" t="s">
        <v>44</v>
      </c>
      <c r="M496" t="s">
        <v>795</v>
      </c>
      <c r="N496" t="s">
        <v>44</v>
      </c>
      <c r="O496" t="s">
        <v>44</v>
      </c>
      <c r="P496" t="s">
        <v>1548</v>
      </c>
      <c r="Q496" t="s">
        <v>795</v>
      </c>
      <c r="R496" t="s">
        <v>590</v>
      </c>
      <c r="S496" t="s">
        <v>28</v>
      </c>
    </row>
    <row r="497" spans="1:19" x14ac:dyDescent="0.25">
      <c r="A497" t="s">
        <v>1621</v>
      </c>
      <c r="B497" t="s">
        <v>1621</v>
      </c>
      <c r="C497">
        <v>9.4552336169999993</v>
      </c>
      <c r="D497" s="38">
        <v>45952</v>
      </c>
      <c r="E497" s="38">
        <v>46481</v>
      </c>
      <c r="F497">
        <v>12.202786765000001</v>
      </c>
      <c r="G497">
        <v>270.335801178</v>
      </c>
      <c r="H497">
        <v>100.31180000000001</v>
      </c>
      <c r="I497" t="s">
        <v>77</v>
      </c>
      <c r="J497">
        <v>20250404</v>
      </c>
      <c r="K497" t="s">
        <v>44</v>
      </c>
      <c r="L497" t="s">
        <v>44</v>
      </c>
      <c r="M497" t="s">
        <v>777</v>
      </c>
      <c r="N497" t="s">
        <v>44</v>
      </c>
      <c r="O497" t="s">
        <v>44</v>
      </c>
      <c r="P497" t="s">
        <v>447</v>
      </c>
      <c r="Q497" t="s">
        <v>777</v>
      </c>
      <c r="R497" t="s">
        <v>590</v>
      </c>
      <c r="S497" t="s">
        <v>28</v>
      </c>
    </row>
    <row r="498" spans="1:19" x14ac:dyDescent="0.25">
      <c r="A498" t="s">
        <v>1622</v>
      </c>
      <c r="B498" t="s">
        <v>1622</v>
      </c>
      <c r="C498">
        <v>8.4241556679999992</v>
      </c>
      <c r="D498" s="38">
        <v>45950</v>
      </c>
      <c r="E498" s="38">
        <v>46407</v>
      </c>
      <c r="F498">
        <v>20.250233973</v>
      </c>
      <c r="G498">
        <v>192.47570581700001</v>
      </c>
      <c r="H498">
        <v>100.1537</v>
      </c>
      <c r="I498" t="s">
        <v>190</v>
      </c>
      <c r="J498">
        <v>20250306</v>
      </c>
      <c r="K498" t="s">
        <v>24</v>
      </c>
      <c r="L498" t="s">
        <v>44</v>
      </c>
      <c r="M498" t="s">
        <v>44</v>
      </c>
      <c r="N498" t="s">
        <v>44</v>
      </c>
      <c r="O498" t="s">
        <v>44</v>
      </c>
      <c r="P498" t="s">
        <v>1603</v>
      </c>
      <c r="Q498" t="s">
        <v>24</v>
      </c>
      <c r="R498" t="s">
        <v>598</v>
      </c>
      <c r="S498" t="s">
        <v>24</v>
      </c>
    </row>
    <row r="499" spans="1:19" x14ac:dyDescent="0.25">
      <c r="A499" t="s">
        <v>1623</v>
      </c>
      <c r="B499" t="s">
        <v>1623</v>
      </c>
      <c r="C499">
        <v>6.0773598829999997</v>
      </c>
      <c r="D499" s="38">
        <v>45950</v>
      </c>
      <c r="E499" s="38">
        <v>46106</v>
      </c>
      <c r="F499">
        <v>12.605303451999999</v>
      </c>
      <c r="G499">
        <v>245.93692035500001</v>
      </c>
      <c r="H499">
        <v>99.688800000000001</v>
      </c>
      <c r="I499" t="s">
        <v>155</v>
      </c>
      <c r="J499">
        <v>20250325</v>
      </c>
      <c r="K499" t="s">
        <v>44</v>
      </c>
      <c r="L499" t="s">
        <v>815</v>
      </c>
      <c r="M499" t="s">
        <v>44</v>
      </c>
      <c r="N499" t="s">
        <v>44</v>
      </c>
      <c r="O499" t="s">
        <v>44</v>
      </c>
      <c r="P499" t="s">
        <v>1548</v>
      </c>
      <c r="Q499" t="s">
        <v>815</v>
      </c>
      <c r="R499" t="s">
        <v>572</v>
      </c>
      <c r="S499" t="s">
        <v>28</v>
      </c>
    </row>
    <row r="500" spans="1:19" x14ac:dyDescent="0.25">
      <c r="A500" t="s">
        <v>1624</v>
      </c>
      <c r="B500" t="s">
        <v>1624</v>
      </c>
      <c r="C500">
        <v>9.4424039149999999</v>
      </c>
      <c r="D500" s="38">
        <v>45945</v>
      </c>
      <c r="E500" s="38">
        <v>46473</v>
      </c>
      <c r="F500">
        <v>11.971866487</v>
      </c>
      <c r="G500">
        <v>266.67058556199999</v>
      </c>
      <c r="H500">
        <v>100.56829999999999</v>
      </c>
      <c r="I500" t="s">
        <v>208</v>
      </c>
      <c r="J500">
        <v>20250327</v>
      </c>
      <c r="K500" t="s">
        <v>44</v>
      </c>
      <c r="L500" t="s">
        <v>44</v>
      </c>
      <c r="M500" t="s">
        <v>777</v>
      </c>
      <c r="N500" t="s">
        <v>44</v>
      </c>
      <c r="O500" t="s">
        <v>44</v>
      </c>
      <c r="P500" t="s">
        <v>1553</v>
      </c>
      <c r="Q500" t="s">
        <v>777</v>
      </c>
      <c r="R500" t="s">
        <v>590</v>
      </c>
      <c r="S500" t="s">
        <v>28</v>
      </c>
    </row>
    <row r="501" spans="1:19" x14ac:dyDescent="0.25">
      <c r="A501" t="s">
        <v>1625</v>
      </c>
      <c r="B501" t="s">
        <v>1625</v>
      </c>
      <c r="C501">
        <v>0.93416698399999998</v>
      </c>
      <c r="D501" s="38">
        <v>45945</v>
      </c>
      <c r="E501" s="38">
        <v>45031</v>
      </c>
      <c r="F501">
        <v>14.153221007000001</v>
      </c>
      <c r="G501">
        <v>270.60898652700001</v>
      </c>
      <c r="H501">
        <v>96.346999999999994</v>
      </c>
      <c r="I501" t="s">
        <v>79</v>
      </c>
      <c r="J501">
        <v>20210331</v>
      </c>
      <c r="K501" t="s">
        <v>44</v>
      </c>
      <c r="L501" t="s">
        <v>44</v>
      </c>
      <c r="M501" t="s">
        <v>44</v>
      </c>
      <c r="N501" t="s">
        <v>28</v>
      </c>
      <c r="O501" t="s">
        <v>44</v>
      </c>
      <c r="P501" t="s">
        <v>260</v>
      </c>
      <c r="Q501" t="s">
        <v>28</v>
      </c>
      <c r="R501" t="s">
        <v>656</v>
      </c>
      <c r="S501" t="s">
        <v>28</v>
      </c>
    </row>
    <row r="502" spans="1:19" x14ac:dyDescent="0.25">
      <c r="A502" t="s">
        <v>1626</v>
      </c>
      <c r="B502" t="s">
        <v>1626</v>
      </c>
      <c r="D502" s="38">
        <v>45957</v>
      </c>
      <c r="E502" s="38">
        <v>44039</v>
      </c>
      <c r="I502" t="s">
        <v>79</v>
      </c>
      <c r="J502">
        <v>20180612</v>
      </c>
      <c r="K502" t="s">
        <v>777</v>
      </c>
      <c r="L502" t="s">
        <v>44</v>
      </c>
      <c r="M502" t="s">
        <v>44</v>
      </c>
      <c r="N502" t="s">
        <v>44</v>
      </c>
      <c r="O502" t="s">
        <v>44</v>
      </c>
      <c r="P502" t="s">
        <v>260</v>
      </c>
      <c r="Q502" t="s">
        <v>777</v>
      </c>
      <c r="R502" t="s">
        <v>598</v>
      </c>
      <c r="S502" t="s">
        <v>28</v>
      </c>
    </row>
    <row r="503" spans="1:19" x14ac:dyDescent="0.25">
      <c r="A503" t="s">
        <v>1627</v>
      </c>
      <c r="B503" t="s">
        <v>1627</v>
      </c>
      <c r="C503">
        <v>3.8763730999999999</v>
      </c>
      <c r="D503" s="38">
        <v>45945</v>
      </c>
      <c r="E503" s="38">
        <v>45031</v>
      </c>
      <c r="F503">
        <v>9.8564855179999995</v>
      </c>
      <c r="G503">
        <v>550.491057361</v>
      </c>
      <c r="H503">
        <v>87.234099999999998</v>
      </c>
      <c r="I503" t="s">
        <v>79</v>
      </c>
      <c r="J503">
        <v>20210331</v>
      </c>
      <c r="K503" t="s">
        <v>44</v>
      </c>
      <c r="L503" t="s">
        <v>44</v>
      </c>
      <c r="M503" t="s">
        <v>44</v>
      </c>
      <c r="N503" t="s">
        <v>1363</v>
      </c>
      <c r="O503" t="s">
        <v>44</v>
      </c>
      <c r="P503" t="s">
        <v>260</v>
      </c>
      <c r="Q503" t="s">
        <v>1363</v>
      </c>
      <c r="R503" t="s">
        <v>656</v>
      </c>
      <c r="S503" t="s">
        <v>32</v>
      </c>
    </row>
    <row r="504" spans="1:19" x14ac:dyDescent="0.25">
      <c r="A504" t="s">
        <v>1628</v>
      </c>
      <c r="B504" t="s">
        <v>1628</v>
      </c>
      <c r="C504">
        <v>5.812940201</v>
      </c>
      <c r="D504" s="38">
        <v>45950</v>
      </c>
      <c r="E504" s="38">
        <v>44946</v>
      </c>
      <c r="F504">
        <v>7.8532382890000001</v>
      </c>
      <c r="G504">
        <v>513.61521073599999</v>
      </c>
      <c r="H504">
        <v>99.357699999999994</v>
      </c>
      <c r="I504" t="s">
        <v>79</v>
      </c>
      <c r="J504">
        <v>20210720</v>
      </c>
      <c r="K504" t="s">
        <v>44</v>
      </c>
      <c r="L504" t="s">
        <v>44</v>
      </c>
      <c r="M504" t="s">
        <v>1372</v>
      </c>
      <c r="N504" t="s">
        <v>44</v>
      </c>
      <c r="O504" t="s">
        <v>44</v>
      </c>
      <c r="P504" t="s">
        <v>79</v>
      </c>
      <c r="Q504" t="s">
        <v>1372</v>
      </c>
      <c r="R504" t="s">
        <v>590</v>
      </c>
      <c r="S504" t="s">
        <v>32</v>
      </c>
    </row>
    <row r="505" spans="1:19" x14ac:dyDescent="0.25">
      <c r="A505" t="s">
        <v>1629</v>
      </c>
      <c r="B505" t="s">
        <v>1629</v>
      </c>
      <c r="C505">
        <v>6.0223227819999998</v>
      </c>
      <c r="D505" s="38">
        <v>45945</v>
      </c>
      <c r="E505" s="38">
        <v>44941</v>
      </c>
      <c r="F505">
        <v>7.7433152070000002</v>
      </c>
      <c r="G505">
        <v>551.71261100200002</v>
      </c>
      <c r="H505">
        <v>97.593100000000007</v>
      </c>
      <c r="I505" t="s">
        <v>191</v>
      </c>
      <c r="J505">
        <v>20210715</v>
      </c>
      <c r="K505" t="s">
        <v>44</v>
      </c>
      <c r="L505" t="s">
        <v>44</v>
      </c>
      <c r="M505" t="s">
        <v>32</v>
      </c>
      <c r="N505" t="s">
        <v>44</v>
      </c>
      <c r="O505" t="s">
        <v>44</v>
      </c>
      <c r="P505" t="s">
        <v>191</v>
      </c>
      <c r="Q505" t="s">
        <v>32</v>
      </c>
      <c r="R505" t="s">
        <v>590</v>
      </c>
      <c r="S505" t="s">
        <v>32</v>
      </c>
    </row>
    <row r="506" spans="1:19" x14ac:dyDescent="0.25">
      <c r="A506" t="s">
        <v>1630</v>
      </c>
      <c r="B506" t="s">
        <v>1630</v>
      </c>
      <c r="D506" s="38">
        <v>46037</v>
      </c>
      <c r="E506" s="38">
        <v>46583</v>
      </c>
      <c r="I506" t="s">
        <v>78</v>
      </c>
      <c r="J506">
        <v>20171206</v>
      </c>
      <c r="K506" t="s">
        <v>44</v>
      </c>
      <c r="L506" t="s">
        <v>119</v>
      </c>
      <c r="M506" t="s">
        <v>44</v>
      </c>
      <c r="N506" t="s">
        <v>44</v>
      </c>
      <c r="O506" t="s">
        <v>44</v>
      </c>
      <c r="P506" t="s">
        <v>256</v>
      </c>
      <c r="Q506" t="s">
        <v>119</v>
      </c>
      <c r="R506" t="s">
        <v>572</v>
      </c>
      <c r="S506" t="s">
        <v>21</v>
      </c>
    </row>
    <row r="507" spans="1:19" x14ac:dyDescent="0.25">
      <c r="A507" t="s">
        <v>1631</v>
      </c>
      <c r="B507" t="s">
        <v>1631</v>
      </c>
      <c r="D507" s="38">
        <v>46037</v>
      </c>
      <c r="E507" s="38">
        <v>46583</v>
      </c>
      <c r="I507" t="s">
        <v>78</v>
      </c>
      <c r="J507">
        <v>20171206</v>
      </c>
      <c r="K507" t="s">
        <v>44</v>
      </c>
      <c r="L507" t="s">
        <v>931</v>
      </c>
      <c r="M507" t="s">
        <v>44</v>
      </c>
      <c r="N507" t="s">
        <v>44</v>
      </c>
      <c r="O507" t="s">
        <v>44</v>
      </c>
      <c r="P507" t="s">
        <v>256</v>
      </c>
      <c r="Q507" t="s">
        <v>931</v>
      </c>
      <c r="R507" t="s">
        <v>572</v>
      </c>
      <c r="S507" t="s">
        <v>28</v>
      </c>
    </row>
    <row r="508" spans="1:19" x14ac:dyDescent="0.25">
      <c r="A508" t="s">
        <v>1632</v>
      </c>
      <c r="B508" t="s">
        <v>1632</v>
      </c>
      <c r="C508">
        <v>2.6908278320000001</v>
      </c>
      <c r="D508" s="38">
        <v>45947</v>
      </c>
      <c r="E508" s="38">
        <v>43938</v>
      </c>
      <c r="F508">
        <v>32.774316255999999</v>
      </c>
      <c r="G508">
        <v>196.60919201199999</v>
      </c>
      <c r="H508">
        <v>100.1052</v>
      </c>
      <c r="I508" t="s">
        <v>78</v>
      </c>
      <c r="J508">
        <v>20180329</v>
      </c>
      <c r="K508" t="s">
        <v>44</v>
      </c>
      <c r="L508" t="s">
        <v>119</v>
      </c>
      <c r="M508" t="s">
        <v>44</v>
      </c>
      <c r="N508" t="s">
        <v>44</v>
      </c>
      <c r="O508" t="s">
        <v>44</v>
      </c>
      <c r="P508" t="s">
        <v>256</v>
      </c>
      <c r="Q508" t="s">
        <v>119</v>
      </c>
      <c r="R508" t="s">
        <v>572</v>
      </c>
      <c r="S508" t="s">
        <v>21</v>
      </c>
    </row>
    <row r="509" spans="1:19" x14ac:dyDescent="0.25">
      <c r="A509" t="s">
        <v>1633</v>
      </c>
      <c r="B509" t="s">
        <v>1633</v>
      </c>
      <c r="C509">
        <v>3.02864588</v>
      </c>
      <c r="D509" s="38">
        <v>45947</v>
      </c>
      <c r="E509" s="38">
        <v>43938</v>
      </c>
      <c r="F509">
        <v>20.414325230999999</v>
      </c>
      <c r="G509">
        <v>259.61456228999998</v>
      </c>
      <c r="H509">
        <v>100.44199999999999</v>
      </c>
      <c r="I509" t="s">
        <v>78</v>
      </c>
      <c r="J509">
        <v>20180329</v>
      </c>
      <c r="K509" t="s">
        <v>44</v>
      </c>
      <c r="L509" t="s">
        <v>1634</v>
      </c>
      <c r="M509" t="s">
        <v>44</v>
      </c>
      <c r="N509" t="s">
        <v>44</v>
      </c>
      <c r="O509" t="s">
        <v>44</v>
      </c>
      <c r="P509" t="s">
        <v>256</v>
      </c>
      <c r="Q509" t="s">
        <v>1634</v>
      </c>
      <c r="R509" t="s">
        <v>572</v>
      </c>
      <c r="S509" t="s">
        <v>28</v>
      </c>
    </row>
    <row r="510" spans="1:19" x14ac:dyDescent="0.25">
      <c r="A510" t="s">
        <v>1635</v>
      </c>
      <c r="B510" t="s">
        <v>1635</v>
      </c>
      <c r="C510">
        <v>2.5091379690000002</v>
      </c>
      <c r="D510" s="38">
        <v>45950</v>
      </c>
      <c r="E510" s="38">
        <v>44032</v>
      </c>
      <c r="F510">
        <v>36.395021110999998</v>
      </c>
      <c r="G510">
        <v>171.24414171399999</v>
      </c>
      <c r="H510">
        <v>100.3219</v>
      </c>
      <c r="I510" t="s">
        <v>78</v>
      </c>
      <c r="J510">
        <v>20180712</v>
      </c>
      <c r="K510" t="s">
        <v>44</v>
      </c>
      <c r="L510" t="s">
        <v>1636</v>
      </c>
      <c r="M510" t="s">
        <v>44</v>
      </c>
      <c r="N510" t="s">
        <v>44</v>
      </c>
      <c r="O510" t="s">
        <v>44</v>
      </c>
      <c r="P510" t="s">
        <v>78</v>
      </c>
      <c r="Q510" t="s">
        <v>1636</v>
      </c>
      <c r="R510" t="s">
        <v>572</v>
      </c>
      <c r="S510" t="s">
        <v>17</v>
      </c>
    </row>
    <row r="511" spans="1:19" x14ac:dyDescent="0.25">
      <c r="A511" t="s">
        <v>1637</v>
      </c>
      <c r="B511" t="s">
        <v>1637</v>
      </c>
      <c r="C511">
        <v>2.933313965</v>
      </c>
      <c r="D511" s="38">
        <v>45950</v>
      </c>
      <c r="E511" s="38">
        <v>44032</v>
      </c>
      <c r="F511">
        <v>27.816617996000002</v>
      </c>
      <c r="G511">
        <v>209.711357316</v>
      </c>
      <c r="H511">
        <v>100.16249999999999</v>
      </c>
      <c r="I511" t="s">
        <v>78</v>
      </c>
      <c r="J511">
        <v>20180712</v>
      </c>
      <c r="K511" t="s">
        <v>44</v>
      </c>
      <c r="L511" t="s">
        <v>119</v>
      </c>
      <c r="M511" t="s">
        <v>44</v>
      </c>
      <c r="N511" t="s">
        <v>44</v>
      </c>
      <c r="O511" t="s">
        <v>44</v>
      </c>
      <c r="P511" t="s">
        <v>78</v>
      </c>
      <c r="Q511" t="s">
        <v>119</v>
      </c>
      <c r="R511" t="s">
        <v>572</v>
      </c>
      <c r="S511" t="s">
        <v>21</v>
      </c>
    </row>
    <row r="512" spans="1:19" x14ac:dyDescent="0.25">
      <c r="A512" t="s">
        <v>1638</v>
      </c>
      <c r="B512" t="s">
        <v>1638</v>
      </c>
      <c r="C512">
        <v>1.8178755099999999</v>
      </c>
      <c r="D512" s="38">
        <v>45950</v>
      </c>
      <c r="E512" s="38">
        <v>45127</v>
      </c>
      <c r="F512">
        <v>12.49097385</v>
      </c>
      <c r="G512">
        <v>438.95855389399998</v>
      </c>
      <c r="H512">
        <v>90.311599999999999</v>
      </c>
      <c r="I512" t="s">
        <v>157</v>
      </c>
      <c r="J512">
        <v>20210720</v>
      </c>
      <c r="K512" t="s">
        <v>44</v>
      </c>
      <c r="L512" t="s">
        <v>44</v>
      </c>
      <c r="M512" t="s">
        <v>44</v>
      </c>
      <c r="N512" t="s">
        <v>777</v>
      </c>
      <c r="O512" t="s">
        <v>44</v>
      </c>
      <c r="P512" t="s">
        <v>78</v>
      </c>
      <c r="Q512" t="s">
        <v>777</v>
      </c>
      <c r="R512" t="s">
        <v>656</v>
      </c>
      <c r="S512" t="s">
        <v>28</v>
      </c>
    </row>
    <row r="513" spans="1:19" x14ac:dyDescent="0.25">
      <c r="A513" t="s">
        <v>1639</v>
      </c>
      <c r="B513" t="s">
        <v>1639</v>
      </c>
      <c r="C513">
        <v>2.0454133149999998</v>
      </c>
      <c r="D513" s="38">
        <v>45950</v>
      </c>
      <c r="E513" s="38">
        <v>45311</v>
      </c>
      <c r="F513">
        <v>10.888076460000001</v>
      </c>
      <c r="G513">
        <v>554.98041726899999</v>
      </c>
      <c r="H513">
        <v>87.153800000000004</v>
      </c>
      <c r="I513" t="s">
        <v>157</v>
      </c>
      <c r="J513">
        <v>20211119</v>
      </c>
      <c r="K513" t="s">
        <v>44</v>
      </c>
      <c r="L513" t="s">
        <v>44</v>
      </c>
      <c r="M513" t="s">
        <v>44</v>
      </c>
      <c r="N513" t="s">
        <v>777</v>
      </c>
      <c r="O513" t="s">
        <v>44</v>
      </c>
      <c r="P513" t="s">
        <v>78</v>
      </c>
      <c r="Q513" t="s">
        <v>777</v>
      </c>
      <c r="R513" t="s">
        <v>656</v>
      </c>
      <c r="S513" t="s">
        <v>28</v>
      </c>
    </row>
    <row r="514" spans="1:19" x14ac:dyDescent="0.25">
      <c r="A514" t="s">
        <v>1640</v>
      </c>
      <c r="B514" t="s">
        <v>1640</v>
      </c>
      <c r="C514">
        <v>2.9825430509999999</v>
      </c>
      <c r="D514" s="38">
        <v>45950</v>
      </c>
      <c r="E514" s="38">
        <v>44911</v>
      </c>
      <c r="F514">
        <v>15.174783342</v>
      </c>
      <c r="G514">
        <v>323.02062487400002</v>
      </c>
      <c r="H514">
        <v>88.414400000000001</v>
      </c>
      <c r="I514" t="s">
        <v>157</v>
      </c>
      <c r="J514">
        <v>20201216</v>
      </c>
      <c r="K514" t="s">
        <v>44</v>
      </c>
      <c r="L514" t="s">
        <v>44</v>
      </c>
      <c r="M514" t="s">
        <v>44</v>
      </c>
      <c r="N514" t="s">
        <v>777</v>
      </c>
      <c r="O514" t="s">
        <v>44</v>
      </c>
      <c r="P514" t="s">
        <v>78</v>
      </c>
      <c r="Q514" t="s">
        <v>777</v>
      </c>
      <c r="R514" t="s">
        <v>656</v>
      </c>
      <c r="S514" t="s">
        <v>28</v>
      </c>
    </row>
    <row r="515" spans="1:19" x14ac:dyDescent="0.25">
      <c r="A515" t="s">
        <v>1641</v>
      </c>
      <c r="B515" t="s">
        <v>1641</v>
      </c>
      <c r="C515">
        <v>5.6217117050000001</v>
      </c>
      <c r="D515" s="38">
        <v>45950</v>
      </c>
      <c r="E515" s="38">
        <v>45127</v>
      </c>
      <c r="F515">
        <v>8.6891639509999994</v>
      </c>
      <c r="G515">
        <v>751.37957335600004</v>
      </c>
      <c r="H515">
        <v>75.031800000000004</v>
      </c>
      <c r="I515" t="s">
        <v>157</v>
      </c>
      <c r="J515">
        <v>20210720</v>
      </c>
      <c r="K515" t="s">
        <v>44</v>
      </c>
      <c r="L515" t="s">
        <v>44</v>
      </c>
      <c r="M515" t="s">
        <v>44</v>
      </c>
      <c r="N515" t="s">
        <v>1363</v>
      </c>
      <c r="O515" t="s">
        <v>44</v>
      </c>
      <c r="P515" t="s">
        <v>78</v>
      </c>
      <c r="Q515" t="s">
        <v>1363</v>
      </c>
      <c r="R515" t="s">
        <v>656</v>
      </c>
      <c r="S515" t="s">
        <v>32</v>
      </c>
    </row>
    <row r="516" spans="1:19" x14ac:dyDescent="0.25">
      <c r="A516" t="s">
        <v>1642</v>
      </c>
      <c r="B516" t="s">
        <v>1642</v>
      </c>
      <c r="C516">
        <v>6.2828397450000004</v>
      </c>
      <c r="D516" s="38">
        <v>45950</v>
      </c>
      <c r="E516" s="38">
        <v>45311</v>
      </c>
      <c r="F516">
        <v>6.2692914240000004</v>
      </c>
      <c r="G516">
        <v>879.84878710999999</v>
      </c>
      <c r="H516">
        <v>70.748500000000007</v>
      </c>
      <c r="I516" t="s">
        <v>157</v>
      </c>
      <c r="J516">
        <v>20211119</v>
      </c>
      <c r="K516" t="s">
        <v>44</v>
      </c>
      <c r="L516" t="s">
        <v>44</v>
      </c>
      <c r="M516" t="s">
        <v>44</v>
      </c>
      <c r="N516" t="s">
        <v>1363</v>
      </c>
      <c r="O516" t="s">
        <v>44</v>
      </c>
      <c r="P516" t="s">
        <v>78</v>
      </c>
      <c r="Q516" t="s">
        <v>1363</v>
      </c>
      <c r="R516" t="s">
        <v>656</v>
      </c>
      <c r="S516" t="s">
        <v>32</v>
      </c>
    </row>
    <row r="517" spans="1:19" x14ac:dyDescent="0.25">
      <c r="A517" t="s">
        <v>1643</v>
      </c>
      <c r="B517" t="s">
        <v>1643</v>
      </c>
      <c r="C517">
        <v>5.0533222499999999</v>
      </c>
      <c r="D517" s="38">
        <v>45950</v>
      </c>
      <c r="E517" s="38">
        <v>44911</v>
      </c>
      <c r="F517">
        <v>10.582575523999999</v>
      </c>
      <c r="G517">
        <v>578.31378027000005</v>
      </c>
      <c r="H517">
        <v>83.453100000000006</v>
      </c>
      <c r="I517" t="s">
        <v>157</v>
      </c>
      <c r="J517">
        <v>20201216</v>
      </c>
      <c r="K517" t="s">
        <v>44</v>
      </c>
      <c r="L517" t="s">
        <v>44</v>
      </c>
      <c r="M517" t="s">
        <v>44</v>
      </c>
      <c r="N517" t="s">
        <v>1363</v>
      </c>
      <c r="O517" t="s">
        <v>44</v>
      </c>
      <c r="P517" t="s">
        <v>78</v>
      </c>
      <c r="Q517" t="s">
        <v>1363</v>
      </c>
      <c r="R517" t="s">
        <v>656</v>
      </c>
      <c r="S517" t="s">
        <v>32</v>
      </c>
    </row>
    <row r="518" spans="1:19" x14ac:dyDescent="0.25">
      <c r="A518" t="s">
        <v>1644</v>
      </c>
      <c r="B518" t="s">
        <v>1644</v>
      </c>
      <c r="C518">
        <v>5.0533222499999999</v>
      </c>
      <c r="D518" s="38">
        <v>45950</v>
      </c>
      <c r="E518" s="38">
        <v>44911</v>
      </c>
      <c r="F518">
        <v>10.582575523999999</v>
      </c>
      <c r="G518">
        <v>583.779034153</v>
      </c>
      <c r="H518">
        <v>63.052100000000003</v>
      </c>
      <c r="I518" t="s">
        <v>157</v>
      </c>
      <c r="J518">
        <v>20201216</v>
      </c>
      <c r="K518" t="s">
        <v>44</v>
      </c>
      <c r="L518" t="s">
        <v>44</v>
      </c>
      <c r="M518" t="s">
        <v>44</v>
      </c>
      <c r="N518" t="s">
        <v>1363</v>
      </c>
      <c r="O518" t="s">
        <v>44</v>
      </c>
      <c r="P518" t="s">
        <v>78</v>
      </c>
      <c r="Q518" t="s">
        <v>1363</v>
      </c>
      <c r="R518" t="s">
        <v>656</v>
      </c>
      <c r="S518" t="s">
        <v>32</v>
      </c>
    </row>
    <row r="519" spans="1:19" x14ac:dyDescent="0.25">
      <c r="A519" t="s">
        <v>1645</v>
      </c>
      <c r="B519" t="s">
        <v>1645</v>
      </c>
      <c r="C519">
        <v>8.9379400320000002</v>
      </c>
      <c r="D519" s="38">
        <v>45955</v>
      </c>
      <c r="E519" s="38">
        <v>46493</v>
      </c>
      <c r="F519">
        <v>18.115994107999999</v>
      </c>
      <c r="G519">
        <v>183.156647795</v>
      </c>
      <c r="H519">
        <v>100.47669999999999</v>
      </c>
      <c r="I519" t="s">
        <v>181</v>
      </c>
      <c r="J519">
        <v>20250416</v>
      </c>
      <c r="K519" t="s">
        <v>44</v>
      </c>
      <c r="L519" t="s">
        <v>44</v>
      </c>
      <c r="M519" t="s">
        <v>24</v>
      </c>
      <c r="N519" t="s">
        <v>44</v>
      </c>
      <c r="O519" t="s">
        <v>44</v>
      </c>
      <c r="P519" t="s">
        <v>135</v>
      </c>
      <c r="Q519" t="s">
        <v>24</v>
      </c>
      <c r="R519" t="s">
        <v>590</v>
      </c>
      <c r="S519" t="s">
        <v>24</v>
      </c>
    </row>
    <row r="520" spans="1:19" x14ac:dyDescent="0.25">
      <c r="A520" t="s">
        <v>1646</v>
      </c>
      <c r="B520" t="s">
        <v>1646</v>
      </c>
      <c r="C520">
        <v>9.4689049399999998</v>
      </c>
      <c r="D520" s="38">
        <v>45955</v>
      </c>
      <c r="E520" s="38">
        <v>46493</v>
      </c>
      <c r="F520">
        <v>12.124481482</v>
      </c>
      <c r="G520">
        <v>280.489202659</v>
      </c>
      <c r="H520">
        <v>100.3035</v>
      </c>
      <c r="I520" t="s">
        <v>181</v>
      </c>
      <c r="J520">
        <v>20250416</v>
      </c>
      <c r="K520" t="s">
        <v>44</v>
      </c>
      <c r="L520" t="s">
        <v>44</v>
      </c>
      <c r="M520" t="s">
        <v>777</v>
      </c>
      <c r="N520" t="s">
        <v>44</v>
      </c>
      <c r="O520" t="s">
        <v>44</v>
      </c>
      <c r="P520" t="s">
        <v>135</v>
      </c>
      <c r="Q520" t="s">
        <v>777</v>
      </c>
      <c r="R520" t="s">
        <v>590</v>
      </c>
      <c r="S520" t="s">
        <v>28</v>
      </c>
    </row>
    <row r="521" spans="1:19" x14ac:dyDescent="0.25">
      <c r="A521" t="s">
        <v>1647</v>
      </c>
      <c r="B521" t="s">
        <v>1647</v>
      </c>
      <c r="C521">
        <v>8.8342951270000007</v>
      </c>
      <c r="D521" s="38">
        <v>45953</v>
      </c>
      <c r="E521" s="38">
        <v>46459</v>
      </c>
      <c r="F521">
        <v>18.160428862</v>
      </c>
      <c r="G521">
        <v>169.24193471800001</v>
      </c>
      <c r="H521">
        <v>100.0397</v>
      </c>
      <c r="I521" t="s">
        <v>159</v>
      </c>
      <c r="J521">
        <v>20250313</v>
      </c>
      <c r="K521" t="s">
        <v>44</v>
      </c>
      <c r="L521" t="s">
        <v>44</v>
      </c>
      <c r="M521" t="s">
        <v>24</v>
      </c>
      <c r="N521" t="s">
        <v>44</v>
      </c>
      <c r="O521" t="s">
        <v>44</v>
      </c>
      <c r="P521" t="s">
        <v>971</v>
      </c>
      <c r="Q521" t="s">
        <v>24</v>
      </c>
      <c r="R521" t="s">
        <v>590</v>
      </c>
      <c r="S521" t="s">
        <v>24</v>
      </c>
    </row>
    <row r="522" spans="1:19" x14ac:dyDescent="0.25">
      <c r="A522" t="s">
        <v>1648</v>
      </c>
      <c r="B522" t="s">
        <v>1648</v>
      </c>
      <c r="C522">
        <v>9.4038470479999994</v>
      </c>
      <c r="D522" s="38">
        <v>45953</v>
      </c>
      <c r="E522" s="38">
        <v>46459</v>
      </c>
      <c r="F522">
        <v>12.17216756</v>
      </c>
      <c r="G522">
        <v>247.26417668900001</v>
      </c>
      <c r="H522">
        <v>100.176</v>
      </c>
      <c r="I522" t="s">
        <v>159</v>
      </c>
      <c r="J522">
        <v>20250313</v>
      </c>
      <c r="K522" t="s">
        <v>44</v>
      </c>
      <c r="L522" t="s">
        <v>44</v>
      </c>
      <c r="M522" t="s">
        <v>777</v>
      </c>
      <c r="N522" t="s">
        <v>44</v>
      </c>
      <c r="O522" t="s">
        <v>44</v>
      </c>
      <c r="P522" t="s">
        <v>971</v>
      </c>
      <c r="Q522" t="s">
        <v>777</v>
      </c>
      <c r="R522" t="s">
        <v>590</v>
      </c>
      <c r="S522" t="s">
        <v>28</v>
      </c>
    </row>
    <row r="523" spans="1:19" x14ac:dyDescent="0.25">
      <c r="A523" t="s">
        <v>1649</v>
      </c>
      <c r="B523" t="s">
        <v>1649</v>
      </c>
      <c r="C523">
        <v>9.2847957700000006</v>
      </c>
      <c r="D523" s="38">
        <v>45947</v>
      </c>
      <c r="E523" s="38">
        <v>46404</v>
      </c>
      <c r="F523">
        <v>12.061834128999999</v>
      </c>
      <c r="G523">
        <v>255.09456354</v>
      </c>
      <c r="H523">
        <v>100.3416</v>
      </c>
      <c r="I523" t="s">
        <v>159</v>
      </c>
      <c r="J523">
        <v>20250206</v>
      </c>
      <c r="K523" t="s">
        <v>44</v>
      </c>
      <c r="L523" t="s">
        <v>44</v>
      </c>
      <c r="M523" t="s">
        <v>777</v>
      </c>
      <c r="N523" t="s">
        <v>44</v>
      </c>
      <c r="O523" t="s">
        <v>44</v>
      </c>
      <c r="P523" t="s">
        <v>971</v>
      </c>
      <c r="Q523" t="s">
        <v>777</v>
      </c>
      <c r="R523" t="s">
        <v>590</v>
      </c>
      <c r="S523" t="s">
        <v>28</v>
      </c>
    </row>
    <row r="524" spans="1:19" x14ac:dyDescent="0.25">
      <c r="A524" t="s">
        <v>1650</v>
      </c>
      <c r="B524" t="s">
        <v>1650</v>
      </c>
      <c r="C524">
        <v>6.0538467149999997</v>
      </c>
      <c r="D524" s="38">
        <v>45947</v>
      </c>
      <c r="E524" s="38">
        <v>45094</v>
      </c>
      <c r="F524">
        <v>11.346323097000001</v>
      </c>
      <c r="G524">
        <v>311.08180850899998</v>
      </c>
      <c r="H524">
        <v>100.2454</v>
      </c>
      <c r="I524" t="s">
        <v>124</v>
      </c>
      <c r="J524">
        <v>20210617</v>
      </c>
      <c r="K524" t="s">
        <v>777</v>
      </c>
      <c r="L524" t="s">
        <v>44</v>
      </c>
      <c r="M524" t="s">
        <v>44</v>
      </c>
      <c r="N524" t="s">
        <v>44</v>
      </c>
      <c r="O524" t="s">
        <v>44</v>
      </c>
      <c r="P524" t="s">
        <v>312</v>
      </c>
      <c r="Q524" t="s">
        <v>777</v>
      </c>
      <c r="R524" t="s">
        <v>598</v>
      </c>
      <c r="S524" t="s">
        <v>28</v>
      </c>
    </row>
    <row r="525" spans="1:19" x14ac:dyDescent="0.25">
      <c r="A525" t="s">
        <v>1651</v>
      </c>
      <c r="B525" t="s">
        <v>1651</v>
      </c>
      <c r="C525">
        <v>8.5484472290000006</v>
      </c>
      <c r="D525" s="38">
        <v>45956</v>
      </c>
      <c r="E525" s="38">
        <v>46100</v>
      </c>
      <c r="F525">
        <v>12.542421632</v>
      </c>
      <c r="G525">
        <v>330.26119481500001</v>
      </c>
      <c r="H525">
        <v>100.62390000000001</v>
      </c>
      <c r="I525" t="s">
        <v>69</v>
      </c>
      <c r="J525">
        <v>20240319</v>
      </c>
      <c r="K525" t="s">
        <v>44</v>
      </c>
      <c r="L525" t="s">
        <v>44</v>
      </c>
      <c r="M525" t="s">
        <v>777</v>
      </c>
      <c r="N525" t="s">
        <v>44</v>
      </c>
      <c r="O525" t="s">
        <v>44</v>
      </c>
      <c r="P525" t="s">
        <v>240</v>
      </c>
      <c r="Q525" t="s">
        <v>777</v>
      </c>
      <c r="R525" t="s">
        <v>590</v>
      </c>
      <c r="S525" t="s">
        <v>28</v>
      </c>
    </row>
    <row r="526" spans="1:19" x14ac:dyDescent="0.25">
      <c r="A526" t="s">
        <v>1652</v>
      </c>
      <c r="B526" t="s">
        <v>1652</v>
      </c>
      <c r="C526">
        <v>8.7601952430000001</v>
      </c>
      <c r="D526" s="38">
        <v>45950</v>
      </c>
      <c r="E526" s="38">
        <v>46497</v>
      </c>
      <c r="F526">
        <v>18</v>
      </c>
      <c r="G526">
        <v>169.89065972899999</v>
      </c>
      <c r="H526">
        <v>100.3548</v>
      </c>
      <c r="I526" t="s">
        <v>209</v>
      </c>
      <c r="J526">
        <v>20250310</v>
      </c>
      <c r="K526" t="s">
        <v>24</v>
      </c>
      <c r="L526" t="s">
        <v>44</v>
      </c>
      <c r="M526" t="s">
        <v>44</v>
      </c>
      <c r="N526" t="s">
        <v>44</v>
      </c>
      <c r="O526" t="s">
        <v>44</v>
      </c>
      <c r="P526" t="s">
        <v>1653</v>
      </c>
      <c r="Q526" t="s">
        <v>24</v>
      </c>
      <c r="R526" t="s">
        <v>598</v>
      </c>
      <c r="S526" t="s">
        <v>24</v>
      </c>
    </row>
    <row r="527" spans="1:19" x14ac:dyDescent="0.25">
      <c r="A527" t="s">
        <v>1654</v>
      </c>
      <c r="B527" t="s">
        <v>1654</v>
      </c>
      <c r="C527">
        <v>9.3678091099999996</v>
      </c>
      <c r="D527" s="38">
        <v>45950</v>
      </c>
      <c r="E527" s="38">
        <v>46497</v>
      </c>
      <c r="F527">
        <v>12</v>
      </c>
      <c r="G527">
        <v>253.08023070799999</v>
      </c>
      <c r="H527">
        <v>100.48860000000001</v>
      </c>
      <c r="I527" t="s">
        <v>209</v>
      </c>
      <c r="J527">
        <v>20250310</v>
      </c>
      <c r="K527" t="s">
        <v>777</v>
      </c>
      <c r="L527" t="s">
        <v>44</v>
      </c>
      <c r="M527" t="s">
        <v>44</v>
      </c>
      <c r="N527" t="s">
        <v>44</v>
      </c>
      <c r="O527" t="s">
        <v>44</v>
      </c>
      <c r="P527" t="s">
        <v>1653</v>
      </c>
      <c r="Q527" t="s">
        <v>777</v>
      </c>
      <c r="R527" t="s">
        <v>598</v>
      </c>
      <c r="S527" t="s">
        <v>28</v>
      </c>
    </row>
    <row r="528" spans="1:19" x14ac:dyDescent="0.25">
      <c r="A528" t="s">
        <v>1655</v>
      </c>
      <c r="B528" t="s">
        <v>1655</v>
      </c>
      <c r="C528">
        <v>9.4327378329999991</v>
      </c>
      <c r="D528" s="38">
        <v>45952</v>
      </c>
      <c r="E528" s="38">
        <v>46446</v>
      </c>
      <c r="F528">
        <v>12.42843937</v>
      </c>
      <c r="G528">
        <v>243.40037555800001</v>
      </c>
      <c r="H528">
        <v>100.45189999999999</v>
      </c>
      <c r="I528" t="s">
        <v>85</v>
      </c>
      <c r="J528">
        <v>20250228</v>
      </c>
      <c r="K528" t="s">
        <v>777</v>
      </c>
      <c r="L528" t="s">
        <v>44</v>
      </c>
      <c r="M528" t="s">
        <v>44</v>
      </c>
      <c r="N528" t="s">
        <v>44</v>
      </c>
      <c r="O528" t="s">
        <v>44</v>
      </c>
      <c r="P528" t="s">
        <v>1656</v>
      </c>
      <c r="Q528" t="s">
        <v>777</v>
      </c>
      <c r="R528" t="s">
        <v>598</v>
      </c>
      <c r="S528" t="s">
        <v>28</v>
      </c>
    </row>
    <row r="529" spans="1:19" x14ac:dyDescent="0.25">
      <c r="A529" t="s">
        <v>1657</v>
      </c>
      <c r="B529" t="s">
        <v>1657</v>
      </c>
      <c r="C529">
        <v>9.4449638240000002</v>
      </c>
      <c r="D529" s="38">
        <v>45947</v>
      </c>
      <c r="E529" s="38">
        <v>46494</v>
      </c>
      <c r="F529">
        <v>12.431826345999999</v>
      </c>
      <c r="G529">
        <v>243.00581962800001</v>
      </c>
      <c r="H529">
        <v>100.4863</v>
      </c>
      <c r="I529" t="s">
        <v>85</v>
      </c>
      <c r="J529">
        <v>20250331</v>
      </c>
      <c r="K529" t="s">
        <v>777</v>
      </c>
      <c r="L529" t="s">
        <v>44</v>
      </c>
      <c r="M529" t="s">
        <v>44</v>
      </c>
      <c r="N529" t="s">
        <v>44</v>
      </c>
      <c r="O529" t="s">
        <v>44</v>
      </c>
      <c r="P529" t="s">
        <v>1658</v>
      </c>
      <c r="Q529" t="s">
        <v>777</v>
      </c>
      <c r="R529" t="s">
        <v>598</v>
      </c>
      <c r="S529" t="s">
        <v>28</v>
      </c>
    </row>
    <row r="530" spans="1:19" x14ac:dyDescent="0.25">
      <c r="A530" t="s">
        <v>1659</v>
      </c>
      <c r="B530" t="s">
        <v>1659</v>
      </c>
      <c r="C530">
        <v>2.1081602570000002</v>
      </c>
      <c r="D530" s="38">
        <v>45953</v>
      </c>
      <c r="E530" s="38">
        <v>44035</v>
      </c>
      <c r="F530">
        <v>43.404245496999998</v>
      </c>
      <c r="G530">
        <v>256.22037904699999</v>
      </c>
      <c r="H530">
        <v>100.2787</v>
      </c>
      <c r="I530" t="s">
        <v>165</v>
      </c>
      <c r="J530">
        <v>20180723</v>
      </c>
      <c r="K530" t="s">
        <v>21</v>
      </c>
      <c r="L530" t="s">
        <v>44</v>
      </c>
      <c r="M530" t="s">
        <v>44</v>
      </c>
      <c r="N530" t="s">
        <v>44</v>
      </c>
      <c r="O530" t="s">
        <v>44</v>
      </c>
      <c r="P530" t="s">
        <v>1569</v>
      </c>
      <c r="Q530" t="s">
        <v>21</v>
      </c>
      <c r="R530" t="s">
        <v>598</v>
      </c>
      <c r="S530" t="s">
        <v>21</v>
      </c>
    </row>
    <row r="531" spans="1:19" x14ac:dyDescent="0.25">
      <c r="A531" t="s">
        <v>1660</v>
      </c>
      <c r="B531" t="s">
        <v>1660</v>
      </c>
      <c r="D531" s="38">
        <v>45955</v>
      </c>
      <c r="E531" s="38">
        <v>46556</v>
      </c>
      <c r="I531" t="s">
        <v>154</v>
      </c>
      <c r="J531">
        <v>20230424</v>
      </c>
      <c r="K531" t="s">
        <v>24</v>
      </c>
      <c r="L531" t="s">
        <v>44</v>
      </c>
      <c r="M531" t="s">
        <v>44</v>
      </c>
      <c r="N531" t="s">
        <v>44</v>
      </c>
      <c r="O531" t="s">
        <v>44</v>
      </c>
      <c r="P531" t="s">
        <v>762</v>
      </c>
      <c r="Q531" t="s">
        <v>24</v>
      </c>
      <c r="R531" t="s">
        <v>598</v>
      </c>
      <c r="S531" t="s">
        <v>24</v>
      </c>
    </row>
    <row r="532" spans="1:19" x14ac:dyDescent="0.25">
      <c r="A532" t="s">
        <v>1661</v>
      </c>
      <c r="B532" t="s">
        <v>1661</v>
      </c>
      <c r="D532" s="38">
        <v>45955</v>
      </c>
      <c r="E532" s="38">
        <v>46556</v>
      </c>
      <c r="I532" t="s">
        <v>154</v>
      </c>
      <c r="J532">
        <v>20230424</v>
      </c>
      <c r="K532" t="s">
        <v>777</v>
      </c>
      <c r="L532" t="s">
        <v>44</v>
      </c>
      <c r="M532" t="s">
        <v>44</v>
      </c>
      <c r="N532" t="s">
        <v>44</v>
      </c>
      <c r="O532" t="s">
        <v>44</v>
      </c>
      <c r="P532" t="s">
        <v>762</v>
      </c>
      <c r="Q532" t="s">
        <v>777</v>
      </c>
      <c r="R532" t="s">
        <v>598</v>
      </c>
      <c r="S532" t="s">
        <v>28</v>
      </c>
    </row>
    <row r="533" spans="1:19" x14ac:dyDescent="0.25">
      <c r="A533" t="s">
        <v>1662</v>
      </c>
      <c r="B533" t="s">
        <v>1662</v>
      </c>
      <c r="C533">
        <v>2.608461208</v>
      </c>
      <c r="D533" s="38">
        <v>45950</v>
      </c>
      <c r="E533" s="38">
        <v>45575</v>
      </c>
      <c r="F533">
        <v>39.940097578</v>
      </c>
      <c r="G533">
        <v>233.152102281</v>
      </c>
      <c r="H533">
        <v>100.1764</v>
      </c>
      <c r="I533" t="s">
        <v>154</v>
      </c>
      <c r="J533">
        <v>20181121</v>
      </c>
      <c r="K533" t="s">
        <v>44</v>
      </c>
      <c r="L533" t="s">
        <v>119</v>
      </c>
      <c r="M533" t="s">
        <v>44</v>
      </c>
      <c r="N533" t="s">
        <v>44</v>
      </c>
      <c r="O533" t="s">
        <v>44</v>
      </c>
      <c r="P533" t="s">
        <v>762</v>
      </c>
      <c r="Q533" t="s">
        <v>119</v>
      </c>
      <c r="R533" t="s">
        <v>572</v>
      </c>
      <c r="S533" t="s">
        <v>21</v>
      </c>
    </row>
    <row r="534" spans="1:19" x14ac:dyDescent="0.25">
      <c r="A534" t="s">
        <v>1663</v>
      </c>
      <c r="B534" t="s">
        <v>1663</v>
      </c>
      <c r="C534">
        <v>4.5418052309999997</v>
      </c>
      <c r="D534" s="38">
        <v>45945</v>
      </c>
      <c r="E534" s="38">
        <v>45282</v>
      </c>
      <c r="F534">
        <v>10.372312392</v>
      </c>
      <c r="G534">
        <v>912.44497825799999</v>
      </c>
      <c r="H534">
        <v>86.621499999999997</v>
      </c>
      <c r="I534" t="s">
        <v>99</v>
      </c>
      <c r="J534">
        <v>20211222</v>
      </c>
      <c r="K534" t="s">
        <v>44</v>
      </c>
      <c r="L534" t="s">
        <v>44</v>
      </c>
      <c r="M534" t="s">
        <v>44</v>
      </c>
      <c r="N534" t="s">
        <v>1363</v>
      </c>
      <c r="O534" t="s">
        <v>44</v>
      </c>
      <c r="P534" t="s">
        <v>289</v>
      </c>
      <c r="Q534" t="s">
        <v>1363</v>
      </c>
      <c r="R534" t="s">
        <v>656</v>
      </c>
      <c r="S534" t="s">
        <v>32</v>
      </c>
    </row>
    <row r="535" spans="1:19" x14ac:dyDescent="0.25">
      <c r="A535" t="s">
        <v>1664</v>
      </c>
      <c r="B535" t="s">
        <v>1664</v>
      </c>
      <c r="D535" s="38">
        <v>45956</v>
      </c>
      <c r="E535" s="38">
        <v>45225</v>
      </c>
      <c r="F535">
        <v>7.9995050240000003</v>
      </c>
      <c r="I535" t="s">
        <v>106</v>
      </c>
      <c r="J535">
        <v>20211103</v>
      </c>
      <c r="K535" t="s">
        <v>44</v>
      </c>
      <c r="L535" t="s">
        <v>44</v>
      </c>
      <c r="M535" t="s">
        <v>44</v>
      </c>
      <c r="N535" t="s">
        <v>777</v>
      </c>
      <c r="O535" t="s">
        <v>44</v>
      </c>
      <c r="P535" t="s">
        <v>1665</v>
      </c>
      <c r="Q535" t="s">
        <v>777</v>
      </c>
      <c r="R535" t="s">
        <v>656</v>
      </c>
      <c r="S535" t="s">
        <v>28</v>
      </c>
    </row>
    <row r="536" spans="1:19" x14ac:dyDescent="0.25">
      <c r="A536" t="s">
        <v>1666</v>
      </c>
      <c r="B536" t="s">
        <v>1666</v>
      </c>
      <c r="D536" s="38">
        <v>45956</v>
      </c>
      <c r="E536" s="38">
        <v>45225</v>
      </c>
      <c r="F536">
        <v>3.3245518340000002</v>
      </c>
      <c r="I536" t="s">
        <v>106</v>
      </c>
      <c r="J536">
        <v>20211103</v>
      </c>
      <c r="K536" t="s">
        <v>44</v>
      </c>
      <c r="L536" t="s">
        <v>44</v>
      </c>
      <c r="M536" t="s">
        <v>44</v>
      </c>
      <c r="N536" t="s">
        <v>1363</v>
      </c>
      <c r="O536" t="s">
        <v>44</v>
      </c>
      <c r="P536" t="s">
        <v>1665</v>
      </c>
      <c r="Q536" t="s">
        <v>1363</v>
      </c>
      <c r="R536" t="s">
        <v>656</v>
      </c>
      <c r="S536" t="s">
        <v>32</v>
      </c>
    </row>
    <row r="537" spans="1:19" x14ac:dyDescent="0.25">
      <c r="A537" t="s">
        <v>1667</v>
      </c>
      <c r="B537" t="s">
        <v>1667</v>
      </c>
      <c r="C537">
        <v>9.4517296589999997</v>
      </c>
      <c r="D537" s="38">
        <v>45950</v>
      </c>
      <c r="E537" s="38">
        <v>46497</v>
      </c>
      <c r="F537">
        <v>12.042573499</v>
      </c>
      <c r="G537">
        <v>272.074854346</v>
      </c>
      <c r="H537">
        <v>100.18989999999999</v>
      </c>
      <c r="I537" t="s">
        <v>182</v>
      </c>
      <c r="J537">
        <v>20250417</v>
      </c>
      <c r="K537" t="s">
        <v>44</v>
      </c>
      <c r="L537" t="s">
        <v>44</v>
      </c>
      <c r="M537" t="s">
        <v>777</v>
      </c>
      <c r="N537" t="s">
        <v>44</v>
      </c>
      <c r="O537" t="s">
        <v>44</v>
      </c>
      <c r="P537" t="s">
        <v>358</v>
      </c>
      <c r="Q537" t="s">
        <v>777</v>
      </c>
      <c r="R537" t="s">
        <v>590</v>
      </c>
      <c r="S537" t="s">
        <v>28</v>
      </c>
    </row>
    <row r="538" spans="1:19" x14ac:dyDescent="0.25">
      <c r="A538" t="s">
        <v>1668</v>
      </c>
      <c r="B538" t="s">
        <v>1668</v>
      </c>
      <c r="C538">
        <v>3.382467895</v>
      </c>
      <c r="D538" s="38">
        <v>45945</v>
      </c>
      <c r="E538" s="38">
        <v>44027</v>
      </c>
      <c r="F538">
        <v>18.033800598999999</v>
      </c>
      <c r="G538">
        <v>337.29443293399999</v>
      </c>
      <c r="H538">
        <v>100.10550000000001</v>
      </c>
      <c r="I538" t="s">
        <v>121</v>
      </c>
      <c r="J538">
        <v>20180823</v>
      </c>
      <c r="K538" t="s">
        <v>44</v>
      </c>
      <c r="L538" t="s">
        <v>815</v>
      </c>
      <c r="M538" t="s">
        <v>44</v>
      </c>
      <c r="N538" t="s">
        <v>44</v>
      </c>
      <c r="O538" t="s">
        <v>44</v>
      </c>
      <c r="P538" t="s">
        <v>506</v>
      </c>
      <c r="Q538" t="s">
        <v>815</v>
      </c>
      <c r="R538" t="s">
        <v>572</v>
      </c>
      <c r="S538" t="s">
        <v>28</v>
      </c>
    </row>
    <row r="539" spans="1:19" x14ac:dyDescent="0.25">
      <c r="A539" t="s">
        <v>1669</v>
      </c>
      <c r="B539" t="s">
        <v>1669</v>
      </c>
      <c r="C539">
        <v>6.5914745769999996</v>
      </c>
      <c r="D539" s="38">
        <v>45945</v>
      </c>
      <c r="E539" s="38">
        <v>45376</v>
      </c>
      <c r="F539">
        <v>10.090859578</v>
      </c>
      <c r="G539">
        <v>359.23873584299997</v>
      </c>
      <c r="H539">
        <v>98.187200000000004</v>
      </c>
      <c r="I539" t="s">
        <v>121</v>
      </c>
      <c r="J539">
        <v>20220325</v>
      </c>
      <c r="K539" t="s">
        <v>44</v>
      </c>
      <c r="L539" t="s">
        <v>44</v>
      </c>
      <c r="M539" t="s">
        <v>28</v>
      </c>
      <c r="N539" t="s">
        <v>44</v>
      </c>
      <c r="O539" t="s">
        <v>44</v>
      </c>
      <c r="P539" t="s">
        <v>506</v>
      </c>
      <c r="Q539" t="s">
        <v>28</v>
      </c>
      <c r="R539" t="s">
        <v>590</v>
      </c>
      <c r="S539" t="s">
        <v>28</v>
      </c>
    </row>
    <row r="540" spans="1:19" x14ac:dyDescent="0.25">
      <c r="A540" t="s">
        <v>1670</v>
      </c>
      <c r="B540" t="s">
        <v>1670</v>
      </c>
      <c r="C540">
        <v>8.6423428229999999</v>
      </c>
      <c r="D540" s="38">
        <v>45945</v>
      </c>
      <c r="E540" s="38">
        <v>46127</v>
      </c>
      <c r="F540">
        <v>12.759413469</v>
      </c>
      <c r="G540">
        <v>356.79832010299998</v>
      </c>
      <c r="H540">
        <v>100.5214</v>
      </c>
      <c r="I540" t="s">
        <v>121</v>
      </c>
      <c r="J540">
        <v>20240503</v>
      </c>
      <c r="K540" t="s">
        <v>28</v>
      </c>
      <c r="L540" t="s">
        <v>44</v>
      </c>
      <c r="M540" t="s">
        <v>44</v>
      </c>
      <c r="N540" t="s">
        <v>44</v>
      </c>
      <c r="O540" t="s">
        <v>44</v>
      </c>
      <c r="P540" t="s">
        <v>506</v>
      </c>
      <c r="Q540" t="s">
        <v>28</v>
      </c>
      <c r="R540" t="s">
        <v>598</v>
      </c>
      <c r="S540" t="s">
        <v>28</v>
      </c>
    </row>
    <row r="541" spans="1:19" x14ac:dyDescent="0.25">
      <c r="A541" t="s">
        <v>1671</v>
      </c>
      <c r="B541" t="s">
        <v>1671</v>
      </c>
      <c r="C541">
        <v>9.2296297379999999</v>
      </c>
      <c r="D541" s="38">
        <v>45945</v>
      </c>
      <c r="E541" s="38">
        <v>46402</v>
      </c>
      <c r="F541">
        <v>12.146509285</v>
      </c>
      <c r="G541">
        <v>290.84510071400001</v>
      </c>
      <c r="H541">
        <v>100.631</v>
      </c>
      <c r="I541" t="s">
        <v>121</v>
      </c>
      <c r="J541">
        <v>20241212</v>
      </c>
      <c r="K541" t="s">
        <v>44</v>
      </c>
      <c r="L541" t="s">
        <v>44</v>
      </c>
      <c r="M541" t="s">
        <v>777</v>
      </c>
      <c r="N541" t="s">
        <v>44</v>
      </c>
      <c r="O541" t="s">
        <v>44</v>
      </c>
      <c r="P541" t="s">
        <v>506</v>
      </c>
      <c r="Q541" t="s">
        <v>777</v>
      </c>
      <c r="R541" t="s">
        <v>590</v>
      </c>
      <c r="S541" t="s">
        <v>28</v>
      </c>
    </row>
    <row r="542" spans="1:19" x14ac:dyDescent="0.25">
      <c r="A542" t="s">
        <v>1672</v>
      </c>
      <c r="B542" t="s">
        <v>1672</v>
      </c>
      <c r="C542">
        <v>7.1282724100000001</v>
      </c>
      <c r="D542" s="38">
        <v>45945</v>
      </c>
      <c r="E542" s="38">
        <v>46283</v>
      </c>
      <c r="F542">
        <v>24.986358040999999</v>
      </c>
      <c r="G542">
        <v>260.66371138599999</v>
      </c>
      <c r="H542">
        <v>99.084500000000006</v>
      </c>
      <c r="I542" t="s">
        <v>127</v>
      </c>
      <c r="J542">
        <v>20240918</v>
      </c>
      <c r="K542" t="s">
        <v>24</v>
      </c>
      <c r="L542" t="s">
        <v>44</v>
      </c>
      <c r="M542" t="s">
        <v>44</v>
      </c>
      <c r="N542" t="s">
        <v>44</v>
      </c>
      <c r="O542" t="s">
        <v>44</v>
      </c>
      <c r="P542" t="s">
        <v>321</v>
      </c>
      <c r="Q542" t="s">
        <v>24</v>
      </c>
      <c r="R542" t="s">
        <v>598</v>
      </c>
      <c r="S542" t="s">
        <v>24</v>
      </c>
    </row>
    <row r="543" spans="1:19" x14ac:dyDescent="0.25">
      <c r="A543" t="s">
        <v>1673</v>
      </c>
      <c r="B543" t="s">
        <v>1673</v>
      </c>
      <c r="C543">
        <v>7.5585808649999997</v>
      </c>
      <c r="D543" s="38">
        <v>45945</v>
      </c>
      <c r="E543" s="38">
        <v>46283</v>
      </c>
      <c r="F543">
        <v>19.025009012000002</v>
      </c>
      <c r="G543">
        <v>448.39231420099998</v>
      </c>
      <c r="H543">
        <v>101.8399</v>
      </c>
      <c r="I543" t="s">
        <v>127</v>
      </c>
      <c r="J543">
        <v>20240918</v>
      </c>
      <c r="K543" t="s">
        <v>777</v>
      </c>
      <c r="L543" t="s">
        <v>44</v>
      </c>
      <c r="M543" t="s">
        <v>44</v>
      </c>
      <c r="N543" t="s">
        <v>44</v>
      </c>
      <c r="O543" t="s">
        <v>44</v>
      </c>
      <c r="P543" t="s">
        <v>321</v>
      </c>
      <c r="Q543" t="s">
        <v>777</v>
      </c>
      <c r="R543" t="s">
        <v>598</v>
      </c>
      <c r="S543" t="s">
        <v>28</v>
      </c>
    </row>
    <row r="544" spans="1:19" x14ac:dyDescent="0.25">
      <c r="A544" t="s">
        <v>1674</v>
      </c>
      <c r="B544" t="s">
        <v>1674</v>
      </c>
      <c r="C544">
        <v>6.6301847169999997</v>
      </c>
      <c r="D544" s="38">
        <v>45950</v>
      </c>
      <c r="E544" s="38">
        <v>45950</v>
      </c>
      <c r="F544">
        <v>12.146722422</v>
      </c>
      <c r="G544">
        <v>304.99610486099999</v>
      </c>
      <c r="H544">
        <v>100.2608</v>
      </c>
      <c r="I544" t="s">
        <v>151</v>
      </c>
      <c r="J544">
        <v>20241021</v>
      </c>
      <c r="K544" t="s">
        <v>44</v>
      </c>
      <c r="L544" t="s">
        <v>44</v>
      </c>
      <c r="M544" t="s">
        <v>795</v>
      </c>
      <c r="N544" t="s">
        <v>44</v>
      </c>
      <c r="O544" t="s">
        <v>44</v>
      </c>
      <c r="P544" t="s">
        <v>1675</v>
      </c>
      <c r="Q544" t="s">
        <v>795</v>
      </c>
      <c r="R544" t="s">
        <v>590</v>
      </c>
      <c r="S544" t="s">
        <v>28</v>
      </c>
    </row>
    <row r="545" spans="1:19" x14ac:dyDescent="0.25">
      <c r="A545" t="s">
        <v>1676</v>
      </c>
      <c r="B545" t="s">
        <v>1676</v>
      </c>
      <c r="C545">
        <v>4.638632833</v>
      </c>
      <c r="D545" s="38">
        <v>45950</v>
      </c>
      <c r="E545" s="38">
        <v>45677</v>
      </c>
      <c r="F545">
        <v>11.841798352</v>
      </c>
      <c r="G545">
        <v>363.07192100100002</v>
      </c>
      <c r="H545">
        <v>100.3075</v>
      </c>
      <c r="I545" t="s">
        <v>129</v>
      </c>
      <c r="J545">
        <v>20210120</v>
      </c>
      <c r="K545" t="s">
        <v>777</v>
      </c>
      <c r="L545" t="s">
        <v>44</v>
      </c>
      <c r="M545" t="s">
        <v>44</v>
      </c>
      <c r="N545" t="s">
        <v>44</v>
      </c>
      <c r="O545" t="s">
        <v>44</v>
      </c>
      <c r="P545" t="s">
        <v>331</v>
      </c>
      <c r="Q545" t="s">
        <v>777</v>
      </c>
      <c r="R545" t="s">
        <v>598</v>
      </c>
      <c r="S545" t="s">
        <v>28</v>
      </c>
    </row>
    <row r="546" spans="1:19" x14ac:dyDescent="0.25">
      <c r="A546" t="s">
        <v>1677</v>
      </c>
      <c r="B546" t="s">
        <v>1677</v>
      </c>
      <c r="C546">
        <v>8.255387035</v>
      </c>
      <c r="D546" s="38">
        <v>45951</v>
      </c>
      <c r="E546" s="38">
        <v>46275</v>
      </c>
      <c r="F546">
        <v>11.925521958999999</v>
      </c>
      <c r="G546">
        <v>291.85435162499999</v>
      </c>
      <c r="H546">
        <v>100.5157</v>
      </c>
      <c r="I546" t="s">
        <v>130</v>
      </c>
      <c r="J546">
        <v>20240910</v>
      </c>
      <c r="K546" t="s">
        <v>777</v>
      </c>
      <c r="L546" t="s">
        <v>44</v>
      </c>
      <c r="M546" t="s">
        <v>44</v>
      </c>
      <c r="N546" t="s">
        <v>44</v>
      </c>
      <c r="O546" t="s">
        <v>44</v>
      </c>
      <c r="P546" t="s">
        <v>334</v>
      </c>
      <c r="Q546" t="s">
        <v>777</v>
      </c>
      <c r="R546" t="s">
        <v>598</v>
      </c>
      <c r="S546" t="s">
        <v>28</v>
      </c>
    </row>
    <row r="547" spans="1:19" x14ac:dyDescent="0.25">
      <c r="A547" t="s">
        <v>1678</v>
      </c>
      <c r="B547" t="s">
        <v>1678</v>
      </c>
      <c r="C547">
        <v>9.2585942879999994</v>
      </c>
      <c r="D547" s="38">
        <v>45950</v>
      </c>
      <c r="E547" s="38">
        <v>46407</v>
      </c>
      <c r="F547">
        <v>11.936688683</v>
      </c>
      <c r="G547">
        <v>268.43014655600001</v>
      </c>
      <c r="H547">
        <v>100.4573</v>
      </c>
      <c r="I547" t="s">
        <v>130</v>
      </c>
      <c r="J547">
        <v>20241203</v>
      </c>
      <c r="K547" t="s">
        <v>777</v>
      </c>
      <c r="L547" t="s">
        <v>44</v>
      </c>
      <c r="M547" t="s">
        <v>44</v>
      </c>
      <c r="N547" t="s">
        <v>44</v>
      </c>
      <c r="O547" t="s">
        <v>44</v>
      </c>
      <c r="P547" t="s">
        <v>334</v>
      </c>
      <c r="Q547" t="s">
        <v>777</v>
      </c>
      <c r="R547" t="s">
        <v>598</v>
      </c>
      <c r="S547" t="s">
        <v>28</v>
      </c>
    </row>
    <row r="548" spans="1:19" x14ac:dyDescent="0.25">
      <c r="A548" t="s">
        <v>1679</v>
      </c>
      <c r="B548" t="s">
        <v>1679</v>
      </c>
      <c r="C548">
        <v>7.7114266970000003</v>
      </c>
      <c r="D548" s="38">
        <v>45950</v>
      </c>
      <c r="E548" s="38">
        <v>46132</v>
      </c>
      <c r="F548">
        <v>17.980870631999998</v>
      </c>
      <c r="G548">
        <v>224.15269092899999</v>
      </c>
      <c r="H548">
        <v>100.6704</v>
      </c>
      <c r="I548" t="s">
        <v>130</v>
      </c>
      <c r="J548">
        <v>20240328</v>
      </c>
      <c r="K548" t="s">
        <v>24</v>
      </c>
      <c r="L548" t="s">
        <v>44</v>
      </c>
      <c r="M548" t="s">
        <v>44</v>
      </c>
      <c r="N548" t="s">
        <v>44</v>
      </c>
      <c r="O548" t="s">
        <v>44</v>
      </c>
      <c r="P548" t="s">
        <v>334</v>
      </c>
      <c r="Q548" t="s">
        <v>24</v>
      </c>
      <c r="R548" t="s">
        <v>598</v>
      </c>
      <c r="S548" t="s">
        <v>24</v>
      </c>
    </row>
    <row r="549" spans="1:19" x14ac:dyDescent="0.25">
      <c r="A549" t="s">
        <v>1680</v>
      </c>
      <c r="B549" t="s">
        <v>1680</v>
      </c>
      <c r="D549" s="38">
        <v>45945</v>
      </c>
      <c r="E549" s="38">
        <v>46583</v>
      </c>
      <c r="I549" t="s">
        <v>178</v>
      </c>
      <c r="J549">
        <v>20220429</v>
      </c>
      <c r="K549" t="s">
        <v>615</v>
      </c>
      <c r="L549" t="s">
        <v>44</v>
      </c>
      <c r="M549" t="s">
        <v>44</v>
      </c>
      <c r="N549" t="s">
        <v>44</v>
      </c>
      <c r="O549" t="s">
        <v>44</v>
      </c>
      <c r="P549" t="s">
        <v>719</v>
      </c>
      <c r="Q549" t="s">
        <v>615</v>
      </c>
      <c r="R549" t="s">
        <v>598</v>
      </c>
      <c r="S549" t="s">
        <v>24</v>
      </c>
    </row>
    <row r="550" spans="1:19" x14ac:dyDescent="0.25">
      <c r="A550" t="s">
        <v>1681</v>
      </c>
      <c r="B550" t="s">
        <v>1681</v>
      </c>
      <c r="C550">
        <v>9.4396035210000004</v>
      </c>
      <c r="F550">
        <v>12.489411711000001</v>
      </c>
      <c r="G550">
        <v>264.48537290799999</v>
      </c>
      <c r="H550">
        <v>100.3845</v>
      </c>
      <c r="I550" t="s">
        <v>179</v>
      </c>
      <c r="J550">
        <v>20250411</v>
      </c>
      <c r="K550" t="s">
        <v>28</v>
      </c>
      <c r="L550" t="s">
        <v>44</v>
      </c>
      <c r="M550" t="s">
        <v>44</v>
      </c>
      <c r="N550" t="s">
        <v>44</v>
      </c>
      <c r="O550" t="s">
        <v>44</v>
      </c>
      <c r="P550" t="s">
        <v>719</v>
      </c>
      <c r="Q550" t="s">
        <v>28</v>
      </c>
      <c r="R550" t="s">
        <v>598</v>
      </c>
      <c r="S550" t="s">
        <v>28</v>
      </c>
    </row>
    <row r="551" spans="1:19" x14ac:dyDescent="0.25">
      <c r="A551" t="s">
        <v>1682</v>
      </c>
      <c r="B551" t="s">
        <v>1682</v>
      </c>
      <c r="D551" s="38">
        <v>45955</v>
      </c>
      <c r="E551" s="38">
        <v>46527</v>
      </c>
      <c r="I551" t="s">
        <v>132</v>
      </c>
      <c r="J551">
        <v>20230329</v>
      </c>
      <c r="K551" t="s">
        <v>44</v>
      </c>
      <c r="L551" t="s">
        <v>44</v>
      </c>
      <c r="M551" t="s">
        <v>777</v>
      </c>
      <c r="N551" t="s">
        <v>44</v>
      </c>
      <c r="O551" t="s">
        <v>44</v>
      </c>
      <c r="P551" t="s">
        <v>343</v>
      </c>
      <c r="Q551" t="s">
        <v>777</v>
      </c>
      <c r="R551" t="s">
        <v>590</v>
      </c>
      <c r="S551" t="s">
        <v>28</v>
      </c>
    </row>
    <row r="552" spans="1:19" x14ac:dyDescent="0.25">
      <c r="A552" t="s">
        <v>1683</v>
      </c>
      <c r="B552" t="s">
        <v>1683</v>
      </c>
      <c r="C552">
        <v>3.1716607560000001</v>
      </c>
      <c r="D552" s="38">
        <v>45950</v>
      </c>
      <c r="E552" s="38">
        <v>45553</v>
      </c>
      <c r="F552">
        <v>19.038389585000001</v>
      </c>
      <c r="G552">
        <v>311.82993430599998</v>
      </c>
      <c r="H552">
        <v>100.252</v>
      </c>
      <c r="I552" t="s">
        <v>132</v>
      </c>
      <c r="J552">
        <v>20181128</v>
      </c>
      <c r="K552" t="s">
        <v>44</v>
      </c>
      <c r="L552" t="s">
        <v>1634</v>
      </c>
      <c r="M552" t="s">
        <v>44</v>
      </c>
      <c r="N552" t="s">
        <v>44</v>
      </c>
      <c r="O552" t="s">
        <v>44</v>
      </c>
      <c r="P552" t="s">
        <v>1684</v>
      </c>
      <c r="Q552" t="s">
        <v>1634</v>
      </c>
      <c r="R552" t="s">
        <v>572</v>
      </c>
      <c r="S552" t="s">
        <v>28</v>
      </c>
    </row>
    <row r="553" spans="1:19" x14ac:dyDescent="0.25">
      <c r="A553" t="s">
        <v>1685</v>
      </c>
      <c r="B553" t="s">
        <v>1685</v>
      </c>
      <c r="C553">
        <v>9.4914776379999992</v>
      </c>
      <c r="D553" s="38">
        <v>45952</v>
      </c>
      <c r="E553" s="38">
        <v>46499</v>
      </c>
      <c r="F553">
        <v>12.113317849</v>
      </c>
      <c r="G553">
        <v>250.805644091</v>
      </c>
      <c r="H553">
        <v>100.6587</v>
      </c>
      <c r="I553" t="s">
        <v>132</v>
      </c>
      <c r="J553">
        <v>20250328</v>
      </c>
      <c r="K553" t="s">
        <v>44</v>
      </c>
      <c r="L553" t="s">
        <v>44</v>
      </c>
      <c r="M553" t="s">
        <v>777</v>
      </c>
      <c r="N553" t="s">
        <v>44</v>
      </c>
      <c r="O553" t="s">
        <v>44</v>
      </c>
      <c r="P553" t="s">
        <v>1686</v>
      </c>
      <c r="Q553" t="s">
        <v>777</v>
      </c>
      <c r="R553" t="s">
        <v>590</v>
      </c>
      <c r="S553" t="s">
        <v>28</v>
      </c>
    </row>
    <row r="554" spans="1:19" x14ac:dyDescent="0.25">
      <c r="A554" t="s">
        <v>1687</v>
      </c>
      <c r="B554" t="s">
        <v>1687</v>
      </c>
      <c r="C554">
        <v>8.8929303760000007</v>
      </c>
      <c r="D554" s="38">
        <v>45950</v>
      </c>
      <c r="E554" s="38">
        <v>46407</v>
      </c>
      <c r="F554">
        <v>11.964747543</v>
      </c>
      <c r="G554">
        <v>269.41802625000003</v>
      </c>
      <c r="H554">
        <v>100.3753</v>
      </c>
      <c r="I554" t="s">
        <v>177</v>
      </c>
      <c r="J554">
        <v>20250121</v>
      </c>
      <c r="K554" t="s">
        <v>777</v>
      </c>
      <c r="L554" t="s">
        <v>44</v>
      </c>
      <c r="M554" t="s">
        <v>44</v>
      </c>
      <c r="N554" t="s">
        <v>44</v>
      </c>
      <c r="O554" t="s">
        <v>44</v>
      </c>
      <c r="P554" t="s">
        <v>724</v>
      </c>
      <c r="Q554" t="s">
        <v>777</v>
      </c>
      <c r="R554" t="s">
        <v>598</v>
      </c>
      <c r="S554" t="s">
        <v>28</v>
      </c>
    </row>
    <row r="555" spans="1:19" x14ac:dyDescent="0.25">
      <c r="A555" t="s">
        <v>1688</v>
      </c>
      <c r="B555" t="s">
        <v>1688</v>
      </c>
      <c r="C555">
        <v>7.3418136140000003</v>
      </c>
      <c r="D555" s="38">
        <v>45947</v>
      </c>
      <c r="E555" s="38">
        <v>46098</v>
      </c>
      <c r="F555">
        <v>12.121097084000001</v>
      </c>
      <c r="G555">
        <v>242.262870161</v>
      </c>
      <c r="H555">
        <v>100.1563</v>
      </c>
      <c r="I555" t="s">
        <v>177</v>
      </c>
      <c r="J555">
        <v>20250317</v>
      </c>
      <c r="K555" t="s">
        <v>777</v>
      </c>
      <c r="L555" t="s">
        <v>44</v>
      </c>
      <c r="M555" t="s">
        <v>44</v>
      </c>
      <c r="N555" t="s">
        <v>44</v>
      </c>
      <c r="O555" t="s">
        <v>44</v>
      </c>
      <c r="P555" t="s">
        <v>724</v>
      </c>
      <c r="Q555" t="s">
        <v>777</v>
      </c>
      <c r="R555" t="s">
        <v>598</v>
      </c>
      <c r="S555" t="s">
        <v>28</v>
      </c>
    </row>
    <row r="556" spans="1:19" x14ac:dyDescent="0.25">
      <c r="A556" t="s">
        <v>1689</v>
      </c>
      <c r="B556" t="s">
        <v>1689</v>
      </c>
      <c r="C556">
        <v>9.4318943019999999</v>
      </c>
      <c r="D556" s="38">
        <v>45946</v>
      </c>
      <c r="E556" s="38">
        <v>46472</v>
      </c>
      <c r="F556">
        <v>12.06514451</v>
      </c>
      <c r="G556">
        <v>242.20671390699999</v>
      </c>
      <c r="H556">
        <v>100.53830000000001</v>
      </c>
      <c r="I556" t="s">
        <v>177</v>
      </c>
      <c r="J556">
        <v>20250326</v>
      </c>
      <c r="K556" t="s">
        <v>777</v>
      </c>
      <c r="L556" t="s">
        <v>44</v>
      </c>
      <c r="M556" t="s">
        <v>44</v>
      </c>
      <c r="N556" t="s">
        <v>44</v>
      </c>
      <c r="O556" t="s">
        <v>44</v>
      </c>
      <c r="P556" t="s">
        <v>724</v>
      </c>
      <c r="Q556" t="s">
        <v>777</v>
      </c>
      <c r="R556" t="s">
        <v>598</v>
      </c>
      <c r="S556" t="s">
        <v>28</v>
      </c>
    </row>
    <row r="557" spans="1:19" x14ac:dyDescent="0.25">
      <c r="A557" t="s">
        <v>1690</v>
      </c>
      <c r="B557" t="s">
        <v>1690</v>
      </c>
      <c r="C557">
        <v>5.0547596910000001</v>
      </c>
      <c r="D557" s="38">
        <v>45955</v>
      </c>
      <c r="E557" s="38">
        <v>45814</v>
      </c>
      <c r="F557">
        <v>17.931719144999999</v>
      </c>
      <c r="G557">
        <v>201.980407106</v>
      </c>
      <c r="H557">
        <v>100.12690000000001</v>
      </c>
      <c r="I557" t="s">
        <v>97</v>
      </c>
      <c r="J557">
        <v>20240606</v>
      </c>
      <c r="K557" t="s">
        <v>44</v>
      </c>
      <c r="L557" t="s">
        <v>44</v>
      </c>
      <c r="M557" t="s">
        <v>615</v>
      </c>
      <c r="N557" t="s">
        <v>44</v>
      </c>
      <c r="O557" t="s">
        <v>44</v>
      </c>
      <c r="P557" t="s">
        <v>483</v>
      </c>
      <c r="Q557" t="s">
        <v>615</v>
      </c>
      <c r="R557" t="s">
        <v>590</v>
      </c>
      <c r="S557" t="s">
        <v>24</v>
      </c>
    </row>
    <row r="558" spans="1:19" x14ac:dyDescent="0.25">
      <c r="A558" t="s">
        <v>1691</v>
      </c>
      <c r="B558" t="s">
        <v>1691</v>
      </c>
      <c r="C558">
        <v>8.8587417849999994</v>
      </c>
      <c r="D558" s="38">
        <v>45950</v>
      </c>
      <c r="E558" s="38">
        <v>46452</v>
      </c>
      <c r="F558">
        <v>18.409725199</v>
      </c>
      <c r="G558">
        <v>163.55089501099999</v>
      </c>
      <c r="H558">
        <v>100.43810000000001</v>
      </c>
      <c r="I558" t="s">
        <v>133</v>
      </c>
      <c r="J558">
        <v>20250306</v>
      </c>
      <c r="K558" t="s">
        <v>24</v>
      </c>
      <c r="L558" t="s">
        <v>44</v>
      </c>
      <c r="M558" t="s">
        <v>44</v>
      </c>
      <c r="N558" t="s">
        <v>44</v>
      </c>
      <c r="O558" t="s">
        <v>44</v>
      </c>
      <c r="P558" t="s">
        <v>353</v>
      </c>
      <c r="Q558" t="s">
        <v>24</v>
      </c>
      <c r="R558" t="s">
        <v>598</v>
      </c>
      <c r="S558" t="s">
        <v>24</v>
      </c>
    </row>
    <row r="559" spans="1:19" x14ac:dyDescent="0.25">
      <c r="A559" t="s">
        <v>1692</v>
      </c>
      <c r="B559" t="s">
        <v>1692</v>
      </c>
      <c r="C559">
        <v>9.4072302610000005</v>
      </c>
      <c r="D559" s="38">
        <v>45950</v>
      </c>
      <c r="E559" s="38">
        <v>46452</v>
      </c>
      <c r="F559">
        <v>12.439705091</v>
      </c>
      <c r="G559">
        <v>247.26767253099999</v>
      </c>
      <c r="H559">
        <v>99.806899999999999</v>
      </c>
      <c r="I559" t="s">
        <v>133</v>
      </c>
      <c r="J559">
        <v>20250306</v>
      </c>
      <c r="K559" t="s">
        <v>777</v>
      </c>
      <c r="L559" t="s">
        <v>44</v>
      </c>
      <c r="M559" t="s">
        <v>44</v>
      </c>
      <c r="N559" t="s">
        <v>44</v>
      </c>
      <c r="O559" t="s">
        <v>44</v>
      </c>
      <c r="P559" t="s">
        <v>353</v>
      </c>
      <c r="Q559" t="s">
        <v>777</v>
      </c>
      <c r="R559" t="s">
        <v>598</v>
      </c>
      <c r="S559" t="s">
        <v>28</v>
      </c>
    </row>
    <row r="560" spans="1:19" x14ac:dyDescent="0.25">
      <c r="A560" t="s">
        <v>1693</v>
      </c>
      <c r="B560" t="s">
        <v>1693</v>
      </c>
      <c r="C560">
        <v>6.6998247180000003</v>
      </c>
      <c r="D560" s="38">
        <v>45950</v>
      </c>
      <c r="E560" s="38">
        <v>45394</v>
      </c>
      <c r="F560">
        <v>9.9653826589999994</v>
      </c>
      <c r="G560">
        <v>326.12510844000002</v>
      </c>
      <c r="H560">
        <v>99.661000000000001</v>
      </c>
      <c r="I560" t="s">
        <v>80</v>
      </c>
      <c r="J560">
        <v>20220412</v>
      </c>
      <c r="K560" t="s">
        <v>777</v>
      </c>
      <c r="L560" t="s">
        <v>44</v>
      </c>
      <c r="M560" t="s">
        <v>44</v>
      </c>
      <c r="N560" t="s">
        <v>44</v>
      </c>
      <c r="O560" t="s">
        <v>44</v>
      </c>
      <c r="P560" t="s">
        <v>264</v>
      </c>
      <c r="Q560" t="s">
        <v>777</v>
      </c>
      <c r="R560" t="s">
        <v>598</v>
      </c>
      <c r="S560" t="s">
        <v>28</v>
      </c>
    </row>
    <row r="561" spans="1:19" x14ac:dyDescent="0.25">
      <c r="A561" t="s">
        <v>1694</v>
      </c>
      <c r="B561" t="s">
        <v>1694</v>
      </c>
      <c r="C561">
        <v>5.6146669730000003</v>
      </c>
      <c r="D561" s="38">
        <v>45950</v>
      </c>
      <c r="E561" s="38">
        <v>45036</v>
      </c>
      <c r="F561">
        <v>11.964372193000001</v>
      </c>
      <c r="G561">
        <v>326.93644713200001</v>
      </c>
      <c r="H561">
        <v>100.4209</v>
      </c>
      <c r="I561" t="s">
        <v>150</v>
      </c>
      <c r="J561">
        <v>20210513</v>
      </c>
      <c r="K561" t="s">
        <v>44</v>
      </c>
      <c r="L561" t="s">
        <v>815</v>
      </c>
      <c r="M561" t="s">
        <v>44</v>
      </c>
      <c r="N561" t="s">
        <v>44</v>
      </c>
      <c r="O561" t="s">
        <v>44</v>
      </c>
      <c r="P561" t="s">
        <v>1543</v>
      </c>
      <c r="Q561" t="s">
        <v>815</v>
      </c>
      <c r="R561" t="s">
        <v>572</v>
      </c>
      <c r="S561" t="s">
        <v>28</v>
      </c>
    </row>
    <row r="562" spans="1:19" x14ac:dyDescent="0.25">
      <c r="A562" t="s">
        <v>1695</v>
      </c>
      <c r="B562" t="s">
        <v>1695</v>
      </c>
      <c r="C562">
        <v>9.2063093640000009</v>
      </c>
      <c r="D562" s="38">
        <v>45945</v>
      </c>
      <c r="E562" s="38">
        <v>46402</v>
      </c>
      <c r="F562">
        <v>12.00548071</v>
      </c>
      <c r="G562">
        <v>277.25626974199997</v>
      </c>
      <c r="H562">
        <v>100.5341</v>
      </c>
      <c r="I562" t="s">
        <v>210</v>
      </c>
      <c r="J562">
        <v>20250108</v>
      </c>
      <c r="K562" t="s">
        <v>44</v>
      </c>
      <c r="L562" t="s">
        <v>44</v>
      </c>
      <c r="M562" t="s">
        <v>777</v>
      </c>
      <c r="N562" t="s">
        <v>44</v>
      </c>
      <c r="O562" t="s">
        <v>44</v>
      </c>
      <c r="P562" t="s">
        <v>543</v>
      </c>
      <c r="Q562" t="s">
        <v>777</v>
      </c>
      <c r="R562" t="s">
        <v>590</v>
      </c>
      <c r="S562" t="s">
        <v>28</v>
      </c>
    </row>
    <row r="563" spans="1:19" x14ac:dyDescent="0.25">
      <c r="A563" t="s">
        <v>1696</v>
      </c>
      <c r="B563" t="s">
        <v>1696</v>
      </c>
      <c r="C563">
        <v>9.4252981580000004</v>
      </c>
      <c r="D563" s="38">
        <v>45945</v>
      </c>
      <c r="E563" s="38">
        <v>46488</v>
      </c>
      <c r="F563">
        <v>12.029263650000001</v>
      </c>
      <c r="G563">
        <v>274.45781907999998</v>
      </c>
      <c r="H563">
        <v>100.38330000000001</v>
      </c>
      <c r="I563" t="s">
        <v>140</v>
      </c>
      <c r="J563">
        <v>20250411</v>
      </c>
      <c r="K563" t="s">
        <v>44</v>
      </c>
      <c r="L563" t="s">
        <v>44</v>
      </c>
      <c r="M563" t="s">
        <v>777</v>
      </c>
      <c r="N563" t="s">
        <v>44</v>
      </c>
      <c r="O563" t="s">
        <v>44</v>
      </c>
      <c r="P563" t="s">
        <v>543</v>
      </c>
      <c r="Q563" t="s">
        <v>777</v>
      </c>
      <c r="R563" t="s">
        <v>590</v>
      </c>
      <c r="S563" t="s">
        <v>28</v>
      </c>
    </row>
    <row r="564" spans="1:19" x14ac:dyDescent="0.25">
      <c r="A564" t="s">
        <v>1697</v>
      </c>
      <c r="B564" t="s">
        <v>1697</v>
      </c>
      <c r="C564">
        <v>9.2858591449999999</v>
      </c>
      <c r="D564" s="38">
        <v>45951</v>
      </c>
      <c r="E564" s="38">
        <v>46408</v>
      </c>
      <c r="F564">
        <v>11.760566664000001</v>
      </c>
      <c r="G564">
        <v>250.54096867600001</v>
      </c>
      <c r="H564">
        <v>100.31059999999999</v>
      </c>
      <c r="I564" t="s">
        <v>141</v>
      </c>
      <c r="J564">
        <v>20250220</v>
      </c>
      <c r="K564" t="s">
        <v>44</v>
      </c>
      <c r="L564" t="s">
        <v>44</v>
      </c>
      <c r="M564" t="s">
        <v>777</v>
      </c>
      <c r="N564" t="s">
        <v>44</v>
      </c>
      <c r="O564" t="s">
        <v>44</v>
      </c>
      <c r="P564" t="s">
        <v>548</v>
      </c>
      <c r="Q564" t="s">
        <v>777</v>
      </c>
      <c r="R564" t="s">
        <v>590</v>
      </c>
      <c r="S564" t="s">
        <v>28</v>
      </c>
    </row>
    <row r="565" spans="1:19" x14ac:dyDescent="0.25">
      <c r="A565" t="s">
        <v>1698</v>
      </c>
      <c r="B565" t="s">
        <v>1698</v>
      </c>
      <c r="C565">
        <v>9.4787647320000001</v>
      </c>
      <c r="D565" s="38">
        <v>45956</v>
      </c>
      <c r="E565" s="38">
        <v>46503</v>
      </c>
      <c r="F565">
        <v>12.558555712</v>
      </c>
      <c r="G565">
        <v>295.34545241299998</v>
      </c>
      <c r="H565">
        <v>100.3229</v>
      </c>
      <c r="I565" t="s">
        <v>184</v>
      </c>
      <c r="J565">
        <v>20250227</v>
      </c>
      <c r="K565" t="s">
        <v>44</v>
      </c>
      <c r="L565" t="s">
        <v>44</v>
      </c>
      <c r="M565" t="s">
        <v>777</v>
      </c>
      <c r="N565" t="s">
        <v>44</v>
      </c>
      <c r="O565" t="s">
        <v>44</v>
      </c>
      <c r="P565" t="s">
        <v>1546</v>
      </c>
      <c r="Q565" t="s">
        <v>777</v>
      </c>
      <c r="R565" t="s">
        <v>590</v>
      </c>
      <c r="S565" t="s">
        <v>28</v>
      </c>
    </row>
    <row r="566" spans="1:19" x14ac:dyDescent="0.25">
      <c r="A566" t="s">
        <v>1699</v>
      </c>
      <c r="B566" t="s">
        <v>1699</v>
      </c>
      <c r="D566" s="38">
        <v>45951</v>
      </c>
      <c r="E566" s="38">
        <v>46543</v>
      </c>
      <c r="I566" t="s">
        <v>123</v>
      </c>
      <c r="J566">
        <v>20230512</v>
      </c>
      <c r="K566" t="s">
        <v>44</v>
      </c>
      <c r="L566" t="s">
        <v>44</v>
      </c>
      <c r="M566" t="s">
        <v>24</v>
      </c>
      <c r="N566" t="s">
        <v>44</v>
      </c>
      <c r="O566" t="s">
        <v>44</v>
      </c>
      <c r="P566" t="s">
        <v>312</v>
      </c>
      <c r="Q566" t="s">
        <v>24</v>
      </c>
      <c r="R566" t="s">
        <v>590</v>
      </c>
      <c r="S566" t="s">
        <v>24</v>
      </c>
    </row>
    <row r="567" spans="1:19" x14ac:dyDescent="0.25">
      <c r="A567" t="s">
        <v>1700</v>
      </c>
      <c r="B567" t="s">
        <v>1700</v>
      </c>
      <c r="C567">
        <v>9.1379108119999994</v>
      </c>
      <c r="D567" s="38">
        <v>45951</v>
      </c>
      <c r="E567" s="38">
        <v>46543</v>
      </c>
      <c r="F567">
        <v>18.548484375000001</v>
      </c>
      <c r="G567">
        <v>201.96637148799999</v>
      </c>
      <c r="H567">
        <v>100.9312</v>
      </c>
      <c r="I567" t="s">
        <v>123</v>
      </c>
      <c r="J567">
        <v>20250605</v>
      </c>
      <c r="K567" t="s">
        <v>44</v>
      </c>
      <c r="L567" t="s">
        <v>44</v>
      </c>
      <c r="M567" t="s">
        <v>615</v>
      </c>
      <c r="N567" t="s">
        <v>44</v>
      </c>
      <c r="O567" t="s">
        <v>44</v>
      </c>
      <c r="P567" t="s">
        <v>312</v>
      </c>
      <c r="Q567" t="s">
        <v>615</v>
      </c>
      <c r="R567" t="s">
        <v>590</v>
      </c>
      <c r="S567" t="s">
        <v>24</v>
      </c>
    </row>
    <row r="568" spans="1:19" x14ac:dyDescent="0.25">
      <c r="A568" t="s">
        <v>1701</v>
      </c>
      <c r="B568" t="s">
        <v>1701</v>
      </c>
      <c r="C568">
        <v>9.3749059779999993</v>
      </c>
      <c r="D568" s="38">
        <v>45953</v>
      </c>
      <c r="E568" s="38">
        <v>46471</v>
      </c>
      <c r="F568">
        <v>12.856417766</v>
      </c>
      <c r="G568">
        <v>259.59933593</v>
      </c>
      <c r="H568">
        <v>100.005</v>
      </c>
      <c r="I568" t="s">
        <v>123</v>
      </c>
      <c r="J568">
        <v>20250325</v>
      </c>
      <c r="K568" t="s">
        <v>44</v>
      </c>
      <c r="L568" t="s">
        <v>44</v>
      </c>
      <c r="M568" t="s">
        <v>777</v>
      </c>
      <c r="N568" t="s">
        <v>44</v>
      </c>
      <c r="O568" t="s">
        <v>44</v>
      </c>
      <c r="P568" t="s">
        <v>312</v>
      </c>
      <c r="Q568" t="s">
        <v>777</v>
      </c>
      <c r="R568" t="s">
        <v>590</v>
      </c>
      <c r="S568" t="s">
        <v>28</v>
      </c>
    </row>
    <row r="569" spans="1:19" x14ac:dyDescent="0.25">
      <c r="A569" t="s">
        <v>1702</v>
      </c>
      <c r="B569" t="s">
        <v>1702</v>
      </c>
      <c r="C569">
        <v>3.0082976860000001</v>
      </c>
      <c r="D569" s="38">
        <v>45947</v>
      </c>
      <c r="E569" s="38">
        <v>43572</v>
      </c>
      <c r="F569">
        <v>20.352162991</v>
      </c>
      <c r="G569">
        <v>348.209925564</v>
      </c>
      <c r="H569">
        <v>100.28189999999999</v>
      </c>
      <c r="I569" t="s">
        <v>188</v>
      </c>
      <c r="J569">
        <v>20170412</v>
      </c>
      <c r="K569" t="s">
        <v>44</v>
      </c>
      <c r="L569" t="s">
        <v>931</v>
      </c>
      <c r="M569" t="s">
        <v>44</v>
      </c>
      <c r="N569" t="s">
        <v>44</v>
      </c>
      <c r="O569" t="s">
        <v>44</v>
      </c>
      <c r="P569" t="s">
        <v>1345</v>
      </c>
      <c r="Q569" t="s">
        <v>931</v>
      </c>
      <c r="R569" t="s">
        <v>572</v>
      </c>
      <c r="S569" t="s">
        <v>28</v>
      </c>
    </row>
    <row r="570" spans="1:19" x14ac:dyDescent="0.25">
      <c r="A570" t="s">
        <v>1703</v>
      </c>
      <c r="B570" t="s">
        <v>1703</v>
      </c>
      <c r="H570">
        <v>83.126800000000003</v>
      </c>
      <c r="I570" t="s">
        <v>211</v>
      </c>
      <c r="J570">
        <v>20250815</v>
      </c>
      <c r="K570" t="s">
        <v>1363</v>
      </c>
      <c r="L570" t="s">
        <v>44</v>
      </c>
      <c r="M570" t="s">
        <v>44</v>
      </c>
      <c r="N570" t="s">
        <v>44</v>
      </c>
      <c r="O570" t="s">
        <v>44</v>
      </c>
      <c r="P570" t="s">
        <v>211</v>
      </c>
      <c r="Q570" t="s">
        <v>1363</v>
      </c>
      <c r="R570" t="s">
        <v>598</v>
      </c>
      <c r="S570" t="s">
        <v>32</v>
      </c>
    </row>
    <row r="571" spans="1:19" x14ac:dyDescent="0.25">
      <c r="A571" t="s">
        <v>1704</v>
      </c>
      <c r="B571" t="s">
        <v>1704</v>
      </c>
      <c r="C571">
        <v>0.56944444400000005</v>
      </c>
      <c r="D571" s="38">
        <v>45894</v>
      </c>
      <c r="F571">
        <v>39.486203876059001</v>
      </c>
      <c r="G571">
        <v>617.31796164699995</v>
      </c>
      <c r="H571">
        <v>97.324455</v>
      </c>
      <c r="I571" t="s">
        <v>193</v>
      </c>
      <c r="J571">
        <v>20210311</v>
      </c>
      <c r="K571" t="s">
        <v>44</v>
      </c>
      <c r="L571" t="s">
        <v>44</v>
      </c>
      <c r="M571" t="s">
        <v>44</v>
      </c>
      <c r="N571" t="s">
        <v>1363</v>
      </c>
      <c r="O571" t="s">
        <v>44</v>
      </c>
      <c r="P571" t="s">
        <v>193</v>
      </c>
      <c r="Q571" t="s">
        <v>1363</v>
      </c>
      <c r="R571" t="s">
        <v>656</v>
      </c>
      <c r="S57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Report</vt:lpstr>
      <vt:lpstr>ValidationLists</vt:lpstr>
      <vt:lpstr>Transactions</vt:lpstr>
      <vt:lpstr>Positions</vt:lpstr>
      <vt:lpstr>Sec_Master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Hanlu</dc:creator>
  <cp:lastModifiedBy>Xia, Hanlu</cp:lastModifiedBy>
  <dcterms:created xsi:type="dcterms:W3CDTF">2015-06-05T18:17:20Z</dcterms:created>
  <dcterms:modified xsi:type="dcterms:W3CDTF">2025-09-02T19:22:12Z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e3eb5-c2ae-4da4-82cc-5677c0ccacc0_Enabled">
    <vt:lpwstr>true</vt:lpwstr>
  </property>
  <property fmtid="{D5CDD505-2E9C-101B-9397-08002B2CF9AE}" pid="3" name="MSIP_Label_6dbe3eb5-c2ae-4da4-82cc-5677c0ccacc0_SetDate">
    <vt:lpwstr>2025-07-02T20:46:40Z</vt:lpwstr>
  </property>
  <property fmtid="{D5CDD505-2E9C-101B-9397-08002B2CF9AE}" pid="4" name="MSIP_Label_6dbe3eb5-c2ae-4da4-82cc-5677c0ccacc0_Method">
    <vt:lpwstr>Standard</vt:lpwstr>
  </property>
  <property fmtid="{D5CDD505-2E9C-101B-9397-08002B2CF9AE}" pid="5" name="MSIP_Label_6dbe3eb5-c2ae-4da4-82cc-5677c0ccacc0_Name">
    <vt:lpwstr>defa4170-0d19-0005-0004-bc88714345d2</vt:lpwstr>
  </property>
  <property fmtid="{D5CDD505-2E9C-101B-9397-08002B2CF9AE}" pid="6" name="MSIP_Label_6dbe3eb5-c2ae-4da4-82cc-5677c0ccacc0_SiteId">
    <vt:lpwstr>fa7e0438-d050-4701-ab89-8ae378647e1b</vt:lpwstr>
  </property>
  <property fmtid="{D5CDD505-2E9C-101B-9397-08002B2CF9AE}" pid="7" name="MSIP_Label_6dbe3eb5-c2ae-4da4-82cc-5677c0ccacc0_ActionId">
    <vt:lpwstr>605de6f0-09f4-421d-ab35-d232808692d9</vt:lpwstr>
  </property>
  <property fmtid="{D5CDD505-2E9C-101B-9397-08002B2CF9AE}" pid="8" name="MSIP_Label_6dbe3eb5-c2ae-4da4-82cc-5677c0ccacc0_ContentBits">
    <vt:lpwstr>0</vt:lpwstr>
  </property>
</Properties>
</file>